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615" windowHeight="12885" activeTab="1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0" hidden="1">'舰船数据-未改'!$A$1:$AC$151</definedName>
    <definedName name="_xlnm._FilterDatabase" localSheetId="1" hidden="1">'舰船数据-改造'!$A$1:$AC$226</definedName>
    <definedName name="_xlnm._FilterDatabase" localSheetId="2" hidden="1">'装备数据-常规'!$A$1:$Z$417</definedName>
    <definedName name="_xlnm._FilterDatabase" localSheetId="3" hidden="1">'舰船数据-深海'!$A$1:$AC$372</definedName>
    <definedName name="_xlnm._FilterDatabase" localSheetId="4" hidden="1">'装备数据-深海'!$A$1:$W$68</definedName>
  </definedNames>
  <calcPr calcId="144525"/>
</workbook>
</file>

<file path=xl/sharedStrings.xml><?xml version="1.0" encoding="utf-8"?>
<sst xmlns="http://schemas.openxmlformats.org/spreadsheetml/2006/main" count="6712" uniqueCount="2440">
  <si>
    <t>cid</t>
  </si>
  <si>
    <t>舰种</t>
  </si>
  <si>
    <t>名称</t>
  </si>
  <si>
    <t>国籍</t>
  </si>
  <si>
    <t>耐久</t>
  </si>
  <si>
    <t>火力</t>
  </si>
  <si>
    <t>鱼雷</t>
  </si>
  <si>
    <t>装甲</t>
  </si>
  <si>
    <t>对空</t>
  </si>
  <si>
    <t>对潜</t>
  </si>
  <si>
    <t>命中</t>
  </si>
  <si>
    <t>回避</t>
  </si>
  <si>
    <t>索敌</t>
  </si>
  <si>
    <t>航速</t>
  </si>
  <si>
    <t>射程</t>
  </si>
  <si>
    <t>幸运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</si>
  <si>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</si>
  <si>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</si>
  <si>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</si>
  <si>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</si>
  <si>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</si>
  <si>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</si>
  <si>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</si>
  <si>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</si>
  <si>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</si>
  <si>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</si>
  <si>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</si>
  <si>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</si>
  <si>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</si>
  <si>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</si>
  <si>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</si>
  <si>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</si>
  <si>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</si>
  <si>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</si>
  <si>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</si>
  <si>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</si>
  <si>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</si>
  <si>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</si>
  <si>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</si>
  <si>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</si>
  <si>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</si>
  <si>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</si>
  <si>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</si>
  <si>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</si>
  <si>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</si>
  <si>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</si>
  <si>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</si>
  <si>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</si>
  <si>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</si>
  <si>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</si>
  <si>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</si>
  <si>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</si>
  <si>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</si>
  <si>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</si>
  <si>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</si>
  <si>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</si>
  <si>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</si>
  <si>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</si>
  <si>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</si>
  <si>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</si>
  <si>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</si>
  <si>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</si>
  <si>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</si>
  <si>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</si>
  <si>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</si>
  <si>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</si>
  <si>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</si>
  <si>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</si>
  <si>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</si>
  <si>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</si>
  <si>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</si>
  <si>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</si>
  <si>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</si>
  <si>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</si>
  <si>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</si>
  <si>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</si>
  <si>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</si>
  <si>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</si>
  <si>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</si>
  <si>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</si>
  <si>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</si>
  <si>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</si>
  <si>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</si>
  <si>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</si>
  <si>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</si>
  <si>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</si>
  <si>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</si>
  <si>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</si>
  <si>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</si>
  <si>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</si>
  <si>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</si>
  <si>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</si>
  <si>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</si>
  <si>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</si>
  <si>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</si>
  <si>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</si>
  <si>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</si>
  <si>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</si>
  <si>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</si>
  <si>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</si>
  <si>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</si>
  <si>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</si>
  <si>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</si>
  <si>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</si>
  <si>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</si>
  <si>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</si>
  <si>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</si>
  <si>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</si>
  <si>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</si>
  <si>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</si>
  <si>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</si>
  <si>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</si>
  <si>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</si>
  <si>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</si>
  <si>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</si>
  <si>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</si>
  <si>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</si>
  <si>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</si>
  <si>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</si>
  <si>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</si>
  <si>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</si>
  <si>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</si>
  <si>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</si>
  <si>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</si>
  <si>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</si>
  <si>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</si>
  <si>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</si>
  <si>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</si>
  <si>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</si>
  <si>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</si>
  <si>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</si>
  <si>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</si>
  <si>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</si>
  <si>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</si>
  <si>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</si>
  <si>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</si>
  <si>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</si>
  <si>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</si>
  <si>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</si>
  <si>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</si>
  <si>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</si>
  <si>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</si>
  <si>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</si>
  <si>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</si>
  <si>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</si>
  <si>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</si>
  <si>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</si>
  <si>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</si>
  <si>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</si>
  <si>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</si>
  <si>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</si>
  <si>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</si>
  <si>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</si>
  <si>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</si>
  <si>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</si>
  <si>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</si>
  <si>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</si>
  <si>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</si>
  <si>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</si>
  <si>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</si>
  <si>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</si>
  <si>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</si>
  <si>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</si>
  <si>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</si>
  <si>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</si>
  <si>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</si>
  <si>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</si>
  <si>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</si>
  <si>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</si>
  <si>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</si>
  <si>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</si>
  <si>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</si>
  <si>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</si>
  <si>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</si>
  <si>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</si>
  <si>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</si>
  <si>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</si>
  <si>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</si>
  <si>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</si>
  <si>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</si>
  <si>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</si>
  <si>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</si>
  <si>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</si>
  <si>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</si>
  <si>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</si>
  <si>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</si>
  <si>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</si>
  <si>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</si>
  <si>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</si>
  <si>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</si>
  <si>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</si>
  <si>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</si>
  <si>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</si>
  <si>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</si>
  <si>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</si>
  <si>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</si>
  <si>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</si>
  <si>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</si>
  <si>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</si>
  <si>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</si>
  <si>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</si>
  <si>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</si>
  <si>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</si>
  <si>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</si>
  <si>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</si>
  <si>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铁公爵</t>
  </si>
  <si>
    <t>鲁莽</t>
  </si>
  <si>
    <t>奥里斯坎尼</t>
  </si>
  <si>
    <t>Kw45</t>
  </si>
  <si>
    <t>10581工程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</si>
  <si>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</si>
  <si>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</si>
  <si>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</si>
  <si>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</si>
  <si>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</si>
  <si>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</si>
  <si>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</si>
  <si>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</si>
  <si>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</si>
  <si>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</si>
  <si>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</si>
  <si>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</si>
  <si>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</si>
  <si>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</si>
  <si>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</si>
  <si>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</si>
  <si>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</si>
  <si>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</si>
  <si>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</si>
  <si>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</si>
  <si>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</si>
  <si>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</si>
  <si>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</si>
  <si>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</si>
  <si>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</si>
  <si>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</si>
  <si>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</si>
  <si>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</si>
  <si>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</si>
  <si>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</si>
  <si>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</si>
  <si>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</si>
  <si>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</si>
  <si>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</si>
  <si>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</si>
  <si>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</si>
  <si>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</si>
  <si>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</si>
  <si>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</si>
  <si>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</si>
  <si>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</si>
  <si>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</si>
  <si>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</si>
  <si>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</si>
  <si>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</si>
  <si>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</si>
  <si>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</si>
  <si>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</si>
  <si>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</si>
  <si>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</si>
  <si>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</si>
  <si>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</si>
  <si>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</si>
  <si>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</si>
  <si>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</si>
  <si>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</si>
  <si>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</si>
  <si>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</si>
  <si>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</si>
  <si>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</si>
  <si>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</si>
  <si>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</si>
  <si>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</si>
  <si>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</si>
  <si>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</si>
  <si>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</si>
  <si>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</si>
  <si>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</si>
  <si>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</si>
  <si>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萤火虫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</si>
  <si>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</si>
  <si>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</si>
  <si>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</si>
  <si>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</si>
  <si>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</si>
  <si>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</si>
  <si>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</si>
  <si>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</si>
  <si>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</si>
  <si>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</si>
  <si>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</si>
  <si>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</si>
  <si>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</si>
  <si>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</si>
  <si>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</si>
  <si>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</si>
  <si>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</si>
  <si>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</si>
  <si>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</si>
  <si>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</si>
  <si>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</si>
  <si>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</si>
  <si>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</si>
  <si>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</si>
  <si>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</si>
  <si>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</si>
  <si>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</si>
  <si>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</si>
  <si>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</si>
  <si>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</si>
  <si>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</si>
  <si>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</si>
  <si>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</si>
  <si>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</si>
  <si>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</si>
  <si>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</si>
  <si>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</si>
  <si>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</si>
  <si>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</si>
  <si>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</si>
  <si>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</si>
  <si>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</si>
  <si>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</si>
  <si>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</si>
  <si>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</si>
  <si>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</si>
  <si>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</si>
  <si>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</si>
  <si>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</si>
  <si>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</si>
  <si>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</si>
  <si>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</si>
  <si>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</si>
  <si>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</si>
  <si>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</si>
  <si>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</si>
  <si>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</si>
  <si>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</si>
  <si>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</si>
  <si>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</si>
  <si>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</si>
  <si>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</si>
  <si>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</si>
  <si>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</si>
  <si>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</si>
  <si>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</si>
  <si>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</si>
  <si>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</si>
  <si>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</si>
  <si>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</si>
  <si>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</si>
  <si>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</si>
  <si>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</si>
  <si>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</si>
  <si>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</si>
  <si>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</si>
  <si>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</si>
  <si>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</si>
  <si>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</si>
  <si>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</si>
  <si>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</si>
  <si>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</si>
  <si>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</si>
  <si>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</si>
  <si>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</si>
  <si>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</si>
  <si>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</si>
  <si>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</si>
  <si>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</si>
  <si>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</si>
  <si>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</si>
  <si>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</si>
  <si>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</si>
  <si>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</si>
  <si>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</si>
  <si>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</si>
  <si>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</si>
  <si>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</si>
  <si>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</si>
  <si>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</si>
  <si>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</si>
  <si>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</si>
  <si>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</si>
  <si>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</si>
  <si>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</si>
  <si>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</si>
  <si>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</si>
  <si>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</si>
  <si>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</si>
  <si>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</si>
  <si>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</si>
  <si>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</si>
  <si>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</si>
  <si>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</si>
  <si>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马伊·布雷泽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</si>
  <si>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</si>
  <si>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</si>
  <si>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</si>
  <si>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</si>
  <si>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</si>
  <si>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</si>
  <si>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</si>
  <si>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</si>
  <si>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</si>
  <si>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</si>
  <si>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</si>
  <si>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</si>
  <si>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</si>
  <si>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</si>
  <si>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</si>
  <si>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</si>
  <si>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卡拉乔洛</t>
  </si>
  <si>
    <t>休·W·哈德利</t>
  </si>
  <si>
    <t>汉堡</t>
  </si>
  <si>
    <t>米切尔</t>
  </si>
  <si>
    <t>eid</t>
  </si>
  <si>
    <t>种类</t>
  </si>
  <si>
    <t>种类-2</t>
  </si>
  <si>
    <t>闪避</t>
  </si>
  <si>
    <t>轰炸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</si>
  <si>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</si>
  <si>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</si>
  <si>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</si>
  <si>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</si>
  <si>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</si>
  <si>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</si>
  <si>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</si>
  <si>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</si>
  <si>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</si>
  <si>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</si>
  <si>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</si>
  <si>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10026</t>
  </si>
  <si>
    <t>MainGun</t>
  </si>
  <si>
    <t>[战列主炮][超长][30火8空][限1]J国46厘米三连装炮</t>
  </si>
  <si>
    <t>主炮</t>
  </si>
  <si>
    <t>对空补正25%</t>
  </si>
  <si>
    <t>10035</t>
  </si>
  <si>
    <t>[战列主炮][长程][24火2命]U国三联16英寸炮(MK6)</t>
  </si>
  <si>
    <t>10036</t>
  </si>
  <si>
    <t>[战列主炮][超长][27火3命]U国三联16英寸炮(MK7)</t>
  </si>
  <si>
    <t>10049</t>
  </si>
  <si>
    <t>AntiAirGun</t>
  </si>
  <si>
    <t>[防空]U国双联3英寸防空炮</t>
  </si>
  <si>
    <t>防空炮</t>
  </si>
  <si>
    <t>对空补正35%；对空倍率3.1</t>
  </si>
  <si>
    <t>10068</t>
  </si>
  <si>
    <t>Bomber</t>
  </si>
  <si>
    <t>[舰爆][10轰1空]BTD-1毁灭者</t>
  </si>
  <si>
    <t>轰炸机</t>
  </si>
  <si>
    <t>铝耗5</t>
  </si>
  <si>
    <t>10082</t>
  </si>
  <si>
    <t>Radar</t>
  </si>
  <si>
    <t>[雷达][7索5命]改良型对海雷达</t>
  </si>
  <si>
    <t>雷达</t>
  </si>
  <si>
    <t>10084</t>
  </si>
  <si>
    <t>Sonar</t>
  </si>
  <si>
    <t>[声纳][10对潜]改良型声纳</t>
  </si>
  <si>
    <t>声纳</t>
  </si>
  <si>
    <t>10094</t>
  </si>
  <si>
    <t>Accessory</t>
  </si>
  <si>
    <t>[部件][闪避]改良型动力系统</t>
  </si>
  <si>
    <t>强化部件</t>
  </si>
  <si>
    <t>10095</t>
  </si>
  <si>
    <t>[中船部件][装甲]附加装甲(中型)</t>
  </si>
  <si>
    <t>10096</t>
  </si>
  <si>
    <t>[大船部件][装甲]附加装甲(大型)</t>
  </si>
  <si>
    <t>10102</t>
  </si>
  <si>
    <t>[战列主炮][超长][25火1命]F国四联380毫米炮</t>
  </si>
  <si>
    <t>10106</t>
  </si>
  <si>
    <t>[雷达][7索3命]先进型对空雷达</t>
  </si>
  <si>
    <t>对空补正40%；对空倍率3.3</t>
  </si>
  <si>
    <t>10107</t>
  </si>
  <si>
    <t>[雷达][10索6命][限2]先进型对海雷达</t>
  </si>
  <si>
    <t>10111</t>
  </si>
  <si>
    <t>[声纳][12对潜][限1]先进型声纳</t>
  </si>
  <si>
    <t>10112</t>
  </si>
  <si>
    <t>DepthMine</t>
  </si>
  <si>
    <t>[深投][10对潜]先进型深弹投射器</t>
  </si>
  <si>
    <t>深投</t>
  </si>
  <si>
    <t>10113</t>
  </si>
  <si>
    <t>[深投][9对潜]捕鼠器深弹投射器</t>
  </si>
  <si>
    <t>10114</t>
  </si>
  <si>
    <t>[深投][15对潜]刺猬弹深弹投射器</t>
  </si>
  <si>
    <t>10115</t>
  </si>
  <si>
    <t>[部件][装甲]附加装甲(小型)</t>
  </si>
  <si>
    <t>10116</t>
  </si>
  <si>
    <t>[部件][闪避]先进型动力系统</t>
  </si>
  <si>
    <t>10117</t>
  </si>
  <si>
    <t>[部件][闪避]发烟筒</t>
  </si>
  <si>
    <t>重巡以下船只专用（航母类不能使用）</t>
  </si>
  <si>
    <t>10127</t>
  </si>
  <si>
    <t>[舰爆][20轰][高轰]B-25(杜立特队)</t>
  </si>
  <si>
    <t>铝耗15</t>
  </si>
  <si>
    <t>10129</t>
  </si>
  <si>
    <t>Shell</t>
  </si>
  <si>
    <t>[炮弹][上限]超重弹</t>
  </si>
  <si>
    <t>炮弹</t>
  </si>
  <si>
    <t>004</t>
  </si>
  <si>
    <t>{'num': 25}</t>
  </si>
  <si>
    <t>炮击战阶段增加25%攻击上限（同类弹药效果只会生效一个）</t>
  </si>
  <si>
    <t>uplimit_buff:0.25</t>
  </si>
  <si>
    <t>10130</t>
  </si>
  <si>
    <t>[炮弹][穿甲]91式穿甲弹</t>
  </si>
  <si>
    <t>003</t>
  </si>
  <si>
    <t>{'ap': 0.2}</t>
  </si>
  <si>
    <t>增加20%护甲穿透（同类弹药效果只生效一个）</t>
  </si>
  <si>
    <t>pierce_coef:0.2</t>
  </si>
  <si>
    <t>10140</t>
  </si>
  <si>
    <t>DiveBomber</t>
  </si>
  <si>
    <t>[舰攻][16雷][限1]XTB2D空中海盗</t>
  </si>
  <si>
    <t>鱼雷机</t>
  </si>
  <si>
    <t>铝耗9</t>
  </si>
  <si>
    <t>10145</t>
  </si>
  <si>
    <t>[水爆][5轰2空]瑞云</t>
  </si>
  <si>
    <t>铝耗4</t>
  </si>
  <si>
    <t>10146</t>
  </si>
  <si>
    <t>[水爆][8轰]晴岚</t>
  </si>
  <si>
    <t>10147</t>
  </si>
  <si>
    <t>[战列主炮][长程][26火]E国三联16英寸炮(改)</t>
  </si>
  <si>
    <t>10151</t>
  </si>
  <si>
    <t>Torpedo</t>
  </si>
  <si>
    <t>[鱼雷][12雷][限1]61厘米五连装氧气鱼雷</t>
  </si>
  <si>
    <t>10152</t>
  </si>
  <si>
    <t>[潜用鱼雷][15雷]53厘米氧气鱼雷(潜艇)</t>
  </si>
  <si>
    <t>10153</t>
  </si>
  <si>
    <t>[潜用鱼雷][12雷]533毫米磁性鱼雷(潜艇)</t>
  </si>
  <si>
    <t>10154</t>
  </si>
  <si>
    <t>[潜用鱼雷][12雷]21英寸鱼雷(潜艇)</t>
  </si>
  <si>
    <t>10155</t>
  </si>
  <si>
    <t>[防空]E国博福斯40毫米防空机炮(六联)</t>
  </si>
  <si>
    <t>10157</t>
  </si>
  <si>
    <t>[雷达][6索8命]E国274型雷达</t>
  </si>
  <si>
    <t>10169</t>
  </si>
  <si>
    <t>[部件][装甲]普列塞水下防护系统</t>
  </si>
  <si>
    <t>10170</t>
  </si>
  <si>
    <t>[部件][降索敌]意式餐具套装</t>
  </si>
  <si>
    <t>10174</t>
  </si>
  <si>
    <t>[鱼雷][5雷3闪]F国旋转鱼雷发射器</t>
  </si>
  <si>
    <t>10177</t>
  </si>
  <si>
    <t>[轻巡主炮][长程][8火]S国三联180毫米炮</t>
  </si>
  <si>
    <t>10191</t>
  </si>
  <si>
    <t>[重巡主炮][中程][10火2命]U国三联8英寸炮(MK12/15)</t>
  </si>
  <si>
    <t>10213</t>
  </si>
  <si>
    <t>[潜用鱼雷][15雷]MK.16鱼雷（潜艇）</t>
  </si>
  <si>
    <t>10215</t>
  </si>
  <si>
    <t>[部件][中保+1]贝阿朵莉丝·鱼饼</t>
  </si>
  <si>
    <t>装备后舰船耐久+1</t>
  </si>
  <si>
    <t>10216</t>
  </si>
  <si>
    <t>[部件][中保-1]贝尔麦坎·三世</t>
  </si>
  <si>
    <t>装备后舰船耐久-1</t>
  </si>
  <si>
    <t>10217</t>
  </si>
  <si>
    <t>Fighter</t>
  </si>
  <si>
    <t>[舰战][13空][限1]P-39（波克雷什金机）</t>
  </si>
  <si>
    <t>战斗机</t>
  </si>
  <si>
    <t>10218</t>
  </si>
  <si>
    <t>[舰战][12空][限1]F4U（波音顿机）</t>
  </si>
  <si>
    <t>10220</t>
  </si>
  <si>
    <t>[舰战][12空][限1]BF-109E（加兰德机）</t>
  </si>
  <si>
    <t>10221</t>
  </si>
  <si>
    <t>[舰战][13空][限1]LA-7（阔日杜布机）</t>
  </si>
  <si>
    <t>10222</t>
  </si>
  <si>
    <t>[战列主炮][超长][32火][限1]G国双联533毫米炮</t>
  </si>
  <si>
    <t>10224</t>
  </si>
  <si>
    <t>[战列主炮][超长][28火1命][限1]U国双联18英寸炮</t>
  </si>
  <si>
    <t>10225</t>
  </si>
  <si>
    <t>[鱼雷][15雷][限2]72厘米三连装鱼雷</t>
  </si>
  <si>
    <t>10226</t>
  </si>
  <si>
    <t>[战列主炮][超长][27火5空][限1]J国试制48厘米连装炮</t>
  </si>
  <si>
    <t>10229</t>
  </si>
  <si>
    <t>[潜用鱼雷][12雷3闪]G7eT10线导鱼雷(潜艇)</t>
  </si>
  <si>
    <t>10230</t>
  </si>
  <si>
    <t>[舰爆][21轰][高轰][限1]A-2</t>
  </si>
  <si>
    <t>10232</t>
  </si>
  <si>
    <t>[战列主炮][超长][25火3命][衣阿华]早期型U国三联16英寸炮（MK7）</t>
  </si>
  <si>
    <t>早期试用型，仅限衣阿华级装备</t>
  </si>
  <si>
    <t>10239</t>
  </si>
  <si>
    <t>[重巡主炮][长程][12火2命]MK.16三联8英寸自动炮</t>
  </si>
  <si>
    <t>10243</t>
  </si>
  <si>
    <t>[舰战][15空][限1]F2H报丧女妖</t>
  </si>
  <si>
    <t>铝耗8</t>
  </si>
  <si>
    <t>10249</t>
  </si>
  <si>
    <t>[舰攻][15雷][限1]图-91</t>
  </si>
  <si>
    <t>10251</t>
  </si>
  <si>
    <t>Launcher</t>
  </si>
  <si>
    <t>[发射/导]上游-1发射器</t>
  </si>
  <si>
    <t>导弹发射器</t>
  </si>
  <si>
    <t>10252</t>
  </si>
  <si>
    <t>NormalMissile</t>
  </si>
  <si>
    <t>[导弹]上游-1导弹</t>
  </si>
  <si>
    <t>导弹</t>
  </si>
  <si>
    <t>{'ap': 0.1}</t>
  </si>
  <si>
    <t>增加10%护甲穿透效果；铝耗10</t>
  </si>
  <si>
    <t>pierce_coef:0.1</t>
  </si>
  <si>
    <t>10253</t>
  </si>
  <si>
    <t>[发射/防]MK-10导弹发射器</t>
  </si>
  <si>
    <t>防空导弹发射器</t>
  </si>
  <si>
    <t>10254</t>
  </si>
  <si>
    <t>AntiMissile</t>
  </si>
  <si>
    <t>[防导][15火25拦]小猎犬导弹</t>
  </si>
  <si>
    <t>防空导弹</t>
  </si>
  <si>
    <t>对空补正73%；对空倍率3.7；铝耗9</t>
  </si>
  <si>
    <t>10255</t>
  </si>
  <si>
    <t>[部件][中保+2]合味道</t>
  </si>
  <si>
    <t>10260</t>
  </si>
  <si>
    <t>[重巡主炮][长程][10火][限1]G国三联203毫米炮</t>
  </si>
  <si>
    <t>10261</t>
  </si>
  <si>
    <t>[舰攻][10雷6空][限1]“火把”鱼雷战斗机</t>
  </si>
  <si>
    <t>10262</t>
  </si>
  <si>
    <t>[部件][闪避][限1]新型高压锅炉</t>
  </si>
  <si>
    <t>10264</t>
  </si>
  <si>
    <t>[导弹][限1]C-301反舰导弹</t>
  </si>
  <si>
    <t>{'ap': 0.15}</t>
  </si>
  <si>
    <t>增加15%护甲穿透效果；铝耗13</t>
  </si>
  <si>
    <t>pierce_coef:0.15</t>
  </si>
  <si>
    <t>10265</t>
  </si>
  <si>
    <t>[水战][11空][限2]SR.A/1水上战斗机</t>
  </si>
  <si>
    <t>10266</t>
  </si>
  <si>
    <t>[导弹][限2]“企鹅”反舰导弹</t>
  </si>
  <si>
    <t>{'ap': 0.05}</t>
  </si>
  <si>
    <t>增加5%护甲穿透效果；铝耗4</t>
  </si>
  <si>
    <t>pierce_coef:0.05</t>
  </si>
  <si>
    <t>10267</t>
  </si>
  <si>
    <t>[战列主炮][超长][27火2空][减益]I国三联381毫米炮改</t>
  </si>
  <si>
    <t>对空倍率1.1</t>
  </si>
  <si>
    <t>10269</t>
  </si>
  <si>
    <t>[重巡主炮][长程][13火][限1]U国双联12英寸炮（CB）</t>
  </si>
  <si>
    <t>10272</t>
  </si>
  <si>
    <t>[舰攻][6雷9空]G.55S</t>
  </si>
  <si>
    <t>10275</t>
  </si>
  <si>
    <t>[舰战][14空][限1]海流星战斗机</t>
  </si>
  <si>
    <t>铝耗7</t>
  </si>
  <si>
    <t>10279</t>
  </si>
  <si>
    <t>[战列主炮][超长][27火]E国18英寸双联主炮</t>
  </si>
  <si>
    <t>对空补正35%</t>
  </si>
  <si>
    <t>10282</t>
  </si>
  <si>
    <t>[部件][中保-1]飞翔的怀特</t>
  </si>
  <si>
    <t/>
  </si>
  <si>
    <t>10285</t>
  </si>
  <si>
    <t>[防空]S国СМ-20-ЗИФ四联45毫米高炮</t>
  </si>
  <si>
    <t>对空补正40%；对空倍率3</t>
  </si>
  <si>
    <t>10286</t>
  </si>
  <si>
    <t>[防空]博福斯M1951双联57毫米高炮</t>
  </si>
  <si>
    <t>对空补正45%；对空倍率3.1</t>
  </si>
  <si>
    <t>10292</t>
  </si>
  <si>
    <t>[鱼雷][12雷2闪][限2]61厘米四连F3试制鱼雷</t>
  </si>
  <si>
    <t>10295</t>
  </si>
  <si>
    <t>[重巡主炮][长程][9火2命]254毫米博福斯双联主炮</t>
  </si>
  <si>
    <t>10301</t>
  </si>
  <si>
    <t>[轻巡主炮][长程][9火2命][限2]S国改良型三联180毫米炮</t>
  </si>
  <si>
    <t>10302</t>
  </si>
  <si>
    <t>[战列主炮][长程][28火][限1]F国M1920型三联450毫米主炮</t>
  </si>
  <si>
    <t>10304</t>
  </si>
  <si>
    <t>[防空][限1]“海猫”近程舰对空导弹</t>
  </si>
  <si>
    <t>对空补正50%；对空倍率3.3</t>
  </si>
  <si>
    <t>10305</t>
  </si>
  <si>
    <t>[爆战][8轰5空][对潜][限1]萤火虫AS.MK5</t>
  </si>
  <si>
    <t>铝耗6</t>
  </si>
  <si>
    <t>10306</t>
  </si>
  <si>
    <t>[战列主炮][长程][24火5空]J国试制41厘米三连主炮</t>
  </si>
  <si>
    <t>10317</t>
  </si>
  <si>
    <t>[轻巡主炮][长程][10火][限2]Ar国双联24厘米炮</t>
  </si>
  <si>
    <t>10318</t>
  </si>
  <si>
    <t>[潜用鱼雷][12雷6闪][限1]G7es声导鱼雷</t>
  </si>
  <si>
    <t>10319</t>
  </si>
  <si>
    <t>[导弹][限2]萨博08反舰导弹</t>
  </si>
  <si>
    <t>10321</t>
  </si>
  <si>
    <t>[战列主炮][长程][27火][限1]I国双联45.7厘米炮</t>
  </si>
  <si>
    <t>10322</t>
  </si>
  <si>
    <t>[轻巡主炮][中程][9火1命1运]E国双联9.2英寸炮</t>
  </si>
  <si>
    <t>10327</t>
  </si>
  <si>
    <t>[舰战][13空][限1]F4U（足球战争）</t>
  </si>
  <si>
    <t>10329</t>
  </si>
  <si>
    <t>[导弹]“狗鱼”反舰导弹</t>
  </si>
  <si>
    <t>10330</t>
  </si>
  <si>
    <t>[防空][限1]S国ЗИФ-75四联57毫米高炮</t>
  </si>
  <si>
    <t>对空倍率3.2</t>
  </si>
  <si>
    <t>10331</t>
  </si>
  <si>
    <t>[轻巡主炮][中程][10火8空]E国双联MK.N5型6英寸高平速射炮</t>
  </si>
  <si>
    <t>对空补正30%；对空倍率2.8</t>
  </si>
  <si>
    <t>10332</t>
  </si>
  <si>
    <t>[发射/导]СМ-59-1发射架</t>
  </si>
  <si>
    <t>10334</t>
  </si>
  <si>
    <t>[战列主炮][长程][27火6空][限1]J国双联长管46厘米主炮</t>
  </si>
  <si>
    <t>对空补正30%</t>
  </si>
  <si>
    <t>10335</t>
  </si>
  <si>
    <t>[舰攻][12雷][限1]“旗鱼”攻击机</t>
  </si>
  <si>
    <t>10336</t>
  </si>
  <si>
    <t>[潜用鱼雷][17雷][限2]九五式2型鱼雷（潜艇）</t>
  </si>
  <si>
    <t>10339</t>
  </si>
  <si>
    <t>[深投][15对潜3火][限1]РБУ-2500反潜火箭弹</t>
  </si>
  <si>
    <t>10340</t>
  </si>
  <si>
    <t>[鱼雷][14雷][限2]九三式3型鱼雷（四联）</t>
  </si>
  <si>
    <t>10341</t>
  </si>
  <si>
    <t>[舰战][15空][限1]F9F“黑豹”</t>
  </si>
  <si>
    <t>10343</t>
  </si>
  <si>
    <t>[战列主炮][长程][29火][限1]U国三联18英寸炮</t>
  </si>
  <si>
    <t>10345</t>
  </si>
  <si>
    <t>[重巡主炮][中程][15火][限1]U国双联背负式12/8英寸炮</t>
  </si>
  <si>
    <t>10348</t>
  </si>
  <si>
    <t>[雷达][4命][雷命][限2]鱼雷方位盘</t>
  </si>
  <si>
    <t>011</t>
  </si>
  <si>
    <t>{'hit': 10}</t>
  </si>
  <si>
    <t>鱼雷战阶段增加10%命中率</t>
  </si>
  <si>
    <t>hit_rate:0.1,SecondTorpedoPhase</t>
  </si>
  <si>
    <t>10350</t>
  </si>
  <si>
    <t>[轻巡主炮][中程][11火7空]U国MK16DP双联6英寸高射炮</t>
  </si>
  <si>
    <t>对空补正30%；对空倍率2.7</t>
  </si>
  <si>
    <t>10351</t>
  </si>
  <si>
    <t>[战列主炮][超长][25火4命]G国SKC/40型42厘米三联主炮</t>
  </si>
  <si>
    <t>10353</t>
  </si>
  <si>
    <t>[防空][敌全减命][限1]E国防空火箭弹</t>
  </si>
  <si>
    <t>012</t>
  </si>
  <si>
    <t>{'hit': -10}</t>
  </si>
  <si>
    <t>降低敌方航空战阶段10%命中率</t>
  </si>
  <si>
    <t>Side(0,{hit_rate:-0.1,AirPhase})</t>
  </si>
  <si>
    <t>10355</t>
  </si>
  <si>
    <t>[部件][中保-1]万圣夜蝙蝠</t>
  </si>
  <si>
    <t>10356</t>
  </si>
  <si>
    <t>[部件][中保+1]糖果捣蛋</t>
  </si>
  <si>
    <t>10357</t>
  </si>
  <si>
    <t>[鱼雷][12雷]J国六联61厘米鱼雷</t>
  </si>
  <si>
    <t>10358</t>
  </si>
  <si>
    <t>[轻巡主炮][中程][11火8空]E国三联6英寸高平两用炮</t>
  </si>
  <si>
    <t>对空补正35%；对空倍率2.8</t>
  </si>
  <si>
    <t>10359</t>
  </si>
  <si>
    <t>[舰战][13空][限1]F4F（约翰·萨奇）</t>
  </si>
  <si>
    <t>10361</t>
  </si>
  <si>
    <t>ScoutPlane</t>
  </si>
  <si>
    <t>[侦察机][对潜]剑鱼（厌战）</t>
  </si>
  <si>
    <t>侦察机</t>
  </si>
  <si>
    <t>10363</t>
  </si>
  <si>
    <t>[战列主炮][长程][28火2命][限1]E国三联18英寸主炮（K）</t>
  </si>
  <si>
    <t>10364</t>
  </si>
  <si>
    <t>[炮弹][穿甲][限1]一式穿甲弹</t>
  </si>
  <si>
    <t>{'ap': 0.25}</t>
  </si>
  <si>
    <t>增加25%护甲穿透（同类弹药效果只生效一个）</t>
  </si>
  <si>
    <t>pierce_coef:0.25</t>
  </si>
  <si>
    <t>10365</t>
  </si>
  <si>
    <t>[水爆][9轰2空][限2]瑞云12型</t>
  </si>
  <si>
    <t>10367</t>
  </si>
  <si>
    <t>[重巡主炮][长程][13火2空][限2]S国三联240毫米炮</t>
  </si>
  <si>
    <t>10370</t>
  </si>
  <si>
    <t>[导弹][限1]上游-1甲</t>
  </si>
  <si>
    <t>增加10%护甲穿透（同类弹药效果只生效一个）；铝耗10</t>
  </si>
  <si>
    <t>10371</t>
  </si>
  <si>
    <t>[战列主炮][长程][28火7空][减益][限1]试制四联41厘米主炮</t>
  </si>
  <si>
    <t>10373</t>
  </si>
  <si>
    <t>[潜用部件][索敌][限2]潜用SJ雷达</t>
  </si>
  <si>
    <t>10375</t>
  </si>
  <si>
    <t>[舰攻][15雷][限1]A2D天鲨</t>
  </si>
  <si>
    <t>10376</t>
  </si>
  <si>
    <t>[防空][限1]АК-230</t>
  </si>
  <si>
    <t>对空补正25%；对空倍率3</t>
  </si>
  <si>
    <t>10377</t>
  </si>
  <si>
    <t>[鱼雷][12雷2闪][限2]九二式鱼雷发射器（3型）</t>
  </si>
  <si>
    <t>10381</t>
  </si>
  <si>
    <t>[大船部件][装甲][限2]多层装甲</t>
  </si>
  <si>
    <t>10385</t>
  </si>
  <si>
    <t>[战列主炮][长程][28火2命][圣乔治]E国三联18英寸主炮（N）</t>
  </si>
  <si>
    <t>仅限圣乔治装备</t>
  </si>
  <si>
    <t>10389</t>
  </si>
  <si>
    <t>[深投][12对潜3索][限2]QH-50反潜无人机</t>
  </si>
  <si>
    <t>10391</t>
  </si>
  <si>
    <t>[防导][11火27拦]鞑靼人防空导弹</t>
  </si>
  <si>
    <t>对空补正70%；对空倍率3.9；铝耗8</t>
  </si>
  <si>
    <t>10392</t>
  </si>
  <si>
    <t>[重巡主炮][长程][10火]维克斯双联10英寸主炮</t>
  </si>
  <si>
    <t>10393</t>
  </si>
  <si>
    <t>[轻巡主炮][长程][9火1命][限2]F国单装27厘米炮</t>
  </si>
  <si>
    <t>10394</t>
  </si>
  <si>
    <t>[舰攻][8雷9空][限2]FW-190A5/U14</t>
  </si>
  <si>
    <t>10396</t>
  </si>
  <si>
    <t>[战列主炮][超长][30火][限1]U国18英寸主炮（三联）</t>
  </si>
  <si>
    <t>10398</t>
  </si>
  <si>
    <t>[雷达][12索6命][限1]SG雷达（CL-50）</t>
  </si>
  <si>
    <t>10401</t>
  </si>
  <si>
    <t>[防空][限2]呯呯炮（282）</t>
  </si>
  <si>
    <t>10404</t>
  </si>
  <si>
    <t>[战列主炮][长程][22火7命4空3索3运][限1]E国双联15英寸炮（284）</t>
  </si>
  <si>
    <t>10405</t>
  </si>
  <si>
    <t>[防导][15火20拦]海参防空导弹</t>
  </si>
  <si>
    <t>对空补正65%；对空倍率3.7；铝耗9</t>
  </si>
  <si>
    <t>10406</t>
  </si>
  <si>
    <t>[发射/防]海参导弹发射系统</t>
  </si>
  <si>
    <t>10407</t>
  </si>
  <si>
    <t>[重防导][20火24拦]黄铜骑士防空导弹</t>
  </si>
  <si>
    <t>对空补正78%；对空倍率3.8；铝耗10</t>
  </si>
  <si>
    <t>10408</t>
  </si>
  <si>
    <t>[发射/防]MK12导弹发射系统</t>
  </si>
  <si>
    <t>10409</t>
  </si>
  <si>
    <t>[防空]СМ-24-ЗИФ双联57毫米高炮</t>
  </si>
  <si>
    <t>对空补正38%；对空倍率3</t>
  </si>
  <si>
    <t>10410</t>
  </si>
  <si>
    <t>[重防导][26火20拦][限2]黄铜骑士H</t>
  </si>
  <si>
    <t>对空补正60%；对空倍率3；铝耗9</t>
  </si>
  <si>
    <t>10411</t>
  </si>
  <si>
    <t>[重巡主炮][中程][10火5命3空][限2]三年式20厘米炮（一四式方位盘）</t>
  </si>
  <si>
    <t>{'num': 10}</t>
  </si>
  <si>
    <t>炮击战阶段增加10%攻击上限（同类弹药效果只会生效一个）；仅限J国舰船装备</t>
  </si>
  <si>
    <t>uplimit_buff:0.1</t>
  </si>
  <si>
    <t>10413</t>
  </si>
  <si>
    <t>[导弹]“白蚁”M反舰导弹</t>
  </si>
  <si>
    <t>10414</t>
  </si>
  <si>
    <t>[发射/导]КТ-15М-БРК发射器</t>
  </si>
  <si>
    <t>10415</t>
  </si>
  <si>
    <t>[鱼雷][声纳雷][11雷][限1]ЧТА-53-1135鱼雷发射器</t>
  </si>
  <si>
    <t>10417</t>
  </si>
  <si>
    <t>[战列主炮][长程][27火3命][限1]G国48厘米双联主炮（43）</t>
  </si>
  <si>
    <t>10420</t>
  </si>
  <si>
    <t>[舰攻][15雷][限2]NC.1071攻击机</t>
  </si>
  <si>
    <t>10425</t>
  </si>
  <si>
    <t>[防导][10火28拦]标准-1</t>
  </si>
  <si>
    <t>对空补正70%；对空倍率4；铝耗8</t>
  </si>
  <si>
    <t>10426</t>
  </si>
  <si>
    <t>[发射/防]MK13导弹发射系统</t>
  </si>
  <si>
    <t>10431</t>
  </si>
  <si>
    <t>[轻巡主炮][长程][9火2命][限2]E国双联9.2英寸炮（ACR）</t>
  </si>
  <si>
    <t>10432</t>
  </si>
  <si>
    <t>[舰攻][13雷10空][限1]雄鹰302乙</t>
  </si>
  <si>
    <t>10433</t>
  </si>
  <si>
    <t>[战列主炮][长程][26火2命3甲][限1]S国三联460毫米炮</t>
  </si>
  <si>
    <t>10434</t>
  </si>
  <si>
    <t>[部件][鱼雷][限1]潜用快速装填系统</t>
  </si>
  <si>
    <t>10435</t>
  </si>
  <si>
    <t>[防导][13火25拦][限1]箱式标准-1</t>
  </si>
  <si>
    <t>对空补正70%；对空倍率4；铝耗7</t>
  </si>
  <si>
    <t>10436</t>
  </si>
  <si>
    <t>[深投][16对潜2火][限2]阿尔法反潜武器</t>
  </si>
  <si>
    <t>10438</t>
  </si>
  <si>
    <t>[战列主炮][长程][25火5命][限1]MK6三联16英寸主炮（mk8）</t>
  </si>
  <si>
    <t>10441</t>
  </si>
  <si>
    <t>[潜用部件][索敌][限2]AR-231潜载侦察机</t>
  </si>
  <si>
    <t>10446</t>
  </si>
  <si>
    <t>[水爆][14轰][对潜][限2]HA-139</t>
  </si>
  <si>
    <t>10448</t>
  </si>
  <si>
    <t>[雷达][8索3命][限2]271雷达</t>
  </si>
  <si>
    <t>10449</t>
  </si>
  <si>
    <t>[战列主炮][长程][24火7命2空2索][限1]双联380毫米主炮（SKC/34）</t>
  </si>
  <si>
    <t>10451</t>
  </si>
  <si>
    <t>[潜用鱼雷][13雷4闪][限1]潜用Fat鱼雷</t>
  </si>
  <si>
    <t>10452</t>
  </si>
  <si>
    <t>[战列主炮][长程][24火4命3空5索2运][限1]E国四联14英寸主炮（284）</t>
  </si>
  <si>
    <t>10454</t>
  </si>
  <si>
    <t>[鱼雷][减益][18雷][限1]四联零式72厘米鱼雷</t>
  </si>
  <si>
    <t>10457</t>
  </si>
  <si>
    <t>[潜用鱼雷][12雷4闪][限1]MK27鱼雷</t>
  </si>
  <si>
    <t>10458</t>
  </si>
  <si>
    <t>[舰爆][23轰][高轰][限1]XA2J</t>
  </si>
  <si>
    <t>10459</t>
  </si>
  <si>
    <t>[水战][14空][限1]海吸血鬼（弹性甲板）</t>
  </si>
  <si>
    <t>10460</t>
  </si>
  <si>
    <t>[防导][18火24拦][限1]小猎犬F</t>
  </si>
  <si>
    <t>对空补正75%；对空倍率3.8；铝耗8</t>
  </si>
  <si>
    <t>10463</t>
  </si>
  <si>
    <t>[战列主炮][长程][28火2命2运][限1]E国18英寸主炮（M）</t>
  </si>
  <si>
    <t>10464</t>
  </si>
  <si>
    <t>[舰爆][13轰][对潜][限2]Br.960</t>
  </si>
  <si>
    <t>10466</t>
  </si>
  <si>
    <t>[鱼雷][12雷2闪][限1]鱼雷再装填系统</t>
  </si>
  <si>
    <t>10467</t>
  </si>
  <si>
    <t>[轻巡主炮][中程][13火8空][限1]三联高平两用主炮（六英寸）</t>
  </si>
  <si>
    <t>10468</t>
  </si>
  <si>
    <t>[战列主炮][超长][30火3空][限1]试制甲炮</t>
  </si>
  <si>
    <t>10471</t>
  </si>
  <si>
    <t>[驱逐主炮][长程][5火][限1]神秘武器</t>
  </si>
  <si>
    <t>10473</t>
  </si>
  <si>
    <t>[深投][15对潜4火][限1]博福斯375毫米反潜火箭</t>
  </si>
  <si>
    <t>10475</t>
  </si>
  <si>
    <t>[雷达][6索1命][限1]SO雷达</t>
  </si>
  <si>
    <t>10476</t>
  </si>
  <si>
    <t>[重巡主炮][长程][14火][限1]试制三十厘主炮</t>
  </si>
  <si>
    <t>10477</t>
  </si>
  <si>
    <t>[战列主炮][超长][28火3空][限1]超战舰三联主炮</t>
  </si>
  <si>
    <t>10478</t>
  </si>
  <si>
    <t>[战列主炮][超长][25火2空]五年式四十六厘主炮</t>
  </si>
  <si>
    <t>10481</t>
  </si>
  <si>
    <t>[轻巡主炮][长程][13火2命][限1]三联254毫米主炮</t>
  </si>
  <si>
    <t>10486</t>
  </si>
  <si>
    <t>[驱逐主炮][10火][限1]海上杀手导弹系统</t>
  </si>
  <si>
    <t>10487</t>
  </si>
  <si>
    <t>[防空][限1]715Ⅱ弹炮合一防空系统</t>
  </si>
  <si>
    <t>对空补正55%；对空倍率3.3</t>
  </si>
  <si>
    <t>10488</t>
  </si>
  <si>
    <t>[防导][14火25拦][限1]海标枪（051S）</t>
  </si>
  <si>
    <t>对空补正72%；对空倍率3.5；铝耗8</t>
  </si>
  <si>
    <t>10489</t>
  </si>
  <si>
    <t>[驱逐主炮][中程][8火][限1]9.2英寸舰炮（BM）</t>
  </si>
  <si>
    <t>10491</t>
  </si>
  <si>
    <t>[战列主炮][长程][24火6命3运][限1]双联15英寸MKII主炮</t>
  </si>
  <si>
    <t>10493</t>
  </si>
  <si>
    <t>[轻巡主炮][中程][7火2命7空][限2]152毫米三联高平炮（46）</t>
  </si>
  <si>
    <t>10495</t>
  </si>
  <si>
    <t>[战列主炮][超长][29火3命][限1]G国双联508毫米炮（H）</t>
  </si>
  <si>
    <t>10496</t>
  </si>
  <si>
    <t>[雷达][5索3命][限2]SK-2对空雷达</t>
  </si>
  <si>
    <t>对空补正75%；对空倍率3.3</t>
  </si>
  <si>
    <t>10497</t>
  </si>
  <si>
    <t>[声纳][12对潜][限1]球鼻艏（声纳）</t>
  </si>
  <si>
    <t>10498</t>
  </si>
  <si>
    <t>[发射/导]MK.141导弹发射架</t>
  </si>
  <si>
    <t>10499</t>
  </si>
  <si>
    <t>[导弹]RGM-84鱼叉反舰导弹</t>
  </si>
  <si>
    <t>10500</t>
  </si>
  <si>
    <t>[舰攻][12雷][限2]彩云（舰攻）</t>
  </si>
  <si>
    <t>10501</t>
  </si>
  <si>
    <t>[雷达][5索9命][限1]射击方位盘（超战舰）</t>
  </si>
  <si>
    <t>对空补正35%；对空倍率2.2</t>
  </si>
  <si>
    <t>10502</t>
  </si>
  <si>
    <t>[深投][15对潜][限2]地狱边境深弹投射器</t>
  </si>
  <si>
    <t>10503</t>
  </si>
  <si>
    <t>[防空][限1]АК-725</t>
  </si>
  <si>
    <t>对空补正50%；对空倍率3.4</t>
  </si>
  <si>
    <t>10506</t>
  </si>
  <si>
    <t>[舰战][13空][限1]海雌狐战斗机</t>
  </si>
  <si>
    <t>10507</t>
  </si>
  <si>
    <t>[战列主炮][超长][29火2命][限1]四联406毫米主炮（试制）</t>
  </si>
  <si>
    <t>10508</t>
  </si>
  <si>
    <t>[战列主炮][超长][30火10空][减益][限1]三联九四式主炮（MU）</t>
  </si>
  <si>
    <t>10509</t>
  </si>
  <si>
    <t>[部件][穿甲][限1]节日庆典礼花</t>
  </si>
  <si>
    <t>10510</t>
  </si>
  <si>
    <t>[深投][13对潜4雷][限1]MK-32鱼雷发射管（MK44）</t>
  </si>
  <si>
    <t>10511</t>
  </si>
  <si>
    <t xml:space="preserve">[鱼雷][14雷][限2]巡洋舰鱼雷系统   </t>
  </si>
  <si>
    <t>10512</t>
  </si>
  <si>
    <t>[舰战][14空][限1]FD-1鬼怪战斗机</t>
  </si>
  <si>
    <t>10513</t>
  </si>
  <si>
    <t>[潜用鱼雷][13雷6闪][限1]G7esT5潜艇鱼雷</t>
  </si>
  <si>
    <t>10516</t>
  </si>
  <si>
    <t>[轻巡主炮][中程][6火1命6空][限1]改进型6英寸三联主炮</t>
  </si>
  <si>
    <t>10517</t>
  </si>
  <si>
    <t>[防空][限1]“箭”便携舰空导弹</t>
  </si>
  <si>
    <t>对空补正45%；对空倍率3.3</t>
  </si>
  <si>
    <t>10518</t>
  </si>
  <si>
    <t>[雷达][12索2命][限2]AN/SPS-10搜索雷达</t>
  </si>
  <si>
    <t>对空补正40%；对空倍率3.2</t>
  </si>
  <si>
    <t>10519</t>
  </si>
  <si>
    <t>[炮弹][上限][限1]MK8炮弹</t>
  </si>
  <si>
    <t>10520</t>
  </si>
  <si>
    <t>[雷达][7命][限1]MK37火控雷达</t>
  </si>
  <si>
    <t>对空补正65%；对空倍率3.4</t>
  </si>
  <si>
    <t>10521</t>
  </si>
  <si>
    <t>[重巡主炮][长程][13火1命][限1]双联12英寸主炮（Sp）</t>
  </si>
  <si>
    <t>10522</t>
  </si>
  <si>
    <t>[舰攻][6雷][对潜][限1]AF-3S</t>
  </si>
  <si>
    <t>10523</t>
  </si>
  <si>
    <t>[舰攻][14雷][限1]509工程攻击机</t>
  </si>
  <si>
    <t>10524</t>
  </si>
  <si>
    <t>[发射/防][限1]防空导弹作战系统</t>
  </si>
  <si>
    <t>对空补正75%；对空倍率3.5</t>
  </si>
  <si>
    <t>10525</t>
  </si>
  <si>
    <t>[鱼雷][5雷9火][限1]三联鱼雷发射器（萨博）</t>
  </si>
  <si>
    <t>10526</t>
  </si>
  <si>
    <t>[战列主炮][超长][30火5空][限1]三联长管46厘米炮</t>
  </si>
  <si>
    <t>10527</t>
  </si>
  <si>
    <t>[雷达][6索][限2]AN/SPS-43雷达</t>
  </si>
  <si>
    <t>对空补正78%；对空倍率3.7</t>
  </si>
  <si>
    <t>10528</t>
  </si>
  <si>
    <t>[发射/导][限1]导弹发射箱 （183p）</t>
  </si>
  <si>
    <t>10529</t>
  </si>
  <si>
    <t>[战列主炮][超长][28火4命][限1]MK7（BM）</t>
  </si>
  <si>
    <t>10532</t>
  </si>
  <si>
    <t>[深投][17对潜3雷][限1]MK-112发射器（反潜）</t>
  </si>
  <si>
    <t>10534</t>
  </si>
  <si>
    <t>[战列主炮][长程][29火1甲][限1]三联18英寸主炮（提尔曼）</t>
  </si>
  <si>
    <t>10540</t>
  </si>
  <si>
    <t>[鱼雷][13雷][限1]XSUM-N-2</t>
  </si>
  <si>
    <t>10541</t>
  </si>
  <si>
    <t>[重巡主炮][长程][12火3命][限1]28厘米三联主炮（sp）</t>
  </si>
  <si>
    <t>10542</t>
  </si>
  <si>
    <t>[舰攻][15雷][限1]P2V(AUM)</t>
  </si>
  <si>
    <t>10543</t>
  </si>
  <si>
    <t>[驱逐主炮][中程][8火2命][限1]MK71型203毫米炮</t>
  </si>
  <si>
    <t>10547</t>
  </si>
  <si>
    <t>[舰战][14空][限1]F6U</t>
  </si>
  <si>
    <t>10549</t>
  </si>
  <si>
    <t>[舰战][12空][限1]海毒牙MK32</t>
  </si>
  <si>
    <t>10550</t>
  </si>
  <si>
    <t>[舰攻][12雷4空][限1]IA-58攻击机</t>
  </si>
  <si>
    <t>10551</t>
  </si>
  <si>
    <t>[战列主炮][超长][30火3命6空][限1]九四式主炮（22）</t>
  </si>
  <si>
    <t>10552</t>
  </si>
  <si>
    <t>[发射/防][限2]MK13发射系统(鱼叉备弹)</t>
  </si>
  <si>
    <t>10553</t>
  </si>
  <si>
    <t>[鱼雷][声纳雷][6雷2闪][限1]五联轻型鱼雷</t>
  </si>
  <si>
    <t>10554</t>
  </si>
  <si>
    <t>[潜用部件][索敌][限2]潜用声纳</t>
  </si>
  <si>
    <t>10555</t>
  </si>
  <si>
    <t>[战列主炮][长程][28火4命][限1]G国四联406毫米炮</t>
  </si>
  <si>
    <t>10556</t>
  </si>
  <si>
    <t>[舰战][13空][限1]柯蒂斯F15C</t>
  </si>
  <si>
    <t>10557</t>
  </si>
  <si>
    <t>[舰战][14空][限1]F4F(奥黑尔)</t>
  </si>
  <si>
    <t>10558</t>
  </si>
  <si>
    <t>[深投][15对潜][限1]РБУ-1000反潜深弹</t>
  </si>
  <si>
    <t>10559</t>
  </si>
  <si>
    <t>[舰攻][15雷][限1]AM-1拳击手(t)</t>
  </si>
  <si>
    <t>10560</t>
  </si>
  <si>
    <t>[鱼雷][19雷][限1]七联鱼雷发射器</t>
  </si>
  <si>
    <t>10562</t>
  </si>
  <si>
    <t>[战列主炮][超长][32火][限1]533毫米联装主炮（试）</t>
  </si>
  <si>
    <t>10563</t>
  </si>
  <si>
    <t>[舰战][16空][限1]美洲狮式战斗机</t>
  </si>
  <si>
    <t>10564</t>
  </si>
  <si>
    <t>[驱逐主炮][13火][减益][限1]A22火箭炮</t>
  </si>
  <si>
    <t>10565</t>
  </si>
  <si>
    <t>[部件][闪避][限1]干扰弹发射器</t>
  </si>
  <si>
    <t>10566</t>
  </si>
  <si>
    <t>[轻巡主炮][长程][10火][限1]单装试制30厘米炮</t>
  </si>
  <si>
    <t>10567</t>
  </si>
  <si>
    <t>[防导][19火21拦][限1]马舒卡防空导弹（早期型）</t>
  </si>
  <si>
    <t>10568</t>
  </si>
  <si>
    <t>[潜用部件][闪避][限2]自卫系统(潜用)</t>
  </si>
  <si>
    <t>10569</t>
  </si>
  <si>
    <t>[舰攻][12雷][限1]Nord1500攻击机</t>
  </si>
  <si>
    <t>10570</t>
  </si>
  <si>
    <t>[战列主炮][长程][21火5命6空][限1]双联41厘米炮(演习)</t>
  </si>
  <si>
    <t>10571</t>
  </si>
  <si>
    <t>[舰爆][12轰][穿甲][限1]梭鱼攻击机(720kg)</t>
  </si>
  <si>
    <t>增加15%护甲穿透(同类弹药效果只生效一个)；铝耗5</t>
  </si>
  <si>
    <t>10572</t>
  </si>
  <si>
    <t>[重巡主炮][长程][13火1命][限1]E国三联9.2寸主炮</t>
  </si>
  <si>
    <t>10573</t>
  </si>
  <si>
    <t>[舰攻][2雷][对潜][限2]H-34G反潜直升机</t>
  </si>
  <si>
    <t>10574</t>
  </si>
  <si>
    <t>[鱼雷][13雷][限1]61厘米鱼雷发射器(9)</t>
  </si>
  <si>
    <t>10575</t>
  </si>
  <si>
    <t>[舰爆][13轰][限1]BTD-1毁灭者(2000磅)</t>
  </si>
  <si>
    <t>10576</t>
  </si>
  <si>
    <t>[舰战][14空][限1]VG.90战斗机</t>
  </si>
  <si>
    <t>10577</t>
  </si>
  <si>
    <t>[战列主炮][超长][32火1命][限1]G国试制533毫米炮（36）</t>
  </si>
  <si>
    <t>10578</t>
  </si>
  <si>
    <t>[重巡主炮][长程][12火1命2甲][限2]双联30厘米炮(k)</t>
  </si>
  <si>
    <t>10579</t>
  </si>
  <si>
    <t>[发射/导][限2]企鹅导弹发射箱</t>
  </si>
  <si>
    <t>10580</t>
  </si>
  <si>
    <t>[爆战][10轰9空][穿甲][限2]Me-163（BT）</t>
  </si>
  <si>
    <t>10581</t>
  </si>
  <si>
    <t>[导弹][济南]海鹰反舰导弹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</si>
  <si>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</si>
  <si>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</si>
  <si>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</si>
  <si>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</si>
  <si>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[发射/导][济南]海鹰导弹发射器</t>
  </si>
  <si>
    <t>582</t>
  </si>
  <si>
    <t>济南装备时提高10%回避率</t>
  </si>
  <si>
    <t>Cid(502,{miss_rate:0.1})</t>
  </si>
  <si>
    <t>10583</t>
  </si>
  <si>
    <t>[导弹]让巴尔导弹系统（马舒卡/天狮星）</t>
  </si>
  <si>
    <t>10584</t>
  </si>
  <si>
    <t>[发射/导]导弹发射系统（让巴尔）</t>
  </si>
  <si>
    <t>10586</t>
  </si>
  <si>
    <t>[潜用鱼雷][12雷][限1]潜载火箭炮（U）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</si>
  <si>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</si>
  <si>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</si>
  <si>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</si>
  <si>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</si>
  <si>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[舰爆][12轰][穿甲][限1]SG-104机载无后坐力炮(JU-288)</t>
  </si>
  <si>
    <t>10588</t>
  </si>
  <si>
    <t>[舰攻][12雷][终伤/命中][限1]TBD鱼雷机（VT-8）</t>
  </si>
  <si>
    <t>588</t>
  </si>
  <si>
    <t>航空战阶段提高15%伤害和10%命中率</t>
  </si>
  <si>
    <t>{final_damage_buff:0.15,AirPhase;hit_rate:0.1,AirPhase}</t>
  </si>
  <si>
    <t>10590</t>
  </si>
  <si>
    <t>[雷达][中保+1][6索9命][限1]343火控雷达</t>
  </si>
  <si>
    <t>10591</t>
  </si>
  <si>
    <t>[战列主炮][长程][21火6命][限2]双联15英寸主炮(RP12)</t>
  </si>
  <si>
    <t>战斗结束获得经验增加9%(装备之间不叠加)</t>
  </si>
  <si>
    <t>10592</t>
  </si>
  <si>
    <t>[雷达][5索1命][强闪][限2]远程对空警戒雷达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</si>
  <si>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</si>
  <si>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</si>
  <si>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</si>
  <si>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</si>
  <si>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</si>
  <si>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[鱼雷][6雷2闪][IIIA]袖珍舰载艇</t>
  </si>
  <si>
    <t>593</t>
  </si>
  <si>
    <t>IIIA装备时提高15%伤害和5%命中率</t>
  </si>
  <si>
    <t>Cid(518,{final_damage_buff:0.15});Cid(518,{hit_rate:0.05})</t>
  </si>
  <si>
    <t>10594</t>
  </si>
  <si>
    <t>[战列主炮][超长][27火1命1空]MK7三联16英寸主炮（M）</t>
  </si>
  <si>
    <t>10595</t>
  </si>
  <si>
    <t>[防空]Оса-М防空系统（68У）</t>
  </si>
  <si>
    <t>10596</t>
  </si>
  <si>
    <t>[舰爆][20轰][高轰][胜利皇方傻白终伤]掠夺者攻击机</t>
  </si>
  <si>
    <t>596</t>
  </si>
  <si>
    <t>胜利、皇家方舟(装母)和伊丽莎白女王装备时提高5%伤害</t>
  </si>
  <si>
    <t>Cid(["483","455","644"],{final_damage_buff:0.05})</t>
  </si>
  <si>
    <t>10597</t>
  </si>
  <si>
    <t>[潜用部件][暴击][限2]105毫米甲板炮（潜艇）</t>
  </si>
  <si>
    <t>023</t>
  </si>
  <si>
    <t>增加25%暴击率</t>
  </si>
  <si>
    <t>crit:0.25</t>
  </si>
  <si>
    <t>10598</t>
  </si>
  <si>
    <t>[雷达][4索4命][强闪][限2]三坐标搜索雷达</t>
  </si>
  <si>
    <t>0.1,0</t>
  </si>
  <si>
    <t>航空战阶段增加10%回避率</t>
  </si>
  <si>
    <t>{miss_rate:0.1,AirPhase;miss_rate:0,ShellingPhase}</t>
  </si>
  <si>
    <t>10600</t>
  </si>
  <si>
    <t>[战列主炮][长程][27火2命2空][限1]480毫米双联主炮（42）</t>
  </si>
  <si>
    <t>10601</t>
  </si>
  <si>
    <t>[舰战][14空][胜利皇方傻白制空][限1]海雌狐FAW.2战斗机</t>
  </si>
  <si>
    <t>601</t>
  </si>
  <si>
    <t>胜利、皇家方舟(装母)和伊丽莎白女王装备时增加40制空值</t>
  </si>
  <si>
    <t>Cid(["483","455","644"],{air_ctrl_buff:40})</t>
  </si>
  <si>
    <t>10602</t>
  </si>
  <si>
    <t>[战列主炮][长程][29火3空]试制41厘米四联主炮（S）</t>
  </si>
  <si>
    <t>10603</t>
  </si>
  <si>
    <t>[舰战][15空][饺子制空]F6F地狱猫战斗机（麦坎贝尔）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</si>
  <si>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</si>
  <si>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</si>
  <si>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</si>
  <si>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</si>
  <si>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[战列主炮][超长][30火2命][限1]F国四联420毫米主炮</t>
  </si>
  <si>
    <t>10605</t>
  </si>
  <si>
    <t>[战列主炮][长程][20火4命][重炮][限2]E国双联15英寸主炮（BM）</t>
  </si>
  <si>
    <t>605</t>
  </si>
  <si>
    <t>重炮装备时增加10%护甲穿透和10%回避率</t>
  </si>
  <si>
    <t>ShipType(BM,{pierce_coef:0.1,stack;miss_rate:0.1})</t>
  </si>
  <si>
    <t>10606</t>
  </si>
  <si>
    <t>[舰攻][18雷][穿甲][限1]图-91（火箭鱼雷）</t>
  </si>
  <si>
    <t>10608</t>
  </si>
  <si>
    <t>[防空][限1]АК-630</t>
  </si>
  <si>
    <t>10609</t>
  </si>
  <si>
    <t>[舰战][13空][限1]海鹰战斗机</t>
  </si>
  <si>
    <t>10610</t>
  </si>
  <si>
    <t>[战列主炮][长程][31火][限1]四联48厘米炮</t>
  </si>
  <si>
    <t>10611</t>
  </si>
  <si>
    <t>[战列主炮][长程][24火2命4甲][限1]三联406毫米主炮（S）</t>
  </si>
  <si>
    <t>10612</t>
  </si>
  <si>
    <t>LongMissile</t>
  </si>
  <si>
    <t>[导弹][格罗兹尼]П-35反舰导弹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</si>
  <si>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</si>
  <si>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</si>
  <si>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</si>
  <si>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</si>
  <si>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</si>
  <si>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[发射/导][格罗兹尼]СМ-70旋转发射器</t>
  </si>
  <si>
    <t>613</t>
  </si>
  <si>
    <t>格罗兹尼装备时提高10%回避率</t>
  </si>
  <si>
    <t>Cid(533,{miss_rate:0.1})</t>
  </si>
  <si>
    <t>10614</t>
  </si>
  <si>
    <t>[舰战][15空][限1]F3H战斗机</t>
  </si>
  <si>
    <t>10615</t>
  </si>
  <si>
    <t>[战列主炮][长程][28火][限1]45厘米三联主炮</t>
  </si>
  <si>
    <t>10616</t>
  </si>
  <si>
    <t>[战列主炮][超长][33火][限1]51厘米三联主炮</t>
  </si>
  <si>
    <t>10619</t>
  </si>
  <si>
    <t>[舰攻][15雷][暴击/命中][限1]AM-1拳击手（HVAR）</t>
  </si>
  <si>
    <t>619</t>
  </si>
  <si>
    <t>增加15%暴击率与5%命中率</t>
  </si>
  <si>
    <t>{crit:0.15;hit_rate:0.05}</t>
  </si>
  <si>
    <t>10620</t>
  </si>
  <si>
    <t>[防导][14火21拦][终伤][限2]M1导弹</t>
  </si>
  <si>
    <t>008</t>
  </si>
  <si>
    <t>增加10%伤害</t>
  </si>
  <si>
    <t>final_damage_buff:0.1</t>
  </si>
  <si>
    <t>10622</t>
  </si>
  <si>
    <t>[战列主炮][长程][19火4命6索][限1]三联14英寸主炮(弹射器)</t>
  </si>
  <si>
    <t>10623</t>
  </si>
  <si>
    <t>[舰攻][15雷][限1]XTB2F</t>
  </si>
  <si>
    <t>10624</t>
  </si>
  <si>
    <t>[舰战][9空][限1]喷火战斗机(酒桶)</t>
  </si>
  <si>
    <t>装备时，远征获得的资源增加10%；铝耗4</t>
  </si>
  <si>
    <t>10625</t>
  </si>
  <si>
    <t>[战列主炮][长程][28火2命][限1]四联十六英寸主炮（T）</t>
  </si>
  <si>
    <t>10626</t>
  </si>
  <si>
    <t>[舰爆][13轰][穿甲][限2]景云改（80番）</t>
  </si>
  <si>
    <t>10627</t>
  </si>
  <si>
    <t>[深投][15对潜5雷][限2]马拉丰反潜导弹系统</t>
  </si>
  <si>
    <t>10628</t>
  </si>
  <si>
    <t>[舰战][9空][限1]黑寡妇战斗机</t>
  </si>
  <si>
    <t>降低敌方航空战阶段15%命中率</t>
  </si>
  <si>
    <t>Side(0,{hit_rate:-0.15,AirPhase})</t>
  </si>
  <si>
    <t>10629</t>
  </si>
  <si>
    <t>[舰战][13空][限1]F2R</t>
  </si>
  <si>
    <t>10630</t>
  </si>
  <si>
    <t>[爆战][12轰9空][威力][限2]F2G超级海盗（小提姆）</t>
  </si>
  <si>
    <t>005</t>
  </si>
  <si>
    <t>装备时提高15%开幕轰炸攻击力</t>
  </si>
  <si>
    <t>air_bomb_atk_buff:0.15</t>
  </si>
  <si>
    <t>10631</t>
  </si>
  <si>
    <t>[防导][20火22拦][絮弗伦]马舒卡导弹MK2</t>
  </si>
  <si>
    <t>631</t>
  </si>
  <si>
    <t>絮弗伦装备时增加20%伤害</t>
  </si>
  <si>
    <t>Cid(552,{final_damage_buff:0.2})</t>
  </si>
  <si>
    <t>10632</t>
  </si>
  <si>
    <t>[发射/防][絮弗伦]马舒卡防空系统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</si>
  <si>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</si>
  <si>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</si>
  <si>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</si>
  <si>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</si>
  <si>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[爆战][13轰8空][威力][限2]F4U-7（火箭弹）</t>
  </si>
  <si>
    <t>装备时提高10%开幕轰炸攻击力</t>
  </si>
  <si>
    <t>air_bomb_atk_buff:0.1</t>
  </si>
  <si>
    <t>10635</t>
  </si>
  <si>
    <t>[驱逐主炮][中程][12火][限1]冰雹火箭炮（舰载）</t>
  </si>
  <si>
    <t>增加5%暴击率</t>
  </si>
  <si>
    <t>crit:0.05</t>
  </si>
  <si>
    <t>10636</t>
  </si>
  <si>
    <t>[水战][15空][限1]Yak-36</t>
  </si>
  <si>
    <t>10637</t>
  </si>
  <si>
    <t>[战列主炮][超长][28火6命2索][限1]MK7三联16英寸主炮（1984）</t>
  </si>
  <si>
    <t>10638</t>
  </si>
  <si>
    <t>[发射/导][暴击][限2]战斧导弹（发射箱）</t>
  </si>
  <si>
    <t>增加10%暴击率</t>
  </si>
  <si>
    <t>crit:0.1</t>
  </si>
  <si>
    <t>10640</t>
  </si>
  <si>
    <t>[防导][11火27拦][反潜][限2]阿斯洛克/鞑靼人（弹库备弹）</t>
  </si>
  <si>
    <t>10643</t>
  </si>
  <si>
    <t>[潜用鱼雷][17雷][限1]72型高速鱼雷（潜用）</t>
  </si>
  <si>
    <t>10644</t>
  </si>
  <si>
    <t>[舰战][16空][限1]FJ-4战斗机</t>
  </si>
  <si>
    <t>10645</t>
  </si>
  <si>
    <t>[驱逐主炮][中程][10火][穿甲][限3]六联武器系统（SS.11）</t>
  </si>
  <si>
    <t>增加15%护甲穿透（同类弹药效果只生效一个）</t>
  </si>
  <si>
    <t>10646</t>
  </si>
  <si>
    <t>[战列主炮][超长][31火3空][A150]甲炮（A150）</t>
  </si>
  <si>
    <t>10647</t>
  </si>
  <si>
    <t>[驱逐主炮][3火1命15空][限1]AK-726双联舰炮</t>
  </si>
  <si>
    <t>10649</t>
  </si>
  <si>
    <t>[鱼雷][13雷3闪][限1]五联61厘米F3高速鱼雷</t>
  </si>
  <si>
    <t>10650</t>
  </si>
  <si>
    <t>[水战][15空][限1]P.1127</t>
  </si>
  <si>
    <t>10651</t>
  </si>
  <si>
    <t>[雷达][5索10命][A150][限1]方位盘（A150）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</si>
  <si>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</si>
  <si>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</si>
  <si>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</si>
  <si>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</si>
  <si>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[舰爆][17轰][饺子威力制空][限3]A4D</t>
  </si>
  <si>
    <t>652</t>
  </si>
  <si>
    <t>埃塞克斯级航母装备时增加10%攻击力与15制空值</t>
  </si>
  <si>
    <t>Tag(essex,{power_buff:0.1});Tag(essex,{air_ctrl_buff:15})</t>
  </si>
  <si>
    <t>10653</t>
  </si>
  <si>
    <t>[舰爆][19轰3空][饺子终伤]FJ-4B（16）</t>
  </si>
  <si>
    <t>653</t>
  </si>
  <si>
    <t>埃塞克斯级航母装备时增加5%伤害</t>
  </si>
  <si>
    <t>Tag(essex,{final_damage_buff:0.05})</t>
  </si>
  <si>
    <t>10654</t>
  </si>
  <si>
    <t>[防导][12火27拦][不惧]鞑靼人导弹(I)</t>
  </si>
  <si>
    <t>654</t>
  </si>
  <si>
    <t>不惧装备时增加25%攻击威力</t>
  </si>
  <si>
    <t>Cid(559,{power_buff:0.25})</t>
  </si>
  <si>
    <t>10655</t>
  </si>
  <si>
    <t>[发射/防][不惧]MK13发射系统(I)</t>
  </si>
  <si>
    <t>655</t>
  </si>
  <si>
    <t>不惧装备时增加10%暴击率和10%回避率</t>
  </si>
  <si>
    <t>Cid(559,{crit:0.1});Cid(559,{miss_rate:0.1})</t>
  </si>
  <si>
    <t>10656</t>
  </si>
  <si>
    <t>[驱逐主炮][7火13空][限1]BL-132</t>
  </si>
  <si>
    <t>10657</t>
  </si>
  <si>
    <t>[舰爆][14轰][长程/威力][限1]AJ-2(空中加油系统)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</si>
  <si>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</si>
  <si>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</si>
  <si>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</si>
  <si>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</si>
  <si>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[舰战][17空][限1]F11F战斗机</t>
  </si>
  <si>
    <t>10659</t>
  </si>
  <si>
    <t>[战列主炮][长程][29火3命][限1]三联457毫米主炮(G)</t>
  </si>
  <si>
    <t>10660</t>
  </si>
  <si>
    <t>[舰爆][12轰][命中/减命][限1]AD-5Q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</si>
  <si>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</si>
  <si>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</si>
  <si>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</si>
  <si>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</si>
  <si>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</si>
  <si>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[防空][C国][限2]76A式</t>
  </si>
  <si>
    <t>661</t>
  </si>
  <si>
    <t>C国舰船装备时增加5%回避率</t>
  </si>
  <si>
    <t>Country(C,{miss_rate:0.1})</t>
  </si>
  <si>
    <t>10662</t>
  </si>
  <si>
    <t>[舰爆][25轰][限3]A-3“空中勇士”攻击机</t>
  </si>
  <si>
    <t>10664</t>
  </si>
  <si>
    <t>[深投][15对潜5索][限1]卡-25反潜直升机</t>
  </si>
  <si>
    <t>10665</t>
  </si>
  <si>
    <t>[舰攻][10雷][对潜][命中][限1]E-1预警机</t>
  </si>
  <si>
    <t>007</t>
  </si>
  <si>
    <t>增加5%命中率</t>
  </si>
  <si>
    <t>hit_rate:0.05</t>
  </si>
  <si>
    <t>10666</t>
  </si>
  <si>
    <t>[鱼雷][声纳雷][8雷3闪][暴击][限1]三联反潜鱼雷发射器（MK46）</t>
  </si>
  <si>
    <t>10667</t>
  </si>
  <si>
    <t>[潜用鱼雷][17雷2闪][限1]53-61鱼雷（潜射）</t>
  </si>
  <si>
    <t>增加10%命中率</t>
  </si>
  <si>
    <t>hit_rate:0.1</t>
  </si>
  <si>
    <t>10668</t>
  </si>
  <si>
    <t>[鱼雷][10雷4闪][终伤][限2]四联533毫米鱼雷（ur高速）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</si>
  <si>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</si>
  <si>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</si>
  <si>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</si>
  <si>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</si>
  <si>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[舰攻][11雷][对潜][命中][限2]S-2反潜机</t>
  </si>
  <si>
    <t>669</t>
  </si>
  <si>
    <t>增加5%命中率，先制反潜阶段额外增加5%命中率</t>
  </si>
  <si>
    <t>{hit_rate:0.05;hit_rate:0.05,AntiSubPhase}</t>
  </si>
  <si>
    <t>10670</t>
  </si>
  <si>
    <t>[防导][11火19拦][鹰潭]红旗61防空导弹</t>
  </si>
  <si>
    <t>670</t>
  </si>
  <si>
    <t>鹰潭装备时增加25%伤害</t>
  </si>
  <si>
    <t>Cid(287,{final_damage_buff:0.25})</t>
  </si>
  <si>
    <t>10671</t>
  </si>
  <si>
    <t>[发射/防][鹰潭]7231发射系统（ZL-1）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</si>
  <si>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</si>
  <si>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</si>
  <si>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</si>
  <si>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</si>
  <si>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[鱼雷][12雷][限1]五连鱼雷发射器（53-56）</t>
  </si>
  <si>
    <t>10673</t>
  </si>
  <si>
    <t>[深投][17对潜4火][限1]РБУ-6000火箭深弹</t>
  </si>
  <si>
    <t>10674</t>
  </si>
  <si>
    <t>[水战][16空][限1]XF2Y水上战斗机</t>
  </si>
  <si>
    <t>10675</t>
  </si>
  <si>
    <t>[战列主炮][长程][31火1甲][限1]18英寸四联主炮</t>
  </si>
  <si>
    <t>10676</t>
  </si>
  <si>
    <t>[导弹][C国][限4]鹰击反舰导弹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</si>
  <si>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</si>
  <si>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</si>
  <si>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</si>
  <si>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</si>
  <si>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[深投][18对潜3火][限1]梅农反潜迫击炮</t>
  </si>
  <si>
    <t>10678</t>
  </si>
  <si>
    <t>[鱼雷][减益][18雷][限1]六连61厘米鱼雷发射器（93M3）</t>
  </si>
  <si>
    <t>10679</t>
  </si>
  <si>
    <t>[舰攻][12雷][限1]布莱克本B-88</t>
  </si>
  <si>
    <t>10680</t>
  </si>
  <si>
    <t>[水爆][14轰][限1]Бе-6水上飞机（轰炸）</t>
  </si>
  <si>
    <t>10681</t>
  </si>
  <si>
    <t>[爆战][20轰5空][暴击][限3]军旗IV攻击机</t>
  </si>
  <si>
    <t>10682</t>
  </si>
  <si>
    <t>[深投][15对潜11火][限1]MK-112发射器（鱼叉反舰导弹）</t>
  </si>
  <si>
    <t>10683</t>
  </si>
  <si>
    <t>[爆战][14轰7空][威力][限1]F4U（蝙蝠制导炸弹）</t>
  </si>
  <si>
    <t>10684</t>
  </si>
  <si>
    <t>[舰攻][17雷][阴雷][限1]NC.1071（L50）</t>
  </si>
  <si>
    <t>006</t>
  </si>
  <si>
    <t>航空战阶段增加50%鱼雷机攻击威力</t>
  </si>
  <si>
    <t>air_dive_atk_buff:0.5</t>
  </si>
  <si>
    <t>10685</t>
  </si>
  <si>
    <t>[舰攻][19雷][阴雷][限1]TB2D-1（MK25）</t>
  </si>
  <si>
    <t>航空战阶段增加40%鱼雷机攻击威力</t>
  </si>
  <si>
    <t>air_dive_atk_buff:0.4</t>
  </si>
  <si>
    <t>10686</t>
  </si>
  <si>
    <t>[舰爆][13轰][穿甲/J国威力][限2]天河攻击机（KI-148）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</si>
  <si>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</si>
  <si>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</si>
  <si>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</si>
  <si>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</si>
  <si>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[防空][S国][限2]AK-230（MR-104）</t>
  </si>
  <si>
    <t>687</t>
  </si>
  <si>
    <t>S国舰船装备时提高5%回避率</t>
  </si>
  <si>
    <t>Country(S,{miss_rate:0.1})</t>
  </si>
  <si>
    <t>10688</t>
  </si>
  <si>
    <t>[防导][14火21拦]V600防空导弹</t>
  </si>
  <si>
    <t>10689</t>
  </si>
  <si>
    <t>[发射/防]M1“波浪”防空系统</t>
  </si>
  <si>
    <t>10690</t>
  </si>
  <si>
    <t>[舰爆][16轰][中途岛]A-1H攻击机</t>
  </si>
  <si>
    <t>690</t>
  </si>
  <si>
    <t>中途岛装备时增加10%攻击威力</t>
  </si>
  <si>
    <t>Tag(midway,{power_buff:0.1})</t>
  </si>
  <si>
    <t>10691</t>
  </si>
  <si>
    <t>[战列主炮][长程][27火3命]G国双联480毫米主炮</t>
  </si>
  <si>
    <t>10692</t>
  </si>
  <si>
    <t>[导弹][塞瓦斯托波尔]P-35反舰导弹（1134）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</si>
  <si>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</si>
  <si>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</si>
  <si>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</si>
  <si>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</si>
  <si>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[发射/导][塞瓦斯托波尔]KT-35发射器</t>
  </si>
  <si>
    <t>693</t>
  </si>
  <si>
    <t>塞瓦斯托波尔装备时提10%回避率</t>
  </si>
  <si>
    <t>Cid(581,{miss_rate:0.1})</t>
  </si>
  <si>
    <t>10694</t>
  </si>
  <si>
    <t>[水战][17空][限1]Yak-38</t>
  </si>
  <si>
    <t>10695</t>
  </si>
  <si>
    <t>[舰战][19空][限1]F-4B</t>
  </si>
  <si>
    <t>10696</t>
  </si>
  <si>
    <t>[舰爆][26轰][高轰][限1]A-6</t>
  </si>
  <si>
    <t>10697</t>
  </si>
  <si>
    <t>[舰爆][22轰][高轰][E国][限4]掠夺者攻击机MK.2</t>
  </si>
  <si>
    <t>697</t>
  </si>
  <si>
    <t>E国舰船装备时增加5%攻击威力</t>
  </si>
  <si>
    <t>Country(E,{power_buff:0.05})</t>
  </si>
  <si>
    <t>10698</t>
  </si>
  <si>
    <t>[发射/导][密苏里][限1]MK143战斧导弹发射箱（91）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</si>
  <si>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</si>
  <si>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</si>
  <si>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</si>
  <si>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</si>
  <si>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[主炮][长程][23火][黎塞留][限1]特制16英寸三联主炮(1058)</t>
  </si>
  <si>
    <t>10700</t>
  </si>
  <si>
    <t>[驱逐主炮][5火15空][限1]ZIF-92单装舰炮</t>
  </si>
  <si>
    <t>对空补正50%；对空倍率4.5</t>
  </si>
  <si>
    <t>10701</t>
  </si>
  <si>
    <t>[舰战][13空][限1]F4U-1(122)</t>
  </si>
  <si>
    <t>10703</t>
  </si>
  <si>
    <t>[驱逐主炮][中程][12火2命][穿甲][限1]SS.12武器系统</t>
  </si>
  <si>
    <t>10704</t>
  </si>
  <si>
    <t>[鱼雷][18雷][限6]（CLT）四联鱼雷发射器（零式）-限6</t>
  </si>
  <si>
    <t>704</t>
  </si>
  <si>
    <t>雷巡装备时增加15%伤害和5%回避率</t>
  </si>
  <si>
    <t>ShipType(CLT,{final_damage_buff:0.15});ShipType(CLT,{miss_rate:0.05})</t>
  </si>
  <si>
    <t>10705</t>
  </si>
  <si>
    <t>[导弹][C国][限2]鹰击83反舰导弹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</si>
  <si>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</si>
  <si>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</si>
  <si>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</si>
  <si>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</si>
  <si>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[水爆][12轰][长程/穿甲][限1]H-34直升机（小斗犬）</t>
  </si>
  <si>
    <t>10707</t>
  </si>
  <si>
    <t>[鱼雷][14雷][限1]21寸五联装鱼雷（MK35）</t>
  </si>
  <si>
    <t>10708</t>
  </si>
  <si>
    <t>[舰爆][27轰][高轰][限1]A-3B</t>
  </si>
  <si>
    <t>10709</t>
  </si>
  <si>
    <t>[战列主炮][长程][32火][限1]18英寸（L50）四联主炮</t>
  </si>
  <si>
    <t>10710</t>
  </si>
  <si>
    <t>[爆战][22轰][高轰][穿甲][限3]军旗攻击机(AS.30)</t>
  </si>
  <si>
    <t>10711</t>
  </si>
  <si>
    <t>[鱼雷][15雷4闪][限3]（三式）六联53厘米鱼雷发射器</t>
  </si>
  <si>
    <t>711</t>
  </si>
  <si>
    <t>驱逐装备时增加15%攻击威力</t>
  </si>
  <si>
    <t>ShipType(DD,{power_buff:0.15})</t>
  </si>
  <si>
    <t>10712</t>
  </si>
  <si>
    <t>[导弹][351]鹰击反舰导弹(潜射)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</si>
  <si>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</si>
  <si>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</si>
  <si>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</si>
  <si>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</si>
  <si>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[发射/导][351]潜载发射筒(033G)</t>
  </si>
  <si>
    <t>713</t>
  </si>
  <si>
    <t>351装备时提高10%回避率</t>
  </si>
  <si>
    <t>Cid(601,{miss_rate:0.1})</t>
  </si>
  <si>
    <t>10714</t>
  </si>
  <si>
    <t>[防导][23火19拦]S-75防空导弹</t>
  </si>
  <si>
    <t>10715</t>
  </si>
  <si>
    <t>[发射/防]“德维纳”防空系统（发射架）</t>
  </si>
  <si>
    <t>10717</t>
  </si>
  <si>
    <t>[深投][11对潜11雷][限1]1124双联发射器（SET65）</t>
  </si>
  <si>
    <t>10718</t>
  </si>
  <si>
    <t>[鱼雷][23雷][限1]七联鱼雷发射器（93M3）</t>
  </si>
  <si>
    <t>718</t>
  </si>
  <si>
    <t>J国舰船装备时增加5%攻击威力</t>
  </si>
  <si>
    <t>Country(J,{power_buff:0.05})</t>
  </si>
  <si>
    <t>10719</t>
  </si>
  <si>
    <t>[鱼雷][15雷1闪][长程][限1]“覆灭”巨型鱼雷</t>
  </si>
  <si>
    <t>crit:0.15</t>
  </si>
  <si>
    <t>10720</t>
  </si>
  <si>
    <t>[潜用鱼雷][15雷7闪][限1]SET-53鱼雷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</si>
  <si>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</si>
  <si>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</si>
  <si>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</si>
  <si>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</si>
  <si>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[战列主炮][长程][28火5命8空2索][限3]MK7主炮（MK8）</t>
  </si>
  <si>
    <t>721</t>
  </si>
  <si>
    <t>衣阿华级装备时增加10%攻击威力与10%命中率</t>
  </si>
  <si>
    <t>Tag(iowa,{power_buff:0.1});Tag(iowa,{hit_rate:0.1})</t>
  </si>
  <si>
    <t>10722</t>
  </si>
  <si>
    <t>[防空][F国][限1]双联37毫米M1935高炮(测试)</t>
  </si>
  <si>
    <t>F国舰船装备时战斗结算获得经验额外增加15%；对空补正40%；对空倍率3</t>
  </si>
  <si>
    <t>10723</t>
  </si>
  <si>
    <t>[水爆][16轰][限1]YAK-38（KH23）</t>
  </si>
  <si>
    <t>10724</t>
  </si>
  <si>
    <t>[战列主炮][长程][29火2命][限1]双联20英寸主炮（34）</t>
  </si>
  <si>
    <t>10725</t>
  </si>
  <si>
    <t>[舰爆][18轰][穿甲][限1]A2D天鲨（AN-M56）</t>
  </si>
  <si>
    <t>10726</t>
  </si>
  <si>
    <t>[舰战][17空][限2]F3H-2（AIM-7C）</t>
  </si>
  <si>
    <t>降低敌方航空战阶段20%命中率</t>
  </si>
  <si>
    <t>Side(0,{hit_rate:-0.2,AirPhase})</t>
  </si>
  <si>
    <t>10727</t>
  </si>
  <si>
    <t>[战列主炮][超长][33火7命4空5索][武藏]九四式三联四十六厘米主炮（MU方位盘）</t>
  </si>
  <si>
    <t>10728</t>
  </si>
  <si>
    <t>[部件][限1]纪念文件</t>
  </si>
  <si>
    <t>009</t>
  </si>
  <si>
    <t>装备时增加9%攻击威力</t>
  </si>
  <si>
    <t>power_buff:0.09</t>
  </si>
  <si>
    <t>10729</t>
  </si>
  <si>
    <t>[导弹][南京]海鹰-1甲反舰导弹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</si>
  <si>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</si>
  <si>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</si>
  <si>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</si>
  <si>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</si>
  <si>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[发射/导][南京]海鹰导弹发射器（352）</t>
  </si>
  <si>
    <t>730</t>
  </si>
  <si>
    <t>南京装备时提高15%回避率</t>
  </si>
  <si>
    <t>Cid(617,{miss_rate:0.15})</t>
  </si>
  <si>
    <t>10731</t>
  </si>
  <si>
    <t>[防空][限1]AK-630（MR-123）</t>
  </si>
  <si>
    <t>10732</t>
  </si>
  <si>
    <t>[战列主炮][超长][32火1命][限1]试制51厘米三联主炮</t>
  </si>
  <si>
    <t>10733</t>
  </si>
  <si>
    <t>[舰爆][23轰][高轰][限1]轰-5</t>
  </si>
  <si>
    <t>10734</t>
  </si>
  <si>
    <t>[舰战][18空][限1]米格19K</t>
  </si>
  <si>
    <t>10735</t>
  </si>
  <si>
    <t>[主炮][4火3命12空][限2]79B式改进型双联100毫米主炮</t>
  </si>
  <si>
    <t>002</t>
  </si>
  <si>
    <t>回避率提高5%</t>
  </si>
  <si>
    <t>miss_rate:0.05</t>
  </si>
  <si>
    <t>10736</t>
  </si>
  <si>
    <t>[驱逐主炮][中程][10火][S国][穿甲][限3]BM-14-17火箭炮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</si>
  <si>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</si>
  <si>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</si>
  <si>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</si>
  <si>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</si>
  <si>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[驱逐主炮][3火2命3甲][限1]特殊炮塔（T-34/76）</t>
  </si>
  <si>
    <t>737</t>
  </si>
  <si>
    <t>炮击战阶段增加10%攻击力</t>
  </si>
  <si>
    <t>power_buff:0.1,ShellingPhase</t>
  </si>
  <si>
    <t>10738</t>
  </si>
  <si>
    <t>[导弹]“飞鱼”反舰导弹</t>
  </si>
  <si>
    <t>10739</t>
  </si>
  <si>
    <t>[发射/导]“飞鱼”导弹发射箱（MM38）</t>
  </si>
  <si>
    <t>10741</t>
  </si>
  <si>
    <t>[驱逐主炮][长程][8火3命3甲][限1]8英寸单装MK71舰炮（CG）</t>
  </si>
  <si>
    <t>10742</t>
  </si>
  <si>
    <t>[舰战][15空][限1]海吸血鬼战斗机（埃里克·布朗）</t>
  </si>
  <si>
    <t>{'exp': 0.10}</t>
  </si>
  <si>
    <t>获得经验值提升10%；铝耗9</t>
  </si>
  <si>
    <t>10743</t>
  </si>
  <si>
    <t>[战列主炮][长程][29火][限1]双联20英寸主炮（1915）</t>
  </si>
  <si>
    <t>10744</t>
  </si>
  <si>
    <t>[声纳][15对潜5索][限3]SQS-23声纳</t>
  </si>
  <si>
    <t>增加15%命中率</t>
  </si>
  <si>
    <t>hit_rate:0.15</t>
  </si>
  <si>
    <t>10745</t>
  </si>
  <si>
    <t>[舰攻][11雷][对潜][命中/终伤][限3]BR.1050“贸易风”</t>
  </si>
  <si>
    <t>007,008</t>
  </si>
  <si>
    <t>0.15,0.2</t>
  </si>
  <si>
    <t>增加15%命中率和20%伤害</t>
  </si>
  <si>
    <t>{hit_rate:0.15;final_damage_buff:0.2}</t>
  </si>
  <si>
    <t>10747</t>
  </si>
  <si>
    <t>[鱼雷][15雷4闪][限1]五联鱼雷发射器（53-65）</t>
  </si>
  <si>
    <t>747</t>
  </si>
  <si>
    <t>S国舰船装备时增加20%暴击率和10%攻击威力</t>
  </si>
  <si>
    <t>Country(S,{crit:0.2});Country(S,{power_buff:0.1})</t>
  </si>
  <si>
    <t>10748</t>
  </si>
  <si>
    <t>[潜用鱼雷][16雷7闪][限1]SAET-60鱼雷（潜射）</t>
  </si>
  <si>
    <t>023,009</t>
  </si>
  <si>
    <t>0.1,0.15</t>
  </si>
  <si>
    <t>增加10%暴击率和15%攻击威力</t>
  </si>
  <si>
    <t>{crit:0.1;power_buff:0.15}</t>
  </si>
  <si>
    <t>10749</t>
  </si>
  <si>
    <t>[水爆][14轰][命中/终伤][限1]青-6水上飞机</t>
  </si>
  <si>
    <t>0.2,0.1</t>
  </si>
  <si>
    <t>增加20%命中率和10%伤害</t>
  </si>
  <si>
    <t>{hit_rate:0.2;final_damage_buff:0.1}</t>
  </si>
  <si>
    <t>10750</t>
  </si>
  <si>
    <t>[舰攻][15雷][萨拉托加][威力][限4]TBF(VT-8)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</si>
  <si>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</si>
  <si>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</si>
  <si>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</si>
  <si>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</si>
  <si>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[导弹][S国][限4]“白蛉”反舰导弹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</si>
  <si>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</si>
  <si>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</si>
  <si>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</si>
  <si>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</si>
  <si>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[部件]“晴岚”攻击机(潜特）</t>
  </si>
  <si>
    <t>10753</t>
  </si>
  <si>
    <t>[防导][14火25拦][考文垂]“海标枪”GWS30导弹</t>
  </si>
  <si>
    <t>753</t>
  </si>
  <si>
    <t>考文垂装备时额外增加10%护甲穿透</t>
  </si>
  <si>
    <t>Cid(640,{pierce_coef:0.15,stack})</t>
  </si>
  <si>
    <t>10754</t>
  </si>
  <si>
    <t>[发射/防][考文垂]“海标枪”导弹发射器</t>
  </si>
  <si>
    <t>754</t>
  </si>
  <si>
    <t>考文垂装备时增加10%暴击率和回避率</t>
  </si>
  <si>
    <t>Cid(640,{crit:0.1});Cid(640,{miss_rate:0.1})</t>
  </si>
  <si>
    <t>10755</t>
  </si>
  <si>
    <t>[轻巡主炮][长程][13火5命13空][限1]MK.16三联8英寸自动炮（制导炮弹）</t>
  </si>
  <si>
    <t>提高10%暴击率和回避率</t>
  </si>
  <si>
    <t>{crit:0.1;miss_rate:0.1}</t>
  </si>
  <si>
    <t>10756</t>
  </si>
  <si>
    <t>[舰攻][8雷][对潜][E国][终伤/命中][限1]P.139B</t>
  </si>
  <si>
    <t>E国舰船装备时提高20%伤害和10%命中率</t>
  </si>
  <si>
    <t>Country(E,{final_damage_buff:0.2;hit_rate:0.1})</t>
  </si>
  <si>
    <t>10757</t>
  </si>
  <si>
    <t>[部件][长程][对潜][限1]山猫HAS.MK.2直升机</t>
  </si>
  <si>
    <t>提高10%命中率</t>
  </si>
  <si>
    <t>10758</t>
  </si>
  <si>
    <t>[舰攻][16雷][S国][穿甲/终伤][限1]伊尔-28T</t>
  </si>
  <si>
    <t>S国舰船装备时增加20%护甲穿透和20%伤害</t>
  </si>
  <si>
    <t>Country(S,{pierce_coef:0.2,stack;final_damage_buff:0.2})</t>
  </si>
  <si>
    <t>10759</t>
  </si>
  <si>
    <t>[炮弹][上限/穿甲][限3]18英寸超重穿甲弹</t>
  </si>
  <si>
    <t>炮击战阶段增加30%攻击上限（同类弹药效果只会生效一个）；增加25%护甲穿透</t>
  </si>
  <si>
    <t>{uplimit_buff:0.3;pierce_coef:0.25,stack}</t>
  </si>
  <si>
    <t>10760</t>
  </si>
  <si>
    <t>[防导][14火29拦][限4]“飓风”防空导弹</t>
  </si>
  <si>
    <t>小型船增加10%护甲穿透（同类弹药效果只会生效一个）</t>
  </si>
  <si>
    <t>ShipType(SmallShip,{pierce_coef:0.1})</t>
  </si>
  <si>
    <t>10761</t>
  </si>
  <si>
    <t>[鱼雷][声纳雷][12雷][限1]550毫米三联鱼雷发射器</t>
  </si>
  <si>
    <t>F国舰船装备时提高20%伤害</t>
  </si>
  <si>
    <t>Country(F,{final_damage_buff:0.2})</t>
  </si>
  <si>
    <t>10762</t>
  </si>
  <si>
    <t>[重巡主炮][长程][14火1命][限1]三联12英寸主炮</t>
  </si>
  <si>
    <t>中型船装备时提高30%伤害</t>
  </si>
  <si>
    <t>ShipType(MidShip,{final_damage_buff:0.3})</t>
  </si>
  <si>
    <t>10763</t>
  </si>
  <si>
    <t>[水爆][18轰][S国][命中/终伤][限1]别-10</t>
  </si>
  <si>
    <t>S国舰船装备时增加20%命中率和10%伤害</t>
  </si>
  <si>
    <t>Country(S,{hit_rate:0.2;final_damage_buff:0.1})</t>
  </si>
  <si>
    <t>10764</t>
  </si>
  <si>
    <t>[舰爆][13轰][S国][威力/制空][限1]伊尔-2(白100号音乐家)</t>
  </si>
  <si>
    <t>S国舰船装备时增加25%攻击威力和40点制空值</t>
  </si>
  <si>
    <t>Country(S,{power_buff:0.25;air_ctrl_buff:40})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</si>
  <si>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</si>
  <si>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</si>
  <si>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</si>
  <si>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</si>
  <si>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</si>
  <si>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</si>
  <si>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</si>
  <si>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</si>
  <si>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</si>
  <si>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</si>
  <si>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</si>
  <si>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</si>
  <si>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</si>
  <si>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</si>
  <si>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</si>
  <si>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</si>
  <si>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</si>
  <si>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</si>
  <si>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</si>
  <si>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</si>
  <si>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</si>
  <si>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</si>
  <si>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</si>
  <si>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</si>
  <si>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</si>
  <si>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</si>
  <si>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</si>
  <si>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</si>
  <si>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</si>
  <si>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</si>
  <si>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</si>
  <si>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</si>
  <si>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</si>
  <si>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</si>
  <si>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</si>
  <si>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</si>
  <si>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</si>
  <si>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</si>
  <si>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</si>
  <si>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</si>
  <si>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</si>
  <si>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</si>
  <si>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</si>
  <si>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</si>
  <si>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</si>
  <si>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</si>
  <si>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</si>
  <si>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</si>
  <si>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</si>
  <si>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</si>
  <si>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</si>
  <si>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</si>
  <si>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</si>
  <si>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</si>
  <si>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</si>
  <si>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</si>
  <si>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</si>
  <si>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</si>
  <si>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</si>
  <si>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</si>
  <si>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</si>
  <si>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</si>
  <si>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</si>
  <si>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</si>
  <si>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</si>
  <si>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</si>
  <si>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</si>
  <si>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</si>
  <si>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</si>
  <si>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</si>
  <si>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</si>
  <si>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</si>
  <si>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</si>
  <si>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</si>
  <si>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</si>
  <si>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</si>
  <si>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</si>
  <si>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</si>
  <si>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</si>
  <si>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</si>
  <si>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</si>
  <si>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</si>
  <si>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</si>
  <si>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</si>
  <si>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</si>
  <si>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</si>
  <si>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</si>
  <si>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</si>
  <si>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</si>
  <si>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</si>
  <si>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</si>
  <si>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</si>
  <si>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</si>
  <si>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</si>
  <si>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</si>
  <si>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</si>
  <si>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</si>
  <si>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</si>
  <si>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</si>
  <si>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</si>
  <si>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</si>
  <si>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</si>
  <si>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</si>
  <si>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</si>
  <si>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</si>
  <si>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</si>
  <si>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</si>
  <si>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</si>
  <si>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</si>
  <si>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</si>
  <si>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</si>
  <si>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</si>
  <si>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</si>
  <si>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</si>
  <si>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</si>
  <si>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</si>
  <si>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</si>
  <si>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</si>
  <si>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</si>
  <si>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</si>
  <si>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</si>
  <si>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</si>
  <si>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</si>
  <si>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</si>
  <si>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</si>
  <si>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</si>
  <si>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</si>
  <si>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</si>
  <si>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</si>
  <si>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</si>
  <si>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</si>
  <si>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</si>
  <si>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</si>
  <si>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</si>
  <si>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</si>
  <si>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</si>
  <si>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</si>
  <si>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</si>
  <si>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</si>
  <si>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</si>
  <si>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</si>
  <si>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</si>
  <si>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</si>
  <si>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</si>
  <si>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</si>
  <si>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</si>
  <si>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</si>
  <si>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</si>
  <si>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</si>
  <si>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</si>
  <si>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</si>
  <si>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</si>
  <si>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</si>
  <si>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</si>
  <si>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</si>
  <si>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</si>
  <si>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</si>
  <si>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</si>
  <si>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</si>
  <si>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</si>
  <si>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</si>
  <si>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</si>
  <si>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</si>
  <si>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</si>
  <si>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</si>
  <si>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</si>
  <si>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</si>
  <si>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</si>
  <si>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</si>
  <si>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</si>
  <si>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</si>
  <si>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</si>
  <si>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</si>
  <si>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</si>
  <si>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</si>
  <si>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</si>
  <si>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</si>
  <si>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</si>
  <si>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</si>
  <si>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</si>
  <si>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</si>
  <si>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</si>
  <si>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</si>
  <si>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</si>
  <si>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</si>
  <si>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</si>
  <si>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</si>
  <si>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</si>
  <si>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</si>
  <si>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</si>
  <si>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</si>
  <si>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</si>
  <si>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</si>
  <si>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</si>
  <si>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</si>
  <si>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</si>
  <si>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</si>
  <si>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</si>
  <si>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</si>
  <si>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</si>
  <si>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</si>
  <si>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</si>
  <si>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</si>
  <si>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</si>
  <si>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</si>
  <si>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</si>
  <si>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</si>
  <si>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</si>
  <si>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</si>
  <si>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</si>
  <si>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</si>
  <si>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</si>
  <si>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</si>
  <si>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</si>
  <si>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</si>
  <si>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</si>
  <si>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</si>
  <si>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</si>
  <si>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</si>
  <si>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</si>
  <si>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</si>
  <si>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</si>
  <si>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</si>
  <si>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</si>
  <si>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</si>
  <si>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</si>
  <si>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</si>
  <si>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</si>
  <si>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</si>
  <si>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</si>
  <si>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</si>
  <si>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</si>
  <si>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</si>
  <si>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</si>
  <si>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</si>
  <si>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</si>
  <si>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</si>
  <si>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</si>
  <si>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</si>
  <si>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</si>
  <si>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</si>
  <si>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</si>
  <si>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</si>
  <si>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</si>
  <si>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</si>
  <si>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</si>
  <si>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上游-1发射器</t>
  </si>
  <si>
    <t>上游-1导弹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</si>
  <si>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</si>
  <si>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</si>
  <si>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</si>
  <si>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</si>
  <si>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</si>
  <si>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</si>
  <si>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</si>
  <si>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</si>
  <si>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</si>
  <si>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</si>
  <si>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</si>
  <si>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</si>
  <si>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00109</t>
  </si>
  <si>
    <t>Zeppelin</t>
  </si>
  <si>
    <t>7-5boss点</t>
  </si>
  <si>
    <t>00110</t>
  </si>
  <si>
    <t>Scharnhorst</t>
  </si>
  <si>
    <t>00111</t>
  </si>
  <si>
    <t>Gneisenau</t>
  </si>
  <si>
    <t>00112</t>
  </si>
  <si>
    <t>Dresden</t>
  </si>
  <si>
    <t>00113</t>
  </si>
  <si>
    <t>Leipzig</t>
  </si>
  <si>
    <t>00114</t>
  </si>
  <si>
    <t>Emden</t>
  </si>
  <si>
    <t>00200</t>
  </si>
  <si>
    <t>防驱be级Ⅰ型</t>
  </si>
  <si>
    <t>MK-10导弹发射器</t>
  </si>
  <si>
    <t>小猎犬导弹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</si>
  <si>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</si>
  <si>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</si>
  <si>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</si>
  <si>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</si>
  <si>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</si>
  <si>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</si>
  <si>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</si>
  <si>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</si>
  <si>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MK13导弹发射系统</t>
  </si>
  <si>
    <t>黄铜骑士H</t>
  </si>
  <si>
    <t>00206</t>
  </si>
  <si>
    <t>大巡ce级Ⅲ型</t>
  </si>
  <si>
    <t>00207</t>
  </si>
  <si>
    <t>大巡ce级Ⅳ型</t>
  </si>
  <si>
    <t>00208</t>
  </si>
  <si>
    <t>导战de级Ⅰ型</t>
  </si>
  <si>
    <t>СМ-59-1发射架</t>
  </si>
  <si>
    <t>“狗鱼”反舰导弹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</si>
  <si>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</si>
  <si>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</si>
  <si>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</si>
  <si>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</si>
  <si>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</si>
  <si>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</si>
  <si>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</si>
  <si>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</si>
  <si>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</si>
  <si>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</si>
  <si>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</si>
  <si>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</si>
  <si>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</si>
  <si>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</si>
  <si>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</si>
  <si>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</si>
  <si>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</si>
  <si>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G国双联406毫米炮</t>
  </si>
  <si>
    <t>G国双联150毫米炮</t>
  </si>
  <si>
    <t>AR-196水上侦察机</t>
  </si>
  <si>
    <t>01002</t>
  </si>
  <si>
    <t>Pachina</t>
  </si>
  <si>
    <t>“TALIEDO STIPA”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</si>
  <si>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</si>
  <si>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</si>
  <si>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</si>
  <si>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</si>
  <si>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</si>
  <si>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</si>
  <si>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</si>
  <si>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</si>
  <si>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</si>
  <si>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</si>
  <si>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</si>
  <si>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B-25</t>
  </si>
  <si>
    <t>01014</t>
  </si>
  <si>
    <t>Hindenburg</t>
  </si>
  <si>
    <t>01015</t>
  </si>
  <si>
    <t>G国双联533毫米炮</t>
  </si>
  <si>
    <t>附加装甲(大型)</t>
  </si>
  <si>
    <t>改良型动力系统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</si>
  <si>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</si>
  <si>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</si>
  <si>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</si>
  <si>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</si>
  <si>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</si>
  <si>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</si>
  <si>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</si>
  <si>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</si>
  <si>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</si>
  <si>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</si>
  <si>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</si>
  <si>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</si>
  <si>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</si>
  <si>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</si>
  <si>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</si>
  <si>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</si>
  <si>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</si>
  <si>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</si>
  <si>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J国46厘米三连装炮</t>
  </si>
  <si>
    <t>标准型对海雷达</t>
  </si>
  <si>
    <t>01034</t>
  </si>
  <si>
    <t>Musashi</t>
  </si>
  <si>
    <t>先进型对空雷达</t>
  </si>
  <si>
    <t>01035</t>
  </si>
  <si>
    <t>Zumwalt</t>
  </si>
  <si>
    <t>01036</t>
  </si>
  <si>
    <t>SouthDakota</t>
  </si>
  <si>
    <t>U国三联16英寸炮(MK6)</t>
  </si>
  <si>
    <t>延时引信防空炮弹</t>
  </si>
  <si>
    <t>OS2U-3翠鸟</t>
  </si>
  <si>
    <t>01041</t>
  </si>
  <si>
    <t>舰队问答大洋接力赛</t>
  </si>
  <si>
    <t>01042</t>
  </si>
  <si>
    <t>Peter Strasser</t>
  </si>
  <si>
    <t>彗星</t>
  </si>
  <si>
    <t>烈风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</si>
  <si>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</si>
  <si>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</si>
  <si>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</si>
  <si>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</si>
  <si>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</si>
  <si>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</si>
  <si>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</si>
  <si>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</si>
  <si>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</si>
  <si>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</si>
  <si>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</si>
  <si>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</si>
  <si>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</si>
  <si>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</si>
  <si>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</si>
  <si>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</si>
  <si>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</si>
  <si>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</si>
  <si>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BTD-1毁灭者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</si>
  <si>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</si>
  <si>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</si>
  <si>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</si>
  <si>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</si>
  <si>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</si>
  <si>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</si>
  <si>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</si>
  <si>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</si>
  <si>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</si>
  <si>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</si>
  <si>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</si>
  <si>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</si>
  <si>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</si>
  <si>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</si>
  <si>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</si>
  <si>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</si>
  <si>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</si>
  <si>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</si>
  <si>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</si>
  <si>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</si>
  <si>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</si>
  <si>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</si>
  <si>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</si>
  <si>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</si>
  <si>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</si>
  <si>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</si>
  <si>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</si>
  <si>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</si>
  <si>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景云改</t>
  </si>
  <si>
    <t>海毒牙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</si>
  <si>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</si>
  <si>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</si>
  <si>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</si>
  <si>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</si>
  <si>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</si>
  <si>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</si>
  <si>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</si>
  <si>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</si>
  <si>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</si>
  <si>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</si>
  <si>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</si>
  <si>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</si>
  <si>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</si>
  <si>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</si>
  <si>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</si>
  <si>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</si>
  <si>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</si>
  <si>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</si>
  <si>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</si>
  <si>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</si>
  <si>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</si>
  <si>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</si>
  <si>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</si>
  <si>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</si>
  <si>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</si>
  <si>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</si>
  <si>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</si>
  <si>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</si>
  <si>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</si>
  <si>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</si>
  <si>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</si>
  <si>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</si>
  <si>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</si>
  <si>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</si>
  <si>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美洲狮式战斗机</t>
  </si>
  <si>
    <t>B-25(杜立特队)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</si>
  <si>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</si>
  <si>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</si>
  <si>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</si>
  <si>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</si>
  <si>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</si>
  <si>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</si>
  <si>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</si>
  <si>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</si>
  <si>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</si>
  <si>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</si>
  <si>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刺猬弹深弹投射器</t>
  </si>
  <si>
    <t>改良型声纳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</si>
  <si>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</si>
  <si>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</si>
  <si>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</si>
  <si>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</si>
  <si>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</si>
  <si>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</si>
  <si>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</si>
  <si>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</si>
  <si>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</si>
  <si>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</si>
  <si>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</si>
  <si>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</si>
  <si>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</si>
  <si>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</si>
  <si>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</si>
  <si>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</si>
  <si>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</si>
  <si>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</si>
  <si>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</si>
  <si>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</si>
  <si>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</si>
  <si>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</si>
  <si>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</si>
  <si>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</si>
  <si>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</si>
  <si>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</si>
  <si>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</si>
  <si>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</si>
  <si>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</si>
  <si>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</si>
  <si>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</si>
  <si>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</si>
  <si>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</si>
  <si>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</si>
  <si>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</si>
  <si>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</si>
  <si>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</si>
  <si>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</si>
  <si>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</si>
  <si>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</si>
  <si>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</si>
  <si>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</si>
  <si>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</si>
  <si>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</si>
  <si>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</si>
  <si>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</si>
  <si>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</si>
  <si>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</si>
  <si>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</si>
  <si>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</si>
  <si>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</si>
  <si>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</si>
  <si>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</si>
  <si>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</si>
  <si>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</si>
  <si>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</si>
  <si>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</si>
  <si>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</si>
  <si>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</si>
  <si>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</si>
  <si>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</si>
  <si>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</si>
  <si>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</si>
  <si>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</si>
  <si>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</si>
  <si>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</si>
  <si>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</si>
  <si>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</si>
  <si>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</si>
  <si>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</si>
  <si>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</si>
  <si>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</si>
  <si>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</si>
  <si>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</si>
  <si>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</si>
  <si>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</si>
  <si>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</si>
  <si>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</si>
  <si>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</si>
  <si>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</si>
  <si>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</si>
  <si>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</si>
  <si>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</si>
  <si>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</si>
  <si>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</si>
  <si>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</si>
  <si>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</si>
  <si>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</si>
  <si>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</si>
  <si>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</si>
  <si>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</si>
  <si>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</si>
  <si>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</si>
  <si>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</si>
  <si>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</si>
  <si>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</si>
  <si>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</si>
  <si>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</si>
  <si>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</si>
  <si>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</si>
  <si>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</si>
  <si>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</si>
  <si>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</si>
  <si>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</si>
  <si>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</si>
  <si>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</si>
  <si>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</si>
  <si>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</si>
  <si>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</si>
  <si>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</si>
  <si>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</si>
  <si>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</si>
  <si>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</si>
  <si>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</si>
  <si>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02001</t>
  </si>
  <si>
    <t>和平之翼要塞</t>
  </si>
  <si>
    <t>02002</t>
  </si>
  <si>
    <t>Sub-B</t>
  </si>
  <si>
    <t>02101</t>
  </si>
  <si>
    <t>和平之翼H1道中</t>
  </si>
  <si>
    <t>02102</t>
  </si>
  <si>
    <t>61M</t>
  </si>
  <si>
    <t>02103</t>
  </si>
  <si>
    <t>流星</t>
  </si>
  <si>
    <t>02104</t>
  </si>
  <si>
    <t>02201</t>
  </si>
  <si>
    <t>GoldenCatCat</t>
  </si>
  <si>
    <t>和平之翼H2道中</t>
  </si>
  <si>
    <t>02202</t>
  </si>
  <si>
    <t>Z27</t>
  </si>
  <si>
    <t>02203</t>
  </si>
  <si>
    <t>Z29</t>
  </si>
  <si>
    <t>02204</t>
  </si>
  <si>
    <t>02205</t>
  </si>
  <si>
    <t>02401</t>
  </si>
  <si>
    <t>和平之翼H4道中</t>
  </si>
  <si>
    <t>02402</t>
  </si>
  <si>
    <t>02403</t>
  </si>
  <si>
    <t>02404</t>
  </si>
  <si>
    <t>天河</t>
  </si>
  <si>
    <t>震电</t>
  </si>
  <si>
    <t>02405</t>
  </si>
  <si>
    <t>Yukikaze</t>
  </si>
  <si>
    <t>001691</t>
  </si>
  <si>
    <t>02406</t>
  </si>
  <si>
    <t>02407</t>
  </si>
  <si>
    <t>Chitose</t>
  </si>
  <si>
    <t>02408</t>
  </si>
  <si>
    <t>Ise</t>
  </si>
  <si>
    <t>J国35.6厘米连装炮</t>
  </si>
  <si>
    <t>J国25毫米联装机炮</t>
  </si>
  <si>
    <t>02409</t>
  </si>
  <si>
    <t>Hyuga</t>
  </si>
  <si>
    <t>02410</t>
  </si>
  <si>
    <t>Yamashiro</t>
  </si>
  <si>
    <t>02411</t>
  </si>
  <si>
    <t>Fuso</t>
  </si>
  <si>
    <t>02412</t>
  </si>
  <si>
    <t>Mogami</t>
  </si>
  <si>
    <t>J国20.3厘米连装炮</t>
  </si>
  <si>
    <t>61厘米四连装鱼雷</t>
  </si>
  <si>
    <t>零式水上侦察机</t>
  </si>
  <si>
    <t>02413</t>
  </si>
  <si>
    <t>I-400</t>
  </si>
  <si>
    <t>02414</t>
  </si>
  <si>
    <t>02415</t>
  </si>
  <si>
    <t>02416</t>
  </si>
  <si>
    <t>Nagato</t>
  </si>
  <si>
    <t>02417</t>
  </si>
  <si>
    <t>J国41厘米连装炮</t>
  </si>
  <si>
    <t>J国15.2厘米连装炮</t>
  </si>
  <si>
    <t>J国12.7厘米连装高射炮</t>
  </si>
  <si>
    <t>02418</t>
  </si>
  <si>
    <t>彩云</t>
  </si>
  <si>
    <t>001251</t>
  </si>
  <si>
    <t>02419</t>
  </si>
  <si>
    <t>军旗攻击机(AS.30)</t>
  </si>
  <si>
    <t>02420</t>
  </si>
  <si>
    <t>Yahagi</t>
  </si>
  <si>
    <t>02421</t>
  </si>
  <si>
    <t>02501</t>
  </si>
  <si>
    <t>Tuning</t>
  </si>
  <si>
    <t>基础型调谐舰</t>
  </si>
  <si>
    <t>惑星</t>
  </si>
  <si>
    <t>和平之翼H5道中</t>
  </si>
  <si>
    <t>02502</t>
  </si>
  <si>
    <t>Nautilus</t>
  </si>
  <si>
    <t>02503</t>
  </si>
  <si>
    <t>Forrestal</t>
  </si>
  <si>
    <t>02504</t>
  </si>
  <si>
    <t>防御型调谐舰</t>
  </si>
  <si>
    <t>02505</t>
  </si>
  <si>
    <t>制空型调谐舰</t>
  </si>
  <si>
    <t>02506</t>
  </si>
  <si>
    <t>攻击型调谐舰</t>
  </si>
  <si>
    <t>MK.141导弹发射架</t>
  </si>
  <si>
    <t>RGM-84鱼叉反舰导弹</t>
  </si>
  <si>
    <t>Me.P1099</t>
  </si>
  <si>
    <t>02507</t>
  </si>
  <si>
    <t>02508</t>
  </si>
  <si>
    <t>XB-70Valkyrie</t>
  </si>
  <si>
    <t>02509</t>
  </si>
  <si>
    <t>02601</t>
  </si>
  <si>
    <t>TK-208</t>
  </si>
  <si>
    <t>和平之翼H6道中</t>
  </si>
  <si>
    <t>02602</t>
  </si>
  <si>
    <t>Loki</t>
  </si>
  <si>
    <t>军旗IV攻击机</t>
  </si>
  <si>
    <t>010481</t>
  </si>
  <si>
    <t>02603</t>
  </si>
  <si>
    <t>02604</t>
  </si>
  <si>
    <t>Kitakami</t>
  </si>
  <si>
    <t>02605</t>
  </si>
  <si>
    <t>BB-56</t>
  </si>
  <si>
    <t>02606</t>
  </si>
  <si>
    <t>Savoy</t>
  </si>
  <si>
    <t>02607</t>
  </si>
  <si>
    <t>02608</t>
  </si>
  <si>
    <t>02609</t>
  </si>
  <si>
    <t>02711</t>
  </si>
  <si>
    <t>Akagi</t>
  </si>
  <si>
    <t>和平之翼H1院长</t>
  </si>
  <si>
    <t>02712</t>
  </si>
  <si>
    <t>Kaga</t>
  </si>
  <si>
    <t>02713</t>
  </si>
  <si>
    <t>Hiryu</t>
  </si>
  <si>
    <t>九七式舰攻</t>
  </si>
  <si>
    <t>02714</t>
  </si>
  <si>
    <t>Soryu</t>
  </si>
  <si>
    <t>九九式舰爆</t>
  </si>
  <si>
    <t>02715</t>
  </si>
  <si>
    <t>02716</t>
  </si>
  <si>
    <t>02721</t>
  </si>
  <si>
    <t>PBJ轰炸机</t>
  </si>
  <si>
    <t>和平之翼H2院长</t>
  </si>
  <si>
    <t>02722</t>
  </si>
  <si>
    <t>JG27</t>
  </si>
  <si>
    <t>02723</t>
  </si>
  <si>
    <t>JG51</t>
  </si>
  <si>
    <t>02724</t>
  </si>
  <si>
    <t>02725</t>
  </si>
  <si>
    <t>02726</t>
  </si>
  <si>
    <t>02731</t>
  </si>
  <si>
    <t>和平之翼H3院长</t>
  </si>
  <si>
    <t>02732</t>
  </si>
  <si>
    <t>02733</t>
  </si>
  <si>
    <t>Erika</t>
  </si>
  <si>
    <t>02734</t>
  </si>
  <si>
    <t>02735</t>
  </si>
  <si>
    <t>02736</t>
  </si>
  <si>
    <t>Lutjens</t>
  </si>
  <si>
    <t>02741</t>
  </si>
  <si>
    <t>91式穿甲弹</t>
  </si>
  <si>
    <t>和平之翼H4院长</t>
  </si>
  <si>
    <t>02742</t>
  </si>
  <si>
    <t>02743</t>
  </si>
  <si>
    <t>02744</t>
  </si>
  <si>
    <t>02745</t>
  </si>
  <si>
    <t>02746</t>
  </si>
  <si>
    <t>J国12.7厘米连装炮</t>
  </si>
  <si>
    <t>先进型声纳</t>
  </si>
  <si>
    <t>先进型火控雷达</t>
  </si>
  <si>
    <t>02751</t>
  </si>
  <si>
    <t>Reagent Orange</t>
  </si>
  <si>
    <t>和平之翼H5院长</t>
  </si>
  <si>
    <t>02752</t>
  </si>
  <si>
    <t>02753</t>
  </si>
  <si>
    <t>New Jersey</t>
  </si>
  <si>
    <t>02754</t>
  </si>
  <si>
    <t>02755</t>
  </si>
  <si>
    <t>CVN-65</t>
  </si>
  <si>
    <t>02756</t>
  </si>
  <si>
    <t>Rowan</t>
  </si>
  <si>
    <t>02761</t>
  </si>
  <si>
    <t>Kennedy</t>
  </si>
  <si>
    <t>F-4B</t>
  </si>
  <si>
    <t>A-6</t>
  </si>
  <si>
    <t>和平之翼H6院长</t>
  </si>
  <si>
    <t>02762</t>
  </si>
  <si>
    <t>Midway</t>
  </si>
  <si>
    <t>02763</t>
  </si>
  <si>
    <t>Missouri</t>
  </si>
  <si>
    <t>02764</t>
  </si>
  <si>
    <t>Wisconsin</t>
  </si>
  <si>
    <t>02765</t>
  </si>
  <si>
    <t>Kidd</t>
  </si>
  <si>
    <t>马舒卡防空导弹（早期型）</t>
  </si>
  <si>
    <t>02766</t>
  </si>
  <si>
    <t>Los Angeles</t>
  </si>
  <si>
    <t>03001</t>
  </si>
  <si>
    <t>Takao[Fog]</t>
  </si>
  <si>
    <t>СМ-70旋转发射器</t>
  </si>
  <si>
    <t>П-35反舰导弹</t>
  </si>
  <si>
    <t>大型单装炮</t>
  </si>
  <si>
    <t>030011</t>
  </si>
  <si>
    <t>03002</t>
  </si>
  <si>
    <t>Nagara MassProd[Fog]</t>
  </si>
  <si>
    <t>防空导弹作战系统</t>
  </si>
  <si>
    <t>S-75防空导弹</t>
  </si>
  <si>
    <t>03003</t>
  </si>
  <si>
    <t>Fletcher MassProd[Fog]</t>
  </si>
  <si>
    <t>03004</t>
  </si>
  <si>
    <t>Kagerou MassProd[Fog]</t>
  </si>
  <si>
    <t>03005</t>
  </si>
  <si>
    <t>Ξ Class[Fog]</t>
  </si>
  <si>
    <t>S-2反潜机</t>
  </si>
  <si>
    <t>E-1预警机</t>
  </si>
  <si>
    <t>03006</t>
  </si>
  <si>
    <t>Target A[Fog]</t>
  </si>
  <si>
    <t>03007</t>
  </si>
  <si>
    <t>Ο Class[Fog]</t>
  </si>
  <si>
    <t>03008</t>
  </si>
  <si>
    <t>Χ Class[Fog]</t>
  </si>
  <si>
    <t>F2H报丧女妖</t>
  </si>
  <si>
    <t>A-1</t>
  </si>
  <si>
    <t>03009</t>
  </si>
  <si>
    <t>Hunley</t>
  </si>
  <si>
    <t>03010</t>
  </si>
  <si>
    <t>03011</t>
  </si>
  <si>
    <t>Kumashima[Fog]</t>
  </si>
  <si>
    <t>030111</t>
  </si>
  <si>
    <t>SecondaryGun</t>
  </si>
  <si>
    <t>小型副炮</t>
  </si>
  <si>
    <t>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</si>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</sst>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23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color theme="1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8"/>
      <color theme="3"/>
      <name val="等线"/>
      <charset val="134"/>
      <scheme val="minor"/>
    </font>
    <font>
      <b/>
      <sz val="11"/>
      <color theme="1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5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006100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sz val="11"/>
      <color rgb="FFFA7D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0" fontId="7" fillId="3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9" fillId="23" borderId="6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8" fillId="7" borderId="6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6" fillId="16" borderId="10" applyNumberFormat="0" applyAlignment="0" applyProtection="0">
      <alignment vertical="center"/>
    </xf>
    <xf numFmtId="0" fontId="21" fillId="7" borderId="11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0" fillId="11" borderId="7" applyNumberFormat="0" applyFont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0" fillId="0" borderId="0"/>
    <xf numFmtId="0" fontId="22" fillId="0" borderId="12" applyNumberFormat="0" applyFill="0" applyAlignment="0" applyProtection="0">
      <alignment vertical="center"/>
    </xf>
  </cellStyleXfs>
  <cellXfs count="41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left" vertical="center"/>
    </xf>
    <xf numFmtId="0" fontId="1" fillId="0" borderId="0" xfId="0" applyFont="1"/>
    <xf numFmtId="0" fontId="0" fillId="0" borderId="0" xfId="0" applyFont="1" applyFill="1" applyAlignment="1"/>
    <xf numFmtId="0" fontId="2" fillId="0" borderId="0" xfId="0" applyFont="1"/>
    <xf numFmtId="49" fontId="1" fillId="0" borderId="0" xfId="0" applyNumberFormat="1" applyFont="1"/>
    <xf numFmtId="49" fontId="0" fillId="0" borderId="0" xfId="0" applyNumberFormat="1" applyFont="1"/>
    <xf numFmtId="49" fontId="0" fillId="0" borderId="0" xfId="0" applyNumberFormat="1" applyFont="1" applyFill="1" applyAlignment="1"/>
    <xf numFmtId="0" fontId="1" fillId="0" borderId="0" xfId="0" applyFont="1" applyFill="1" applyAlignment="1"/>
    <xf numFmtId="0" fontId="2" fillId="0" borderId="0" xfId="0" applyFont="1" applyFill="1" applyAlignment="1"/>
    <xf numFmtId="0" fontId="0" fillId="0" borderId="0" xfId="0" applyFont="1" applyFill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righ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0" fillId="0" borderId="0" xfId="48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48" applyAlignment="1">
      <alignment horizontal="left" vertical="center"/>
    </xf>
    <xf numFmtId="0" fontId="1" fillId="0" borderId="0" xfId="0" applyFont="1" applyAlignment="1">
      <alignment vertical="center"/>
    </xf>
    <xf numFmtId="0" fontId="0" fillId="0" borderId="0" xfId="48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0" fillId="0" borderId="0" xfId="48" applyAlignment="1">
      <alignment horizontal="center"/>
    </xf>
    <xf numFmtId="49" fontId="1" fillId="0" borderId="0" xfId="0" applyNumberFormat="1" applyFont="1" applyAlignment="1">
      <alignment horizontal="left"/>
    </xf>
    <xf numFmtId="0" fontId="0" fillId="0" borderId="0" xfId="48" applyAlignment="1">
      <alignment horizontal="left"/>
    </xf>
    <xf numFmtId="0" fontId="0" fillId="0" borderId="0" xfId="0" quotePrefix="1"/>
    <xf numFmtId="0" fontId="0" fillId="0" borderId="0" xfId="0" applyFont="1" applyFill="1" applyAlignment="1" quotePrefix="1"/>
  </cellXfs>
  <cellStyles count="50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常规 3" xfId="48"/>
    <cellStyle name="链接单元格" xfId="49" builtinId="24"/>
  </cellStyles>
  <dxfs count="11"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6"/>
      </font>
    </dxf>
    <dxf>
      <font>
        <color rgb="FFFF99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workbookViewId="0">
      <pane xSplit="3" ySplit="1" topLeftCell="D11" activePane="bottomRight" state="frozen"/>
      <selection/>
      <selection pane="topRight"/>
      <selection pane="bottomLeft"/>
      <selection pane="bottomRight" activeCell="C135" sqref="C135"/>
    </sheetView>
  </sheetViews>
  <sheetFormatPr defaultColWidth="9" defaultRowHeight="13.5"/>
  <cols>
    <col min="3" max="3" width="21.8333333333333" customWidth="1"/>
    <col min="29" max="29" width="9" style="2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s="38" t="s">
        <v>22</v>
      </c>
      <c r="X1" s="38" t="s">
        <v>23</v>
      </c>
      <c r="Y1" s="38" t="s">
        <v>24</v>
      </c>
      <c r="Z1" s="38" t="s">
        <v>25</v>
      </c>
      <c r="AA1" t="s">
        <v>26</v>
      </c>
      <c r="AB1" t="s">
        <v>27</v>
      </c>
      <c r="AC1" s="22" t="s">
        <v>28</v>
      </c>
    </row>
    <row r="2" spans="1:26">
      <c r="A2" s="2">
        <v>10022</v>
      </c>
      <c r="B2" t="s">
        <v>29</v>
      </c>
      <c r="C2" s="13" t="s">
        <v>30</v>
      </c>
      <c r="D2" t="s">
        <v>31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29">
        <v>60</v>
      </c>
      <c r="X2" s="29">
        <v>55</v>
      </c>
      <c r="Y2" s="29">
        <v>2.4</v>
      </c>
      <c r="Z2" s="29">
        <v>4.5</v>
      </c>
    </row>
    <row r="3" spans="1:26">
      <c r="A3" s="2">
        <v>10023</v>
      </c>
      <c r="B3" t="s">
        <v>29</v>
      </c>
      <c r="C3" s="13" t="s">
        <v>32</v>
      </c>
      <c r="D3" t="s">
        <v>31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29">
        <v>60</v>
      </c>
      <c r="X3" s="29">
        <v>55</v>
      </c>
      <c r="Y3" s="29">
        <v>2.56</v>
      </c>
      <c r="Z3" s="29">
        <v>4.8</v>
      </c>
    </row>
    <row r="4" spans="1:26">
      <c r="A4" s="2">
        <v>10029</v>
      </c>
      <c r="B4" t="s">
        <v>29</v>
      </c>
      <c r="C4" s="13" t="s">
        <v>33</v>
      </c>
      <c r="D4" t="s">
        <v>34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29">
        <v>55</v>
      </c>
      <c r="X4" s="29">
        <v>60</v>
      </c>
      <c r="Y4" s="29">
        <v>2.08</v>
      </c>
      <c r="Z4" s="29">
        <v>3.9</v>
      </c>
    </row>
    <row r="5" spans="1:26">
      <c r="A5" s="2">
        <v>10030</v>
      </c>
      <c r="B5" t="s">
        <v>29</v>
      </c>
      <c r="C5" s="13" t="s">
        <v>35</v>
      </c>
      <c r="D5" t="s">
        <v>34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29">
        <v>55</v>
      </c>
      <c r="X5" s="29">
        <v>60</v>
      </c>
      <c r="Y5" s="29">
        <v>2.08</v>
      </c>
      <c r="Z5" s="29">
        <v>3.9</v>
      </c>
    </row>
    <row r="6" spans="1:26">
      <c r="A6" s="2">
        <v>10031</v>
      </c>
      <c r="B6" t="s">
        <v>29</v>
      </c>
      <c r="C6" s="13" t="s">
        <v>36</v>
      </c>
      <c r="D6" t="s">
        <v>34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29">
        <v>55</v>
      </c>
      <c r="X6" s="29">
        <v>60</v>
      </c>
      <c r="Y6" s="29">
        <v>2.08</v>
      </c>
      <c r="Z6" s="29">
        <v>3.9</v>
      </c>
    </row>
    <row r="7" spans="1:29">
      <c r="A7" s="2">
        <v>10100</v>
      </c>
      <c r="B7" t="s">
        <v>37</v>
      </c>
      <c r="C7" s="13" t="s">
        <v>38</v>
      </c>
      <c r="D7" s="2" t="s">
        <v>39</v>
      </c>
      <c r="E7" s="23">
        <v>81</v>
      </c>
      <c r="F7" s="23">
        <v>110</v>
      </c>
      <c r="G7" s="23">
        <v>0</v>
      </c>
      <c r="H7" s="23">
        <v>105</v>
      </c>
      <c r="I7" s="23">
        <v>85</v>
      </c>
      <c r="J7" s="23">
        <v>0</v>
      </c>
      <c r="K7" s="28">
        <v>97</v>
      </c>
      <c r="L7" s="23">
        <v>50</v>
      </c>
      <c r="M7" s="23">
        <v>42</v>
      </c>
      <c r="N7" s="23">
        <v>28.25</v>
      </c>
      <c r="O7" s="23">
        <v>3</v>
      </c>
      <c r="P7" s="23">
        <v>10</v>
      </c>
      <c r="Q7" s="23">
        <v>4</v>
      </c>
      <c r="R7">
        <f t="shared" si="0"/>
        <v>8</v>
      </c>
      <c r="S7" s="23">
        <v>2</v>
      </c>
      <c r="T7" s="23">
        <v>2</v>
      </c>
      <c r="U7" s="23">
        <v>2</v>
      </c>
      <c r="V7" s="23">
        <v>2</v>
      </c>
      <c r="W7" s="23">
        <v>125</v>
      </c>
      <c r="X7" s="23">
        <v>175</v>
      </c>
      <c r="Y7" s="23">
        <v>4.8</v>
      </c>
      <c r="Z7" s="23">
        <v>9</v>
      </c>
      <c r="AA7" s="23">
        <v>111001</v>
      </c>
      <c r="AB7" s="23"/>
      <c r="AC7" s="22" t="s">
        <v>40</v>
      </c>
    </row>
    <row r="8" spans="1:28">
      <c r="A8" s="2">
        <v>10105</v>
      </c>
      <c r="B8" t="s">
        <v>37</v>
      </c>
      <c r="C8" s="13" t="s">
        <v>41</v>
      </c>
      <c r="D8" s="2" t="s">
        <v>39</v>
      </c>
      <c r="E8" s="23">
        <v>85</v>
      </c>
      <c r="F8" s="23">
        <v>90</v>
      </c>
      <c r="G8" s="23">
        <v>0</v>
      </c>
      <c r="H8" s="23">
        <v>96</v>
      </c>
      <c r="I8" s="23">
        <v>105</v>
      </c>
      <c r="J8" s="23">
        <v>0</v>
      </c>
      <c r="K8" s="23">
        <v>96</v>
      </c>
      <c r="L8" s="23">
        <v>49</v>
      </c>
      <c r="M8" s="23">
        <v>45</v>
      </c>
      <c r="N8" s="23">
        <v>30</v>
      </c>
      <c r="O8" s="23">
        <v>3</v>
      </c>
      <c r="P8" s="23">
        <v>15</v>
      </c>
      <c r="Q8" s="23">
        <v>4</v>
      </c>
      <c r="R8">
        <f t="shared" si="0"/>
        <v>0</v>
      </c>
      <c r="S8" s="23">
        <v>0</v>
      </c>
      <c r="T8" s="23">
        <v>0</v>
      </c>
      <c r="U8" s="23">
        <v>0</v>
      </c>
      <c r="V8" s="23">
        <v>0</v>
      </c>
      <c r="W8" s="23">
        <v>90</v>
      </c>
      <c r="X8" s="23">
        <v>140</v>
      </c>
      <c r="Y8" s="23">
        <v>4.2</v>
      </c>
      <c r="Z8" s="23">
        <v>8</v>
      </c>
      <c r="AA8" s="23">
        <v>111052</v>
      </c>
      <c r="AB8" s="23"/>
    </row>
    <row r="9" spans="1:28">
      <c r="A9" s="2">
        <v>10113</v>
      </c>
      <c r="B9" t="s">
        <v>37</v>
      </c>
      <c r="C9" s="13" t="s">
        <v>42</v>
      </c>
      <c r="D9" s="2" t="s">
        <v>43</v>
      </c>
      <c r="E9" s="29">
        <v>78</v>
      </c>
      <c r="F9" s="23">
        <v>96</v>
      </c>
      <c r="G9" s="23">
        <v>0</v>
      </c>
      <c r="H9" s="23">
        <v>102</v>
      </c>
      <c r="I9" s="23">
        <v>60</v>
      </c>
      <c r="J9" s="23">
        <v>0</v>
      </c>
      <c r="K9" s="23">
        <v>96</v>
      </c>
      <c r="L9" s="23">
        <v>51</v>
      </c>
      <c r="M9" s="23">
        <v>40</v>
      </c>
      <c r="N9" s="23">
        <v>32</v>
      </c>
      <c r="O9" s="23">
        <v>3</v>
      </c>
      <c r="P9" s="23">
        <v>23</v>
      </c>
      <c r="Q9" s="23">
        <v>4</v>
      </c>
      <c r="R9">
        <f t="shared" si="0"/>
        <v>12</v>
      </c>
      <c r="S9" s="23">
        <v>3</v>
      </c>
      <c r="T9" s="23">
        <v>3</v>
      </c>
      <c r="U9" s="23">
        <v>3</v>
      </c>
      <c r="V9" s="23">
        <v>3</v>
      </c>
      <c r="W9" s="23">
        <v>90</v>
      </c>
      <c r="X9" s="23">
        <v>130</v>
      </c>
      <c r="Y9" s="23">
        <v>4.2</v>
      </c>
      <c r="Z9" s="23">
        <v>8</v>
      </c>
      <c r="AA9" s="23">
        <v>111131</v>
      </c>
      <c r="AB9" s="23"/>
    </row>
    <row r="10" spans="1:27">
      <c r="A10" s="2">
        <v>10117</v>
      </c>
      <c r="B10" t="s">
        <v>44</v>
      </c>
      <c r="C10" s="13" t="s">
        <v>45</v>
      </c>
      <c r="D10" t="s">
        <v>31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29">
        <v>70</v>
      </c>
      <c r="X10" s="29">
        <v>65</v>
      </c>
      <c r="Y10" s="29">
        <v>2.88</v>
      </c>
      <c r="Z10" s="29">
        <v>5.4</v>
      </c>
      <c r="AA10" s="23">
        <v>111171</v>
      </c>
    </row>
    <row r="11" spans="1:26">
      <c r="A11" s="2">
        <v>10118</v>
      </c>
      <c r="B11" t="s">
        <v>29</v>
      </c>
      <c r="C11" s="13" t="s">
        <v>46</v>
      </c>
      <c r="D11" t="s">
        <v>47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29">
        <v>50</v>
      </c>
      <c r="X11" s="29">
        <v>55</v>
      </c>
      <c r="Y11" s="29">
        <v>2.08</v>
      </c>
      <c r="Z11" s="29">
        <v>4.3</v>
      </c>
    </row>
    <row r="12" spans="1:27">
      <c r="A12" s="2">
        <v>10119</v>
      </c>
      <c r="B12" t="s">
        <v>29</v>
      </c>
      <c r="C12" s="13" t="s">
        <v>48</v>
      </c>
      <c r="D12" t="s">
        <v>39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29">
        <v>50</v>
      </c>
      <c r="X12" s="29">
        <v>60</v>
      </c>
      <c r="Y12" s="29">
        <v>2.08</v>
      </c>
      <c r="Z12" s="29">
        <v>3.9</v>
      </c>
      <c r="AA12">
        <v>101191</v>
      </c>
    </row>
    <row r="13" spans="1:26">
      <c r="A13" s="2">
        <v>10120</v>
      </c>
      <c r="B13" t="s">
        <v>29</v>
      </c>
      <c r="C13" s="13" t="s">
        <v>49</v>
      </c>
      <c r="D13" t="s">
        <v>34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29">
        <v>55</v>
      </c>
      <c r="X13" s="29">
        <v>60</v>
      </c>
      <c r="Y13" s="29">
        <v>2.08</v>
      </c>
      <c r="Z13" s="29">
        <v>3.9</v>
      </c>
    </row>
    <row r="14" spans="1:27">
      <c r="A14" s="2">
        <v>10121</v>
      </c>
      <c r="B14" t="s">
        <v>29</v>
      </c>
      <c r="C14" s="13" t="s">
        <v>50</v>
      </c>
      <c r="D14" t="s">
        <v>34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29">
        <v>55</v>
      </c>
      <c r="X14" s="29">
        <v>60</v>
      </c>
      <c r="Y14" s="29">
        <v>2.08</v>
      </c>
      <c r="Z14" s="29">
        <v>3.9</v>
      </c>
      <c r="AA14">
        <v>111211</v>
      </c>
    </row>
    <row r="15" spans="1:27">
      <c r="A15" s="2">
        <v>10189</v>
      </c>
      <c r="B15" t="s">
        <v>51</v>
      </c>
      <c r="C15" t="s">
        <v>52</v>
      </c>
      <c r="D15" t="s">
        <v>31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5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31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7">
      <c r="A16" s="2">
        <v>10190</v>
      </c>
      <c r="B16" t="s">
        <v>37</v>
      </c>
      <c r="C16" t="s">
        <v>53</v>
      </c>
      <c r="D16" t="s">
        <v>31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5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31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7">
      <c r="A17" s="2">
        <v>10191</v>
      </c>
      <c r="B17" t="s">
        <v>37</v>
      </c>
      <c r="C17" t="s">
        <v>54</v>
      </c>
      <c r="D17" t="s">
        <v>31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5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31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8">
      <c r="A18" s="2">
        <v>10200</v>
      </c>
      <c r="B18" t="s">
        <v>37</v>
      </c>
      <c r="C18" s="13" t="s">
        <v>55</v>
      </c>
      <c r="D18" s="2" t="s">
        <v>47</v>
      </c>
      <c r="E18" s="23">
        <v>100</v>
      </c>
      <c r="F18" s="23">
        <v>109</v>
      </c>
      <c r="G18" s="23">
        <v>0</v>
      </c>
      <c r="H18" s="23">
        <v>100</v>
      </c>
      <c r="I18" s="23">
        <v>66</v>
      </c>
      <c r="J18" s="23">
        <v>0</v>
      </c>
      <c r="K18" s="23">
        <v>97</v>
      </c>
      <c r="L18" s="23">
        <v>48</v>
      </c>
      <c r="M18" s="23">
        <v>43</v>
      </c>
      <c r="N18" s="23">
        <v>30</v>
      </c>
      <c r="O18" s="23">
        <v>3</v>
      </c>
      <c r="P18" s="23">
        <v>5</v>
      </c>
      <c r="Q18" s="23">
        <v>4</v>
      </c>
      <c r="R18">
        <f t="shared" si="0"/>
        <v>16</v>
      </c>
      <c r="S18" s="23">
        <v>4</v>
      </c>
      <c r="T18" s="23">
        <v>4</v>
      </c>
      <c r="U18" s="23">
        <v>4</v>
      </c>
      <c r="V18" s="23">
        <v>4</v>
      </c>
      <c r="W18" s="23">
        <v>125</v>
      </c>
      <c r="X18" s="23">
        <v>165</v>
      </c>
      <c r="Y18" s="23">
        <v>4.8</v>
      </c>
      <c r="Z18" s="23">
        <v>9.9</v>
      </c>
      <c r="AA18" s="23">
        <v>102001</v>
      </c>
      <c r="AB18" s="23"/>
    </row>
    <row r="19" spans="1:27">
      <c r="A19" s="2">
        <v>10201</v>
      </c>
      <c r="B19" t="s">
        <v>37</v>
      </c>
      <c r="C19" t="s">
        <v>56</v>
      </c>
      <c r="D19" t="s">
        <v>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5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31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4.1</v>
      </c>
      <c r="Z19">
        <v>8</v>
      </c>
      <c r="AA19">
        <v>102011</v>
      </c>
    </row>
    <row r="20" spans="1:29">
      <c r="A20" s="2">
        <v>10202</v>
      </c>
      <c r="B20" t="s">
        <v>37</v>
      </c>
      <c r="C20" s="33" t="s">
        <v>58</v>
      </c>
      <c r="D20" t="s">
        <v>34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5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31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9" t="s">
        <v>59</v>
      </c>
    </row>
    <row r="21" spans="1:28">
      <c r="A21" s="2">
        <v>10205</v>
      </c>
      <c r="B21" t="s">
        <v>37</v>
      </c>
      <c r="C21" s="13" t="s">
        <v>60</v>
      </c>
      <c r="D21" s="2" t="s">
        <v>39</v>
      </c>
      <c r="E21" s="23">
        <v>74</v>
      </c>
      <c r="F21" s="23">
        <v>95</v>
      </c>
      <c r="G21" s="23">
        <v>0</v>
      </c>
      <c r="H21" s="23">
        <v>95</v>
      </c>
      <c r="I21" s="23">
        <v>85</v>
      </c>
      <c r="J21" s="23">
        <v>0</v>
      </c>
      <c r="K21" s="23">
        <v>96</v>
      </c>
      <c r="L21" s="23">
        <v>48</v>
      </c>
      <c r="M21" s="23">
        <v>42</v>
      </c>
      <c r="N21" s="23">
        <v>29</v>
      </c>
      <c r="O21" s="23">
        <v>3</v>
      </c>
      <c r="P21" s="23">
        <v>18</v>
      </c>
      <c r="Q21" s="23">
        <v>4</v>
      </c>
      <c r="R21">
        <f t="shared" si="0"/>
        <v>16</v>
      </c>
      <c r="S21" s="23">
        <v>4</v>
      </c>
      <c r="T21" s="23">
        <v>4</v>
      </c>
      <c r="U21" s="23">
        <v>4</v>
      </c>
      <c r="V21" s="23">
        <v>4</v>
      </c>
      <c r="W21" s="23">
        <v>90</v>
      </c>
      <c r="X21" s="23">
        <v>140</v>
      </c>
      <c r="Y21" s="23">
        <v>4.2</v>
      </c>
      <c r="Z21" s="23">
        <v>8</v>
      </c>
      <c r="AA21" s="23">
        <v>102051</v>
      </c>
      <c r="AB21" s="23"/>
    </row>
    <row r="22" spans="1:28">
      <c r="A22" s="2">
        <v>10206</v>
      </c>
      <c r="B22" t="s">
        <v>37</v>
      </c>
      <c r="C22" s="13" t="s">
        <v>61</v>
      </c>
      <c r="D22" s="2" t="s">
        <v>34</v>
      </c>
      <c r="E22" s="23">
        <v>74</v>
      </c>
      <c r="F22" s="23">
        <v>108</v>
      </c>
      <c r="G22" s="23">
        <v>0</v>
      </c>
      <c r="H22" s="23">
        <v>92</v>
      </c>
      <c r="I22" s="23">
        <v>90</v>
      </c>
      <c r="J22" s="23">
        <v>0</v>
      </c>
      <c r="K22" s="23">
        <v>96</v>
      </c>
      <c r="L22" s="23">
        <v>47</v>
      </c>
      <c r="M22" s="23">
        <v>45</v>
      </c>
      <c r="N22" s="23">
        <v>28</v>
      </c>
      <c r="O22" s="23">
        <v>3</v>
      </c>
      <c r="P22" s="23">
        <v>25</v>
      </c>
      <c r="Q22" s="23">
        <v>4</v>
      </c>
      <c r="R22">
        <f t="shared" si="0"/>
        <v>12</v>
      </c>
      <c r="S22" s="23">
        <v>3</v>
      </c>
      <c r="T22" s="23">
        <v>3</v>
      </c>
      <c r="U22" s="23">
        <v>3</v>
      </c>
      <c r="V22" s="23">
        <v>3</v>
      </c>
      <c r="W22" s="23">
        <v>95</v>
      </c>
      <c r="X22" s="23">
        <v>140</v>
      </c>
      <c r="Y22" s="23">
        <v>4.2</v>
      </c>
      <c r="Z22" s="23">
        <v>8</v>
      </c>
      <c r="AA22" s="23">
        <v>112061</v>
      </c>
      <c r="AB22" s="23"/>
    </row>
    <row r="23" spans="1:29">
      <c r="A23" s="2">
        <v>10207</v>
      </c>
      <c r="B23" t="s">
        <v>37</v>
      </c>
      <c r="C23" s="13" t="s">
        <v>62</v>
      </c>
      <c r="D23" s="2" t="s">
        <v>34</v>
      </c>
      <c r="E23" s="23">
        <v>75</v>
      </c>
      <c r="F23" s="23">
        <v>108</v>
      </c>
      <c r="G23" s="23">
        <v>0</v>
      </c>
      <c r="H23" s="23">
        <v>100</v>
      </c>
      <c r="I23" s="23">
        <v>93</v>
      </c>
      <c r="J23" s="23">
        <v>0</v>
      </c>
      <c r="K23" s="23">
        <v>96</v>
      </c>
      <c r="L23" s="23">
        <v>46</v>
      </c>
      <c r="M23" s="23">
        <v>44</v>
      </c>
      <c r="N23" s="23">
        <v>27.5</v>
      </c>
      <c r="O23" s="23">
        <v>3</v>
      </c>
      <c r="P23" s="23">
        <v>13</v>
      </c>
      <c r="Q23" s="23">
        <v>4</v>
      </c>
      <c r="R23">
        <f t="shared" si="0"/>
        <v>12</v>
      </c>
      <c r="S23" s="23">
        <v>3</v>
      </c>
      <c r="T23" s="23">
        <v>3</v>
      </c>
      <c r="U23" s="23">
        <v>3</v>
      </c>
      <c r="V23" s="23">
        <v>3</v>
      </c>
      <c r="W23" s="23">
        <v>95</v>
      </c>
      <c r="X23" s="23">
        <v>140</v>
      </c>
      <c r="Y23" s="23">
        <v>4.2</v>
      </c>
      <c r="Z23" s="23">
        <v>8</v>
      </c>
      <c r="AA23" s="23">
        <v>112071</v>
      </c>
      <c r="AB23" s="23"/>
      <c r="AC23" s="22" t="s">
        <v>63</v>
      </c>
    </row>
    <row r="24" spans="1:29">
      <c r="A24" s="2">
        <v>10208</v>
      </c>
      <c r="B24" t="s">
        <v>37</v>
      </c>
      <c r="C24" s="13" t="s">
        <v>64</v>
      </c>
      <c r="D24" s="2" t="s">
        <v>34</v>
      </c>
      <c r="E24" s="23">
        <v>75</v>
      </c>
      <c r="F24" s="23">
        <v>108</v>
      </c>
      <c r="G24" s="23">
        <v>0</v>
      </c>
      <c r="H24" s="23">
        <v>100</v>
      </c>
      <c r="I24" s="23">
        <v>96</v>
      </c>
      <c r="J24" s="23">
        <v>0</v>
      </c>
      <c r="K24" s="23">
        <v>96</v>
      </c>
      <c r="L24" s="23">
        <v>46</v>
      </c>
      <c r="M24" s="23">
        <v>44</v>
      </c>
      <c r="N24" s="23">
        <v>27.5</v>
      </c>
      <c r="O24" s="23">
        <v>3</v>
      </c>
      <c r="P24" s="23">
        <v>24</v>
      </c>
      <c r="Q24" s="23">
        <v>4</v>
      </c>
      <c r="R24">
        <f t="shared" si="0"/>
        <v>12</v>
      </c>
      <c r="S24" s="23">
        <v>3</v>
      </c>
      <c r="T24" s="23">
        <v>3</v>
      </c>
      <c r="U24" s="23">
        <v>3</v>
      </c>
      <c r="V24" s="23">
        <v>3</v>
      </c>
      <c r="W24" s="23">
        <v>95</v>
      </c>
      <c r="X24" s="23">
        <v>140</v>
      </c>
      <c r="Y24" s="23">
        <v>4.2</v>
      </c>
      <c r="Z24" s="23">
        <v>8</v>
      </c>
      <c r="AA24" s="23">
        <v>102081</v>
      </c>
      <c r="AB24" s="23"/>
      <c r="AC24" s="22" t="s">
        <v>63</v>
      </c>
    </row>
    <row r="25" spans="1:29">
      <c r="A25" s="2">
        <v>10209</v>
      </c>
      <c r="B25" t="s">
        <v>37</v>
      </c>
      <c r="C25" s="13" t="s">
        <v>65</v>
      </c>
      <c r="D25" s="2" t="s">
        <v>34</v>
      </c>
      <c r="E25" s="23">
        <v>84</v>
      </c>
      <c r="F25" s="23">
        <v>116</v>
      </c>
      <c r="G25" s="23">
        <v>0</v>
      </c>
      <c r="H25" s="23">
        <v>102</v>
      </c>
      <c r="I25" s="23">
        <v>108</v>
      </c>
      <c r="J25" s="23">
        <v>0</v>
      </c>
      <c r="K25" s="23">
        <v>102</v>
      </c>
      <c r="L25" s="23">
        <v>52</v>
      </c>
      <c r="M25" s="23">
        <v>47</v>
      </c>
      <c r="N25" s="23">
        <v>33</v>
      </c>
      <c r="O25" s="23">
        <v>3</v>
      </c>
      <c r="P25" s="23">
        <v>24</v>
      </c>
      <c r="Q25" s="23">
        <v>4</v>
      </c>
      <c r="R25">
        <f t="shared" si="0"/>
        <v>12</v>
      </c>
      <c r="S25" s="23">
        <v>3</v>
      </c>
      <c r="T25" s="23">
        <v>3</v>
      </c>
      <c r="U25" s="23">
        <v>3</v>
      </c>
      <c r="V25" s="23">
        <v>3</v>
      </c>
      <c r="W25" s="23">
        <v>135</v>
      </c>
      <c r="X25" s="23">
        <v>175</v>
      </c>
      <c r="Y25" s="23">
        <v>4.8</v>
      </c>
      <c r="Z25" s="23">
        <v>9</v>
      </c>
      <c r="AA25" s="23">
        <v>102091</v>
      </c>
      <c r="AB25" s="23"/>
      <c r="AC25" s="22" t="s">
        <v>59</v>
      </c>
    </row>
    <row r="26" spans="1:29">
      <c r="A26" s="2">
        <v>10210</v>
      </c>
      <c r="B26" t="s">
        <v>37</v>
      </c>
      <c r="C26" s="13" t="s">
        <v>66</v>
      </c>
      <c r="D26" s="2" t="s">
        <v>34</v>
      </c>
      <c r="E26" s="23">
        <v>84</v>
      </c>
      <c r="F26" s="23">
        <v>116</v>
      </c>
      <c r="G26" s="23">
        <v>0</v>
      </c>
      <c r="H26" s="23">
        <v>102</v>
      </c>
      <c r="I26" s="23">
        <v>106</v>
      </c>
      <c r="J26" s="23">
        <v>0</v>
      </c>
      <c r="K26" s="23">
        <v>102</v>
      </c>
      <c r="L26" s="23">
        <v>52</v>
      </c>
      <c r="M26" s="23">
        <v>45</v>
      </c>
      <c r="N26" s="23">
        <v>33</v>
      </c>
      <c r="O26" s="23">
        <v>3</v>
      </c>
      <c r="P26" s="23">
        <v>24</v>
      </c>
      <c r="Q26" s="23">
        <v>4</v>
      </c>
      <c r="R26">
        <f t="shared" si="0"/>
        <v>12</v>
      </c>
      <c r="S26" s="23">
        <v>3</v>
      </c>
      <c r="T26" s="23">
        <v>3</v>
      </c>
      <c r="U26" s="23">
        <v>3</v>
      </c>
      <c r="V26" s="23">
        <v>3</v>
      </c>
      <c r="W26" s="23">
        <v>135</v>
      </c>
      <c r="X26" s="23">
        <v>175</v>
      </c>
      <c r="Y26" s="23">
        <v>4.8</v>
      </c>
      <c r="Z26" s="23">
        <v>9</v>
      </c>
      <c r="AA26" s="23">
        <v>102101</v>
      </c>
      <c r="AB26" s="23"/>
      <c r="AC26" s="22" t="s">
        <v>59</v>
      </c>
    </row>
    <row r="27" spans="1:29">
      <c r="A27" s="2">
        <v>10212</v>
      </c>
      <c r="B27" t="s">
        <v>37</v>
      </c>
      <c r="C27" t="s">
        <v>67</v>
      </c>
      <c r="D27" t="s">
        <v>68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5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31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22" t="s">
        <v>69</v>
      </c>
    </row>
    <row r="28" spans="1:29">
      <c r="A28" s="2">
        <v>10213</v>
      </c>
      <c r="B28" t="s">
        <v>37</v>
      </c>
      <c r="C28" s="13" t="s">
        <v>70</v>
      </c>
      <c r="D28" s="2" t="s">
        <v>68</v>
      </c>
      <c r="E28" s="23">
        <v>75</v>
      </c>
      <c r="F28" s="23">
        <v>101</v>
      </c>
      <c r="G28" s="23">
        <v>0</v>
      </c>
      <c r="H28" s="23">
        <v>98</v>
      </c>
      <c r="I28" s="23">
        <v>65</v>
      </c>
      <c r="J28" s="23">
        <v>0</v>
      </c>
      <c r="K28" s="23">
        <v>96</v>
      </c>
      <c r="L28" s="23">
        <v>50</v>
      </c>
      <c r="M28" s="23">
        <v>41</v>
      </c>
      <c r="N28" s="23">
        <v>31</v>
      </c>
      <c r="O28" s="23">
        <v>3</v>
      </c>
      <c r="P28" s="23">
        <v>10</v>
      </c>
      <c r="Q28" s="23">
        <v>4</v>
      </c>
      <c r="R28">
        <f t="shared" si="0"/>
        <v>12</v>
      </c>
      <c r="S28" s="23">
        <v>3</v>
      </c>
      <c r="T28" s="23">
        <v>3</v>
      </c>
      <c r="U28" s="23">
        <v>3</v>
      </c>
      <c r="V28" s="23">
        <v>3</v>
      </c>
      <c r="W28" s="23">
        <v>90</v>
      </c>
      <c r="X28" s="23">
        <v>130</v>
      </c>
      <c r="Y28" s="23">
        <v>4.2</v>
      </c>
      <c r="Z28" s="23">
        <v>8</v>
      </c>
      <c r="AA28" s="23">
        <v>102131</v>
      </c>
      <c r="AB28" s="23"/>
      <c r="AC28" s="22" t="s">
        <v>69</v>
      </c>
    </row>
    <row r="29" spans="1:28">
      <c r="A29" s="2">
        <v>10214</v>
      </c>
      <c r="B29" t="s">
        <v>37</v>
      </c>
      <c r="C29" s="13" t="s">
        <v>71</v>
      </c>
      <c r="D29" s="2" t="s">
        <v>72</v>
      </c>
      <c r="E29" s="23">
        <v>92</v>
      </c>
      <c r="F29" s="23">
        <v>111</v>
      </c>
      <c r="G29" s="23">
        <v>0</v>
      </c>
      <c r="H29" s="23">
        <v>97</v>
      </c>
      <c r="I29" s="23">
        <v>67</v>
      </c>
      <c r="J29" s="23">
        <v>0</v>
      </c>
      <c r="K29" s="23">
        <v>96</v>
      </c>
      <c r="L29" s="23">
        <v>51</v>
      </c>
      <c r="M29" s="23">
        <v>38</v>
      </c>
      <c r="N29" s="23">
        <v>28</v>
      </c>
      <c r="O29" s="23">
        <v>3</v>
      </c>
      <c r="P29" s="23">
        <v>8</v>
      </c>
      <c r="Q29" s="23">
        <v>4</v>
      </c>
      <c r="R29">
        <f t="shared" si="0"/>
        <v>16</v>
      </c>
      <c r="S29" s="23">
        <v>4</v>
      </c>
      <c r="T29" s="23">
        <v>4</v>
      </c>
      <c r="U29" s="23">
        <v>4</v>
      </c>
      <c r="V29" s="23">
        <v>4</v>
      </c>
      <c r="W29" s="23">
        <v>125</v>
      </c>
      <c r="X29" s="23">
        <v>165</v>
      </c>
      <c r="Y29" s="23">
        <v>4.8</v>
      </c>
      <c r="Z29" s="23">
        <v>9</v>
      </c>
      <c r="AA29" s="23">
        <v>102141</v>
      </c>
      <c r="AB29" s="23"/>
    </row>
    <row r="30" spans="1:26">
      <c r="A30" s="2">
        <v>10219</v>
      </c>
      <c r="B30" t="s">
        <v>29</v>
      </c>
      <c r="C30" s="13" t="s">
        <v>73</v>
      </c>
      <c r="D30" t="s">
        <v>31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29">
        <v>60</v>
      </c>
      <c r="X30" s="29">
        <v>55</v>
      </c>
      <c r="Y30" s="29">
        <v>2.4</v>
      </c>
      <c r="Z30" s="29">
        <v>4.5</v>
      </c>
    </row>
    <row r="31" spans="1:26">
      <c r="A31" s="2">
        <v>10220</v>
      </c>
      <c r="B31" t="s">
        <v>29</v>
      </c>
      <c r="C31" s="13" t="s">
        <v>74</v>
      </c>
      <c r="D31" t="s">
        <v>31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29">
        <v>60</v>
      </c>
      <c r="X31" s="29">
        <v>55</v>
      </c>
      <c r="Y31" s="29">
        <v>2.4</v>
      </c>
      <c r="Z31" s="29">
        <v>4.5</v>
      </c>
    </row>
    <row r="32" spans="1:26">
      <c r="A32" s="2">
        <v>10221</v>
      </c>
      <c r="B32" t="s">
        <v>29</v>
      </c>
      <c r="C32" s="13" t="s">
        <v>75</v>
      </c>
      <c r="D32" t="s">
        <v>31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29">
        <v>60</v>
      </c>
      <c r="X32" s="29">
        <v>55</v>
      </c>
      <c r="Y32" s="29">
        <v>2.4</v>
      </c>
      <c r="Z32" s="29">
        <v>4.5</v>
      </c>
    </row>
    <row r="33" spans="1:26">
      <c r="A33" s="2">
        <v>10222</v>
      </c>
      <c r="B33" t="s">
        <v>29</v>
      </c>
      <c r="C33" s="13" t="s">
        <v>76</v>
      </c>
      <c r="D33" t="s">
        <v>31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29">
        <v>60</v>
      </c>
      <c r="X33" s="29">
        <v>55</v>
      </c>
      <c r="Y33" s="29">
        <v>2.4</v>
      </c>
      <c r="Z33" s="29">
        <v>4.5</v>
      </c>
    </row>
    <row r="34" spans="1:27">
      <c r="A34" s="2">
        <v>10223</v>
      </c>
      <c r="B34" t="s">
        <v>44</v>
      </c>
      <c r="C34" s="13" t="s">
        <v>77</v>
      </c>
      <c r="D34" t="s">
        <v>31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29">
        <v>110</v>
      </c>
      <c r="X34" s="29">
        <v>100</v>
      </c>
      <c r="Y34" s="29">
        <v>3.5</v>
      </c>
      <c r="Z34" s="29">
        <v>6</v>
      </c>
      <c r="AA34">
        <v>112231</v>
      </c>
    </row>
    <row r="35" spans="1:27">
      <c r="A35" s="2">
        <v>10224</v>
      </c>
      <c r="B35" t="s">
        <v>44</v>
      </c>
      <c r="C35" s="13" t="s">
        <v>78</v>
      </c>
      <c r="D35" t="s">
        <v>39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29">
        <v>70</v>
      </c>
      <c r="X35" s="29">
        <v>65</v>
      </c>
      <c r="Y35" s="29">
        <v>2.88</v>
      </c>
      <c r="Z35" s="29">
        <v>5.6</v>
      </c>
      <c r="AA35">
        <v>102241</v>
      </c>
    </row>
    <row r="36" spans="1:26">
      <c r="A36" s="2">
        <v>10225</v>
      </c>
      <c r="B36" t="s">
        <v>29</v>
      </c>
      <c r="C36" s="13" t="s">
        <v>79</v>
      </c>
      <c r="D36" t="s">
        <v>34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29">
        <v>55</v>
      </c>
      <c r="X36" s="29">
        <v>60</v>
      </c>
      <c r="Y36" s="29">
        <v>2.08</v>
      </c>
      <c r="Z36" s="29">
        <v>3.9</v>
      </c>
    </row>
    <row r="37" spans="1:29">
      <c r="A37" s="2">
        <v>10226</v>
      </c>
      <c r="B37" t="s">
        <v>29</v>
      </c>
      <c r="C37" s="13" t="s">
        <v>80</v>
      </c>
      <c r="D37" t="s">
        <v>34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29">
        <v>60</v>
      </c>
      <c r="X37" s="29">
        <v>60</v>
      </c>
      <c r="Y37" s="29">
        <v>2.4</v>
      </c>
      <c r="Z37" s="29">
        <v>4.5</v>
      </c>
      <c r="AA37">
        <v>102261</v>
      </c>
      <c r="AC37" s="22" t="s">
        <v>81</v>
      </c>
    </row>
    <row r="38" spans="1:29">
      <c r="A38" s="2">
        <v>10231</v>
      </c>
      <c r="B38" t="s">
        <v>29</v>
      </c>
      <c r="C38" t="s">
        <v>82</v>
      </c>
      <c r="D38" t="s">
        <v>34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5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31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22" t="s">
        <v>81</v>
      </c>
    </row>
    <row r="39" spans="1:26">
      <c r="A39" s="2">
        <v>10232</v>
      </c>
      <c r="B39" t="s">
        <v>29</v>
      </c>
      <c r="C39" s="13" t="s">
        <v>83</v>
      </c>
      <c r="D39" t="s">
        <v>43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23">
        <v>50</v>
      </c>
      <c r="X39" s="23">
        <v>55</v>
      </c>
      <c r="Y39" s="23">
        <v>2.08</v>
      </c>
      <c r="Z39" s="23">
        <v>3.9</v>
      </c>
    </row>
    <row r="40" spans="1:28">
      <c r="A40" s="2">
        <v>10241</v>
      </c>
      <c r="B40" t="s">
        <v>84</v>
      </c>
      <c r="C40" s="13" t="s">
        <v>85</v>
      </c>
      <c r="D40" s="2" t="s">
        <v>34</v>
      </c>
      <c r="E40" s="23">
        <v>52</v>
      </c>
      <c r="F40" s="23">
        <v>68</v>
      </c>
      <c r="G40" s="23">
        <v>0</v>
      </c>
      <c r="H40" s="23">
        <v>56</v>
      </c>
      <c r="I40" s="23">
        <v>90</v>
      </c>
      <c r="J40" s="23">
        <v>0</v>
      </c>
      <c r="K40" s="23">
        <v>93</v>
      </c>
      <c r="L40" s="23">
        <v>75</v>
      </c>
      <c r="M40" s="23">
        <v>56</v>
      </c>
      <c r="N40" s="23">
        <v>33</v>
      </c>
      <c r="O40" s="23">
        <v>2</v>
      </c>
      <c r="P40" s="23">
        <v>17</v>
      </c>
      <c r="Q40" s="23">
        <v>3</v>
      </c>
      <c r="R40">
        <f t="shared" si="1"/>
        <v>6</v>
      </c>
      <c r="S40" s="23">
        <v>2</v>
      </c>
      <c r="T40" s="23">
        <v>2</v>
      </c>
      <c r="U40" s="23">
        <v>2</v>
      </c>
      <c r="V40" s="23">
        <v>0</v>
      </c>
      <c r="W40" s="23">
        <v>40</v>
      </c>
      <c r="X40" s="23">
        <v>70</v>
      </c>
      <c r="Y40" s="23">
        <v>1.28</v>
      </c>
      <c r="Z40" s="23">
        <v>2.4</v>
      </c>
      <c r="AA40" s="23">
        <v>112411</v>
      </c>
      <c r="AB40" s="23"/>
    </row>
    <row r="41" spans="1:28">
      <c r="A41" s="2">
        <v>10243</v>
      </c>
      <c r="B41" t="s">
        <v>84</v>
      </c>
      <c r="C41" s="13" t="s">
        <v>86</v>
      </c>
      <c r="D41" s="2" t="s">
        <v>34</v>
      </c>
      <c r="E41" s="23">
        <v>52</v>
      </c>
      <c r="F41" s="23">
        <v>83</v>
      </c>
      <c r="G41" s="23">
        <v>0</v>
      </c>
      <c r="H41" s="23">
        <v>58</v>
      </c>
      <c r="I41" s="23">
        <v>108</v>
      </c>
      <c r="J41" s="23">
        <v>0</v>
      </c>
      <c r="K41" s="23">
        <v>94</v>
      </c>
      <c r="L41" s="23">
        <v>75</v>
      </c>
      <c r="M41" s="23">
        <v>56</v>
      </c>
      <c r="N41" s="23">
        <v>33</v>
      </c>
      <c r="O41" s="23">
        <v>2</v>
      </c>
      <c r="P41" s="23">
        <v>11</v>
      </c>
      <c r="Q41" s="23">
        <v>3</v>
      </c>
      <c r="R41">
        <f t="shared" si="1"/>
        <v>9</v>
      </c>
      <c r="S41" s="23">
        <v>3</v>
      </c>
      <c r="T41" s="23">
        <v>3</v>
      </c>
      <c r="U41" s="23">
        <v>3</v>
      </c>
      <c r="V41" s="23">
        <v>0</v>
      </c>
      <c r="W41" s="23">
        <v>40</v>
      </c>
      <c r="X41" s="23">
        <v>70</v>
      </c>
      <c r="Y41" s="23">
        <v>1.28</v>
      </c>
      <c r="Z41" s="23">
        <v>2.4</v>
      </c>
      <c r="AA41" s="23">
        <v>102431</v>
      </c>
      <c r="AB41" s="23"/>
    </row>
    <row r="42" spans="1:26">
      <c r="A42" s="2">
        <v>10282</v>
      </c>
      <c r="B42" t="s">
        <v>87</v>
      </c>
      <c r="C42" t="s">
        <v>88</v>
      </c>
      <c r="D42" t="s">
        <v>89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5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31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</v>
      </c>
      <c r="Z42">
        <v>0.4</v>
      </c>
    </row>
    <row r="43" spans="1:26">
      <c r="A43" s="2">
        <v>10283</v>
      </c>
      <c r="B43" t="s">
        <v>87</v>
      </c>
      <c r="C43" t="s">
        <v>90</v>
      </c>
      <c r="D43" t="s">
        <v>89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5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31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</v>
      </c>
      <c r="Z43">
        <v>0.4</v>
      </c>
    </row>
    <row r="44" spans="1:27">
      <c r="A44" s="2">
        <v>10285</v>
      </c>
      <c r="B44" t="s">
        <v>29</v>
      </c>
      <c r="C44" t="s">
        <v>91</v>
      </c>
      <c r="D44" t="s">
        <v>72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5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31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7">
      <c r="A45" s="2">
        <v>10287</v>
      </c>
      <c r="B45" t="s">
        <v>92</v>
      </c>
      <c r="C45" t="s">
        <v>93</v>
      </c>
      <c r="D45" t="s">
        <v>89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5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31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8">
      <c r="A46" s="2">
        <v>10299</v>
      </c>
      <c r="B46" t="s">
        <v>37</v>
      </c>
      <c r="C46" s="13" t="s">
        <v>94</v>
      </c>
      <c r="D46" s="2" t="s">
        <v>43</v>
      </c>
      <c r="E46" s="23">
        <v>80</v>
      </c>
      <c r="F46" s="23">
        <v>96</v>
      </c>
      <c r="G46" s="23">
        <v>0</v>
      </c>
      <c r="H46" s="23">
        <v>105</v>
      </c>
      <c r="I46" s="23">
        <v>109</v>
      </c>
      <c r="J46" s="23">
        <v>0</v>
      </c>
      <c r="K46" s="30">
        <v>96</v>
      </c>
      <c r="L46" s="23">
        <v>49</v>
      </c>
      <c r="M46" s="23">
        <v>44</v>
      </c>
      <c r="N46" s="23">
        <v>32</v>
      </c>
      <c r="O46" s="23">
        <v>3</v>
      </c>
      <c r="P46" s="23">
        <v>18</v>
      </c>
      <c r="Q46" s="23">
        <v>4</v>
      </c>
      <c r="R46">
        <f t="shared" si="1"/>
        <v>0</v>
      </c>
      <c r="S46" s="23">
        <v>0</v>
      </c>
      <c r="T46" s="23">
        <v>0</v>
      </c>
      <c r="U46" s="23">
        <v>0</v>
      </c>
      <c r="V46" s="23">
        <v>0</v>
      </c>
      <c r="W46" s="23">
        <v>95</v>
      </c>
      <c r="X46" s="23">
        <v>135</v>
      </c>
      <c r="Y46" s="23">
        <v>4.3</v>
      </c>
      <c r="Z46" s="23">
        <v>8</v>
      </c>
      <c r="AA46" s="23">
        <v>102991</v>
      </c>
      <c r="AB46" s="23"/>
    </row>
    <row r="47" spans="1:27">
      <c r="A47" s="2">
        <v>10300</v>
      </c>
      <c r="B47" t="s">
        <v>29</v>
      </c>
      <c r="C47" t="s">
        <v>95</v>
      </c>
      <c r="D47" t="s">
        <v>39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5">
        <v>96</v>
      </c>
      <c r="L47">
        <v>59</v>
      </c>
      <c r="M47">
        <v>77</v>
      </c>
      <c r="N47">
        <v>33.2</v>
      </c>
      <c r="O47">
        <v>1</v>
      </c>
      <c r="P47">
        <v>6</v>
      </c>
      <c r="Q47">
        <v>4</v>
      </c>
      <c r="R47" s="31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8">
      <c r="A48" s="2">
        <v>10305</v>
      </c>
      <c r="B48" t="s">
        <v>37</v>
      </c>
      <c r="C48" s="13" t="s">
        <v>96</v>
      </c>
      <c r="D48" s="2" t="s">
        <v>39</v>
      </c>
      <c r="E48" s="23">
        <v>74</v>
      </c>
      <c r="F48" s="23">
        <v>95</v>
      </c>
      <c r="G48" s="23">
        <v>0</v>
      </c>
      <c r="H48" s="23">
        <v>95</v>
      </c>
      <c r="I48" s="23">
        <v>85</v>
      </c>
      <c r="J48" s="23">
        <v>0</v>
      </c>
      <c r="K48" s="23">
        <v>96</v>
      </c>
      <c r="L48" s="23">
        <v>48</v>
      </c>
      <c r="M48" s="23">
        <v>42</v>
      </c>
      <c r="N48" s="23">
        <v>29</v>
      </c>
      <c r="O48" s="23">
        <v>3</v>
      </c>
      <c r="P48" s="23">
        <v>24</v>
      </c>
      <c r="Q48" s="23">
        <v>4</v>
      </c>
      <c r="R48">
        <f t="shared" si="1"/>
        <v>16</v>
      </c>
      <c r="S48" s="23">
        <v>4</v>
      </c>
      <c r="T48" s="23">
        <v>4</v>
      </c>
      <c r="U48" s="23">
        <v>4</v>
      </c>
      <c r="V48" s="23">
        <v>4</v>
      </c>
      <c r="W48" s="23">
        <v>90</v>
      </c>
      <c r="X48" s="23">
        <v>140</v>
      </c>
      <c r="Y48" s="23">
        <v>4.2</v>
      </c>
      <c r="Z48" s="23">
        <v>8</v>
      </c>
      <c r="AA48" s="23">
        <v>103051</v>
      </c>
      <c r="AB48" s="23"/>
    </row>
    <row r="49" spans="1:27">
      <c r="A49" s="2">
        <v>10307</v>
      </c>
      <c r="B49" t="s">
        <v>97</v>
      </c>
      <c r="C49" t="s">
        <v>98</v>
      </c>
      <c r="D49" t="s">
        <v>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31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7">
      <c r="A50" s="2">
        <v>10319</v>
      </c>
      <c r="B50" t="s">
        <v>44</v>
      </c>
      <c r="C50" s="13" t="s">
        <v>99</v>
      </c>
      <c r="D50" t="s">
        <v>39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29">
        <v>70</v>
      </c>
      <c r="X50" s="29">
        <v>65</v>
      </c>
      <c r="Y50" s="29">
        <v>2.88</v>
      </c>
      <c r="Z50" s="29">
        <v>5.4</v>
      </c>
      <c r="AA50">
        <v>103191</v>
      </c>
    </row>
    <row r="51" spans="1:27">
      <c r="A51" s="2">
        <v>10321</v>
      </c>
      <c r="B51" t="s">
        <v>37</v>
      </c>
      <c r="C51" t="s">
        <v>100</v>
      </c>
      <c r="D51" t="s">
        <v>68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5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31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4.6</v>
      </c>
      <c r="AA51">
        <v>103211</v>
      </c>
    </row>
    <row r="52" spans="1:29">
      <c r="A52" s="2">
        <v>10325</v>
      </c>
      <c r="B52" t="s">
        <v>29</v>
      </c>
      <c r="C52" s="13" t="s">
        <v>101</v>
      </c>
      <c r="D52" t="s">
        <v>34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29">
        <v>60</v>
      </c>
      <c r="X52" s="29">
        <v>60</v>
      </c>
      <c r="Y52" s="29">
        <v>2.4</v>
      </c>
      <c r="Z52" s="29">
        <v>4.5</v>
      </c>
      <c r="AA52">
        <v>103251</v>
      </c>
      <c r="AC52" s="22" t="s">
        <v>81</v>
      </c>
    </row>
    <row r="53" spans="1:27">
      <c r="A53" s="2">
        <v>10331</v>
      </c>
      <c r="B53" t="s">
        <v>51</v>
      </c>
      <c r="C53" s="13" t="s">
        <v>102</v>
      </c>
      <c r="D53" s="2" t="s">
        <v>39</v>
      </c>
      <c r="E53" s="23">
        <v>80</v>
      </c>
      <c r="F53" s="23">
        <v>118</v>
      </c>
      <c r="G53" s="23">
        <v>38</v>
      </c>
      <c r="H53" s="23">
        <v>83</v>
      </c>
      <c r="I53" s="23">
        <v>50</v>
      </c>
      <c r="J53" s="23">
        <v>0</v>
      </c>
      <c r="K53" s="23">
        <v>96</v>
      </c>
      <c r="L53" s="23">
        <v>51</v>
      </c>
      <c r="M53" s="23">
        <v>42</v>
      </c>
      <c r="N53" s="23">
        <v>35</v>
      </c>
      <c r="O53" s="23">
        <v>3</v>
      </c>
      <c r="P53" s="23">
        <v>6</v>
      </c>
      <c r="Q53" s="23">
        <v>4</v>
      </c>
      <c r="R53">
        <f t="shared" si="1"/>
        <v>0</v>
      </c>
      <c r="S53" s="23">
        <v>0</v>
      </c>
      <c r="T53" s="23">
        <v>0</v>
      </c>
      <c r="U53" s="23">
        <v>0</v>
      </c>
      <c r="V53" s="23">
        <v>0</v>
      </c>
      <c r="W53" s="29">
        <v>70</v>
      </c>
      <c r="X53" s="29">
        <v>120</v>
      </c>
      <c r="Y53" s="29">
        <v>2.88</v>
      </c>
      <c r="Z53" s="29">
        <v>5.4</v>
      </c>
      <c r="AA53" s="23">
        <v>103311</v>
      </c>
    </row>
    <row r="54" spans="1:27">
      <c r="A54" s="2">
        <v>10338</v>
      </c>
      <c r="B54" t="s">
        <v>44</v>
      </c>
      <c r="C54" s="13" t="s">
        <v>103</v>
      </c>
      <c r="D54" t="s">
        <v>68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29">
        <v>75</v>
      </c>
      <c r="X54" s="29">
        <v>65</v>
      </c>
      <c r="Y54" s="29">
        <v>3</v>
      </c>
      <c r="Z54" s="29">
        <v>5.2</v>
      </c>
      <c r="AA54">
        <v>103381</v>
      </c>
    </row>
    <row r="55" spans="1:29">
      <c r="A55" s="2">
        <v>10339</v>
      </c>
      <c r="B55" t="s">
        <v>29</v>
      </c>
      <c r="C55" s="13" t="s">
        <v>104</v>
      </c>
      <c r="D55" t="s">
        <v>68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29">
        <v>60</v>
      </c>
      <c r="X55" s="29">
        <v>55</v>
      </c>
      <c r="Y55" s="29">
        <v>2.5</v>
      </c>
      <c r="Z55" s="29">
        <v>4.8</v>
      </c>
      <c r="AA55">
        <v>113391</v>
      </c>
      <c r="AC55" s="22" t="s">
        <v>69</v>
      </c>
    </row>
    <row r="56" spans="1:26">
      <c r="A56" s="2">
        <v>10343</v>
      </c>
      <c r="B56" t="s">
        <v>105</v>
      </c>
      <c r="C56" t="s">
        <v>106</v>
      </c>
      <c r="D56" t="s">
        <v>107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2">
        <v>10345</v>
      </c>
      <c r="B57" t="s">
        <v>37</v>
      </c>
      <c r="C57" s="13" t="s">
        <v>108</v>
      </c>
      <c r="D57" s="2" t="s">
        <v>34</v>
      </c>
      <c r="E57" s="23">
        <v>84</v>
      </c>
      <c r="F57" s="23">
        <v>116</v>
      </c>
      <c r="G57" s="23">
        <v>0</v>
      </c>
      <c r="H57" s="23">
        <v>102</v>
      </c>
      <c r="I57" s="23">
        <v>108</v>
      </c>
      <c r="J57" s="23">
        <v>0</v>
      </c>
      <c r="K57" s="23">
        <v>102</v>
      </c>
      <c r="L57" s="23">
        <v>52</v>
      </c>
      <c r="M57" s="23">
        <v>47</v>
      </c>
      <c r="N57" s="23">
        <v>33</v>
      </c>
      <c r="O57" s="23">
        <v>3</v>
      </c>
      <c r="P57" s="23">
        <v>24</v>
      </c>
      <c r="Q57" s="23">
        <v>4</v>
      </c>
      <c r="R57">
        <f t="shared" si="1"/>
        <v>12</v>
      </c>
      <c r="S57" s="23">
        <v>3</v>
      </c>
      <c r="T57" s="23">
        <v>3</v>
      </c>
      <c r="U57" s="23">
        <v>3</v>
      </c>
      <c r="V57" s="23">
        <v>3</v>
      </c>
      <c r="W57" s="29">
        <v>135</v>
      </c>
      <c r="X57" s="29">
        <v>175</v>
      </c>
      <c r="Y57" s="29">
        <v>4.8</v>
      </c>
      <c r="Z57" s="29">
        <v>9</v>
      </c>
      <c r="AA57" s="23">
        <v>103451</v>
      </c>
      <c r="AB57" s="23"/>
      <c r="AC57" s="22" t="s">
        <v>59</v>
      </c>
    </row>
    <row r="58" spans="1:28">
      <c r="A58" s="2">
        <v>10352</v>
      </c>
      <c r="B58" t="s">
        <v>84</v>
      </c>
      <c r="C58" t="s">
        <v>109</v>
      </c>
      <c r="D58" s="2" t="s">
        <v>72</v>
      </c>
      <c r="E58" s="23">
        <v>56</v>
      </c>
      <c r="F58" s="23">
        <v>76</v>
      </c>
      <c r="G58" s="23">
        <v>0</v>
      </c>
      <c r="H58" s="23">
        <v>70</v>
      </c>
      <c r="I58" s="23">
        <v>98</v>
      </c>
      <c r="J58" s="23">
        <v>0</v>
      </c>
      <c r="K58" s="23">
        <v>96</v>
      </c>
      <c r="L58" s="23">
        <v>65</v>
      </c>
      <c r="M58" s="23">
        <v>45</v>
      </c>
      <c r="N58" s="23">
        <v>34.5</v>
      </c>
      <c r="O58" s="23">
        <v>3</v>
      </c>
      <c r="P58" s="23">
        <v>7</v>
      </c>
      <c r="Q58" s="23">
        <v>3</v>
      </c>
      <c r="R58">
        <f t="shared" si="1"/>
        <v>0</v>
      </c>
      <c r="S58" s="23">
        <v>0</v>
      </c>
      <c r="T58" s="23">
        <v>0</v>
      </c>
      <c r="U58" s="23">
        <v>0</v>
      </c>
      <c r="V58" s="23">
        <v>0</v>
      </c>
      <c r="W58" s="23">
        <v>65</v>
      </c>
      <c r="X58" s="23">
        <v>100</v>
      </c>
      <c r="Y58" s="23">
        <v>2.4</v>
      </c>
      <c r="Z58" s="23">
        <v>3.8</v>
      </c>
      <c r="AA58" s="23">
        <v>103521</v>
      </c>
      <c r="AB58" s="23"/>
    </row>
    <row r="59" spans="1:27">
      <c r="A59" s="2">
        <v>10352</v>
      </c>
      <c r="B59" t="s">
        <v>51</v>
      </c>
      <c r="C59" s="13" t="s">
        <v>110</v>
      </c>
      <c r="D59" s="2" t="s">
        <v>34</v>
      </c>
      <c r="E59" s="23">
        <v>76</v>
      </c>
      <c r="F59" s="23">
        <v>107</v>
      </c>
      <c r="G59" s="23">
        <v>42</v>
      </c>
      <c r="H59" s="23">
        <v>71</v>
      </c>
      <c r="I59" s="23">
        <v>66</v>
      </c>
      <c r="J59" s="23">
        <v>0</v>
      </c>
      <c r="K59" s="23">
        <v>95</v>
      </c>
      <c r="L59" s="23">
        <v>61</v>
      </c>
      <c r="M59" s="23">
        <v>39</v>
      </c>
      <c r="N59" s="23">
        <v>33</v>
      </c>
      <c r="O59" s="23">
        <v>3</v>
      </c>
      <c r="P59" s="23">
        <v>7</v>
      </c>
      <c r="Q59" s="23">
        <v>4</v>
      </c>
      <c r="R59">
        <f t="shared" si="1"/>
        <v>6</v>
      </c>
      <c r="S59" s="23">
        <v>2</v>
      </c>
      <c r="T59" s="23">
        <v>2</v>
      </c>
      <c r="U59" s="23">
        <v>2</v>
      </c>
      <c r="V59" s="23">
        <v>0</v>
      </c>
      <c r="W59" s="23">
        <v>75</v>
      </c>
      <c r="X59" s="23">
        <v>120</v>
      </c>
      <c r="Y59" s="23">
        <v>2.8</v>
      </c>
      <c r="Z59" s="23">
        <v>5.3</v>
      </c>
      <c r="AA59" s="23">
        <v>113621</v>
      </c>
    </row>
    <row r="60" spans="1:28">
      <c r="A60" s="2">
        <v>10357</v>
      </c>
      <c r="B60" t="s">
        <v>84</v>
      </c>
      <c r="C60" t="s">
        <v>111</v>
      </c>
      <c r="D60" s="2" t="s">
        <v>31</v>
      </c>
      <c r="E60" s="23">
        <v>43</v>
      </c>
      <c r="F60" s="23">
        <v>62</v>
      </c>
      <c r="G60" s="23">
        <v>54</v>
      </c>
      <c r="H60" s="23">
        <v>46</v>
      </c>
      <c r="I60" s="23">
        <v>53</v>
      </c>
      <c r="J60" s="23">
        <v>0</v>
      </c>
      <c r="K60" s="23">
        <v>91</v>
      </c>
      <c r="L60" s="23">
        <v>80</v>
      </c>
      <c r="M60" s="23">
        <v>51</v>
      </c>
      <c r="N60" s="23">
        <v>33</v>
      </c>
      <c r="O60" s="23">
        <v>2</v>
      </c>
      <c r="P60" s="23">
        <v>16</v>
      </c>
      <c r="Q60" s="23">
        <v>3</v>
      </c>
      <c r="R60">
        <f t="shared" si="1"/>
        <v>6</v>
      </c>
      <c r="S60" s="23">
        <v>2</v>
      </c>
      <c r="T60" s="23">
        <v>2</v>
      </c>
      <c r="U60" s="23">
        <v>2</v>
      </c>
      <c r="V60" s="23">
        <v>0</v>
      </c>
      <c r="W60" s="23">
        <v>40</v>
      </c>
      <c r="X60" s="23">
        <v>65</v>
      </c>
      <c r="Y60" s="23">
        <v>1.28</v>
      </c>
      <c r="Z60" s="23">
        <v>2.4</v>
      </c>
      <c r="AA60" s="23">
        <v>103571</v>
      </c>
      <c r="AB60" s="23"/>
    </row>
    <row r="61" spans="1:26">
      <c r="A61" s="2">
        <v>10363</v>
      </c>
      <c r="B61" t="s">
        <v>105</v>
      </c>
      <c r="C61" t="s">
        <v>112</v>
      </c>
      <c r="D61" t="s">
        <v>72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7">
      <c r="A62" s="2">
        <v>10366</v>
      </c>
      <c r="B62" t="s">
        <v>87</v>
      </c>
      <c r="C62" t="s">
        <v>113</v>
      </c>
      <c r="D62" t="s">
        <v>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17.4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8">
      <c r="A63" s="2">
        <v>10367</v>
      </c>
      <c r="B63" t="s">
        <v>37</v>
      </c>
      <c r="C63" s="13" t="s">
        <v>114</v>
      </c>
      <c r="D63" s="2" t="s">
        <v>47</v>
      </c>
      <c r="E63" s="23">
        <v>108</v>
      </c>
      <c r="F63" s="23">
        <v>117</v>
      </c>
      <c r="G63" s="23">
        <v>0</v>
      </c>
      <c r="H63" s="23">
        <v>102</v>
      </c>
      <c r="I63" s="23">
        <v>70</v>
      </c>
      <c r="J63" s="23">
        <v>0</v>
      </c>
      <c r="K63" s="23">
        <v>97</v>
      </c>
      <c r="L63" s="23">
        <v>45</v>
      </c>
      <c r="M63" s="23">
        <v>44</v>
      </c>
      <c r="N63" s="23">
        <v>30.1</v>
      </c>
      <c r="O63" s="23">
        <v>3</v>
      </c>
      <c r="P63" s="23">
        <v>5</v>
      </c>
      <c r="Q63" s="23">
        <v>4</v>
      </c>
      <c r="R63">
        <f t="shared" ref="R63:R92" si="2">SUM($S63:$V63)</f>
        <v>16</v>
      </c>
      <c r="S63" s="23">
        <v>4</v>
      </c>
      <c r="T63" s="23">
        <v>4</v>
      </c>
      <c r="U63" s="23">
        <v>4</v>
      </c>
      <c r="V63" s="23">
        <v>4</v>
      </c>
      <c r="W63" s="23">
        <v>135</v>
      </c>
      <c r="X63" s="23">
        <v>165</v>
      </c>
      <c r="Y63" s="23">
        <v>4.8</v>
      </c>
      <c r="Z63" s="23">
        <v>9.9</v>
      </c>
      <c r="AA63" s="23">
        <v>103671</v>
      </c>
      <c r="AB63" s="23"/>
    </row>
    <row r="64" spans="1:27">
      <c r="A64" s="2">
        <v>10370</v>
      </c>
      <c r="B64" t="s">
        <v>44</v>
      </c>
      <c r="C64" s="13" t="s">
        <v>115</v>
      </c>
      <c r="D64" t="s">
        <v>39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23">
        <v>70</v>
      </c>
      <c r="X64" s="23">
        <v>65</v>
      </c>
      <c r="Y64" s="23">
        <v>2.88</v>
      </c>
      <c r="Z64" s="23">
        <v>5.5</v>
      </c>
      <c r="AA64">
        <v>103701</v>
      </c>
    </row>
    <row r="65" spans="1:29">
      <c r="A65" s="2">
        <v>10374</v>
      </c>
      <c r="B65" t="s">
        <v>29</v>
      </c>
      <c r="C65" s="13" t="s">
        <v>116</v>
      </c>
      <c r="D65" t="s">
        <v>34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23">
        <v>60</v>
      </c>
      <c r="X65" s="23">
        <v>65</v>
      </c>
      <c r="Y65" s="23">
        <v>2.4</v>
      </c>
      <c r="Z65" s="23">
        <v>4.6</v>
      </c>
      <c r="AA65">
        <v>103741</v>
      </c>
      <c r="AC65" s="22" t="s">
        <v>81</v>
      </c>
    </row>
    <row r="66" spans="1:27">
      <c r="A66" s="1">
        <v>10377</v>
      </c>
      <c r="B66" t="s">
        <v>117</v>
      </c>
      <c r="C66" t="s">
        <v>118</v>
      </c>
      <c r="D66" t="s">
        <v>31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31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8">
      <c r="A67" s="2">
        <v>10380</v>
      </c>
      <c r="B67" t="s">
        <v>37</v>
      </c>
      <c r="C67" s="13" t="s">
        <v>119</v>
      </c>
      <c r="D67" s="2" t="s">
        <v>39</v>
      </c>
      <c r="E67" s="23">
        <v>84</v>
      </c>
      <c r="F67" s="23">
        <v>122</v>
      </c>
      <c r="G67" s="23">
        <v>0</v>
      </c>
      <c r="H67" s="23">
        <v>105</v>
      </c>
      <c r="I67" s="23">
        <v>71</v>
      </c>
      <c r="J67" s="23">
        <v>0</v>
      </c>
      <c r="K67" s="23">
        <v>100</v>
      </c>
      <c r="L67" s="23">
        <v>41</v>
      </c>
      <c r="M67" s="23">
        <v>42</v>
      </c>
      <c r="N67" s="23">
        <v>23</v>
      </c>
      <c r="O67" s="23">
        <v>3</v>
      </c>
      <c r="P67" s="23">
        <v>8</v>
      </c>
      <c r="Q67" s="23">
        <v>4</v>
      </c>
      <c r="R67">
        <f t="shared" si="2"/>
        <v>0</v>
      </c>
      <c r="S67" s="23">
        <v>0</v>
      </c>
      <c r="T67" s="23">
        <v>0</v>
      </c>
      <c r="U67" s="23">
        <v>0</v>
      </c>
      <c r="V67" s="23">
        <v>0</v>
      </c>
      <c r="W67" s="23">
        <v>125</v>
      </c>
      <c r="X67" s="23">
        <v>180</v>
      </c>
      <c r="Y67" s="23">
        <v>4.7</v>
      </c>
      <c r="Z67" s="23">
        <v>8.7</v>
      </c>
      <c r="AA67" s="23">
        <v>113801</v>
      </c>
      <c r="AB67" s="23"/>
    </row>
    <row r="68" spans="1:29">
      <c r="A68" s="40">
        <v>10381</v>
      </c>
      <c r="B68" t="s">
        <v>37</v>
      </c>
      <c r="C68" s="13" t="s">
        <v>120</v>
      </c>
      <c r="D68" s="2" t="s">
        <v>34</v>
      </c>
      <c r="E68" s="29">
        <v>75</v>
      </c>
      <c r="F68" s="23">
        <v>108</v>
      </c>
      <c r="G68" s="23">
        <v>0</v>
      </c>
      <c r="H68" s="23">
        <v>100</v>
      </c>
      <c r="I68" s="23">
        <v>98</v>
      </c>
      <c r="J68" s="23">
        <v>0</v>
      </c>
      <c r="K68" s="23">
        <v>96</v>
      </c>
      <c r="L68" s="23">
        <v>46</v>
      </c>
      <c r="M68" s="23">
        <v>44</v>
      </c>
      <c r="N68" s="29">
        <v>27.5</v>
      </c>
      <c r="O68" s="23">
        <v>3</v>
      </c>
      <c r="P68" s="23">
        <v>19</v>
      </c>
      <c r="Q68" s="23">
        <v>4</v>
      </c>
      <c r="R68">
        <f t="shared" si="2"/>
        <v>12</v>
      </c>
      <c r="S68" s="29">
        <v>3</v>
      </c>
      <c r="T68" s="29">
        <v>3</v>
      </c>
      <c r="U68" s="29">
        <v>3</v>
      </c>
      <c r="V68" s="29">
        <v>3</v>
      </c>
      <c r="W68" s="23">
        <v>95</v>
      </c>
      <c r="X68" s="23">
        <v>140</v>
      </c>
      <c r="Y68" s="23">
        <v>4.2</v>
      </c>
      <c r="Z68" s="23">
        <v>8</v>
      </c>
      <c r="AA68" s="23">
        <v>102811</v>
      </c>
      <c r="AB68" s="23"/>
      <c r="AC68" s="22" t="s">
        <v>63</v>
      </c>
    </row>
    <row r="69" spans="1:28">
      <c r="A69" s="2">
        <v>10388</v>
      </c>
      <c r="B69" t="s">
        <v>84</v>
      </c>
      <c r="C69" s="13" t="s">
        <v>121</v>
      </c>
      <c r="D69" s="2" t="s">
        <v>34</v>
      </c>
      <c r="E69" s="23">
        <v>52</v>
      </c>
      <c r="F69" s="23">
        <v>83</v>
      </c>
      <c r="G69" s="23">
        <v>0</v>
      </c>
      <c r="H69" s="23">
        <v>58</v>
      </c>
      <c r="I69" s="23">
        <v>108</v>
      </c>
      <c r="J69" s="23">
        <v>0</v>
      </c>
      <c r="K69" s="23">
        <v>94</v>
      </c>
      <c r="L69" s="23">
        <v>75</v>
      </c>
      <c r="M69" s="23">
        <v>56</v>
      </c>
      <c r="N69" s="23">
        <v>33</v>
      </c>
      <c r="O69" s="23">
        <v>2</v>
      </c>
      <c r="P69" s="23">
        <v>15</v>
      </c>
      <c r="Q69" s="23">
        <v>3</v>
      </c>
      <c r="R69">
        <f t="shared" si="2"/>
        <v>9</v>
      </c>
      <c r="S69" s="23">
        <v>3</v>
      </c>
      <c r="T69" s="23">
        <v>3</v>
      </c>
      <c r="U69" s="23">
        <v>3</v>
      </c>
      <c r="V69" s="23">
        <v>0</v>
      </c>
      <c r="W69" s="23">
        <v>40</v>
      </c>
      <c r="X69" s="23">
        <v>70</v>
      </c>
      <c r="Y69" s="23">
        <v>1.28</v>
      </c>
      <c r="Z69" s="23">
        <v>2.4</v>
      </c>
      <c r="AA69" s="23">
        <v>103881</v>
      </c>
      <c r="AB69" s="23"/>
    </row>
    <row r="70" spans="1:26">
      <c r="A70" s="2">
        <v>10391</v>
      </c>
      <c r="B70" t="s">
        <v>92</v>
      </c>
      <c r="C70" t="s">
        <v>122</v>
      </c>
      <c r="D70" t="s">
        <v>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7">
      <c r="A71" s="40">
        <v>10397</v>
      </c>
      <c r="B71" t="s">
        <v>51</v>
      </c>
      <c r="C71" s="13" t="s">
        <v>123</v>
      </c>
      <c r="D71" s="2" t="s">
        <v>72</v>
      </c>
      <c r="E71" s="29">
        <v>72</v>
      </c>
      <c r="F71" s="23">
        <v>97</v>
      </c>
      <c r="G71" s="23">
        <v>0</v>
      </c>
      <c r="H71" s="23">
        <v>75</v>
      </c>
      <c r="I71" s="23">
        <v>106</v>
      </c>
      <c r="J71" s="23">
        <v>0</v>
      </c>
      <c r="K71" s="23">
        <v>96</v>
      </c>
      <c r="L71" s="23">
        <v>64</v>
      </c>
      <c r="M71" s="23">
        <v>47</v>
      </c>
      <c r="N71" s="29">
        <v>35.5</v>
      </c>
      <c r="O71" s="23">
        <v>4</v>
      </c>
      <c r="P71" s="23">
        <v>8</v>
      </c>
      <c r="Q71" s="23">
        <v>4</v>
      </c>
      <c r="R71">
        <f t="shared" si="2"/>
        <v>0</v>
      </c>
      <c r="S71" s="29">
        <v>0</v>
      </c>
      <c r="T71" s="29">
        <v>0</v>
      </c>
      <c r="U71" s="29">
        <v>0</v>
      </c>
      <c r="V71" s="29">
        <v>0</v>
      </c>
      <c r="W71" s="23">
        <v>85</v>
      </c>
      <c r="X71" s="23">
        <v>120</v>
      </c>
      <c r="Y71" s="23">
        <v>3</v>
      </c>
      <c r="Z71" s="23">
        <v>5.2</v>
      </c>
      <c r="AA71" s="23">
        <v>103971</v>
      </c>
    </row>
    <row r="72" spans="1:26">
      <c r="A72" s="2">
        <v>10401</v>
      </c>
      <c r="B72" t="s">
        <v>105</v>
      </c>
      <c r="C72" t="s">
        <v>124</v>
      </c>
      <c r="D72" t="s">
        <v>72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34.8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6">
      <c r="A73" s="2">
        <v>10403</v>
      </c>
      <c r="B73" t="s">
        <v>92</v>
      </c>
      <c r="C73" t="s">
        <v>125</v>
      </c>
      <c r="D73" t="s">
        <v>39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7">
      <c r="A74" s="2">
        <v>10404</v>
      </c>
      <c r="B74" t="s">
        <v>44</v>
      </c>
      <c r="C74" s="13" t="s">
        <v>126</v>
      </c>
      <c r="D74" t="s">
        <v>39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23">
        <v>70</v>
      </c>
      <c r="X74" s="23">
        <v>65</v>
      </c>
      <c r="Y74" s="23">
        <v>2.9</v>
      </c>
      <c r="Z74" s="23">
        <v>5.4</v>
      </c>
      <c r="AA74">
        <v>104041</v>
      </c>
    </row>
    <row r="75" spans="1:26">
      <c r="A75" s="2">
        <v>10407</v>
      </c>
      <c r="B75" t="s">
        <v>92</v>
      </c>
      <c r="C75" t="s">
        <v>127</v>
      </c>
      <c r="D75" t="s">
        <v>47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</v>
      </c>
    </row>
    <row r="76" spans="1:29">
      <c r="A76" s="40">
        <v>10409</v>
      </c>
      <c r="B76" t="s">
        <v>37</v>
      </c>
      <c r="C76" s="13" t="s">
        <v>128</v>
      </c>
      <c r="D76" s="2" t="s">
        <v>34</v>
      </c>
      <c r="E76" s="29">
        <v>84</v>
      </c>
      <c r="F76" s="23">
        <v>116</v>
      </c>
      <c r="G76" s="23">
        <v>0</v>
      </c>
      <c r="H76" s="23">
        <v>102</v>
      </c>
      <c r="I76" s="23">
        <v>106</v>
      </c>
      <c r="J76" s="23">
        <v>0</v>
      </c>
      <c r="K76" s="23">
        <v>102</v>
      </c>
      <c r="L76" s="23">
        <v>52</v>
      </c>
      <c r="M76" s="23">
        <v>47</v>
      </c>
      <c r="N76" s="29">
        <v>33</v>
      </c>
      <c r="O76" s="23">
        <v>3</v>
      </c>
      <c r="P76" s="23">
        <v>23</v>
      </c>
      <c r="Q76" s="23">
        <v>4</v>
      </c>
      <c r="R76">
        <f t="shared" si="2"/>
        <v>12</v>
      </c>
      <c r="S76" s="29">
        <v>3</v>
      </c>
      <c r="T76" s="29">
        <v>3</v>
      </c>
      <c r="U76" s="29">
        <v>3</v>
      </c>
      <c r="V76" s="29">
        <v>3</v>
      </c>
      <c r="W76" s="23">
        <v>135</v>
      </c>
      <c r="X76" s="23">
        <v>175</v>
      </c>
      <c r="Y76" s="23">
        <v>4.8</v>
      </c>
      <c r="Z76" s="23">
        <v>9</v>
      </c>
      <c r="AA76" s="23">
        <v>104091</v>
      </c>
      <c r="AB76" s="23"/>
      <c r="AC76" s="22" t="s">
        <v>59</v>
      </c>
    </row>
    <row r="77" spans="1:28">
      <c r="A77" s="2">
        <v>10410</v>
      </c>
      <c r="B77" t="s">
        <v>84</v>
      </c>
      <c r="C77" t="s">
        <v>129</v>
      </c>
      <c r="D77" s="2" t="s">
        <v>34</v>
      </c>
      <c r="E77" s="23">
        <v>52</v>
      </c>
      <c r="F77" s="23">
        <v>83</v>
      </c>
      <c r="G77" s="23">
        <v>0</v>
      </c>
      <c r="H77" s="23">
        <v>58</v>
      </c>
      <c r="I77" s="23">
        <v>109</v>
      </c>
      <c r="J77" s="23">
        <v>0</v>
      </c>
      <c r="K77" s="23">
        <v>94</v>
      </c>
      <c r="L77" s="23">
        <v>75</v>
      </c>
      <c r="M77" s="23">
        <v>56</v>
      </c>
      <c r="N77" s="23">
        <v>33</v>
      </c>
      <c r="O77" s="23">
        <v>2</v>
      </c>
      <c r="P77" s="23">
        <v>19</v>
      </c>
      <c r="Q77" s="23">
        <v>3</v>
      </c>
      <c r="R77">
        <f t="shared" si="2"/>
        <v>9</v>
      </c>
      <c r="S77" s="23">
        <v>3</v>
      </c>
      <c r="T77" s="23">
        <v>3</v>
      </c>
      <c r="U77" s="23">
        <v>3</v>
      </c>
      <c r="V77" s="23">
        <v>0</v>
      </c>
      <c r="W77" s="23">
        <v>40</v>
      </c>
      <c r="X77" s="23">
        <v>70</v>
      </c>
      <c r="Y77" s="23">
        <v>1.28</v>
      </c>
      <c r="Z77" s="23">
        <v>2.4</v>
      </c>
      <c r="AA77" s="23">
        <v>104101</v>
      </c>
      <c r="AB77" s="23"/>
    </row>
    <row r="78" spans="1:28">
      <c r="A78" s="40">
        <v>10418</v>
      </c>
      <c r="B78" t="s">
        <v>37</v>
      </c>
      <c r="C78" s="13" t="s">
        <v>130</v>
      </c>
      <c r="D78" s="2" t="s">
        <v>39</v>
      </c>
      <c r="E78" s="29">
        <v>64</v>
      </c>
      <c r="F78" s="23">
        <v>87</v>
      </c>
      <c r="G78" s="23">
        <v>0</v>
      </c>
      <c r="H78" s="23">
        <v>76</v>
      </c>
      <c r="I78" s="23">
        <v>49</v>
      </c>
      <c r="J78" s="23">
        <v>0</v>
      </c>
      <c r="K78" s="23">
        <v>94</v>
      </c>
      <c r="L78" s="23">
        <v>40</v>
      </c>
      <c r="M78" s="23">
        <v>39</v>
      </c>
      <c r="N78" s="29">
        <v>22.5</v>
      </c>
      <c r="O78" s="23">
        <v>3</v>
      </c>
      <c r="P78" s="23">
        <v>15</v>
      </c>
      <c r="Q78" s="23">
        <v>4</v>
      </c>
      <c r="R78">
        <f t="shared" si="2"/>
        <v>0</v>
      </c>
      <c r="S78" s="29">
        <v>0</v>
      </c>
      <c r="T78" s="29">
        <v>0</v>
      </c>
      <c r="U78" s="29">
        <v>0</v>
      </c>
      <c r="V78" s="29">
        <v>0</v>
      </c>
      <c r="W78" s="23">
        <v>65</v>
      </c>
      <c r="X78" s="23">
        <v>120</v>
      </c>
      <c r="Y78" s="23">
        <v>2.9</v>
      </c>
      <c r="Z78" s="23">
        <v>5.3</v>
      </c>
      <c r="AA78" s="23">
        <v>104181</v>
      </c>
      <c r="AB78" s="23"/>
    </row>
    <row r="79" spans="1:28">
      <c r="A79" s="2">
        <v>10420</v>
      </c>
      <c r="B79" t="s">
        <v>131</v>
      </c>
      <c r="C79" s="13" t="s">
        <v>132</v>
      </c>
      <c r="D79" s="2" t="s">
        <v>39</v>
      </c>
      <c r="E79" s="23">
        <v>28</v>
      </c>
      <c r="F79" s="23">
        <v>52</v>
      </c>
      <c r="G79" s="23">
        <v>50</v>
      </c>
      <c r="H79" s="23">
        <v>46</v>
      </c>
      <c r="I79" s="23">
        <v>90</v>
      </c>
      <c r="J79" s="23">
        <v>82</v>
      </c>
      <c r="K79" s="23">
        <v>92</v>
      </c>
      <c r="L79" s="23">
        <v>69</v>
      </c>
      <c r="M79" s="23">
        <v>22</v>
      </c>
      <c r="N79" s="23">
        <v>32</v>
      </c>
      <c r="O79" s="23">
        <v>2</v>
      </c>
      <c r="P79" s="23">
        <v>20</v>
      </c>
      <c r="Q79" s="23">
        <v>3</v>
      </c>
      <c r="R79">
        <f t="shared" si="2"/>
        <v>0</v>
      </c>
      <c r="S79" s="23">
        <v>0</v>
      </c>
      <c r="T79" s="23">
        <v>0</v>
      </c>
      <c r="U79" s="23">
        <v>0</v>
      </c>
      <c r="V79" s="23">
        <v>0</v>
      </c>
      <c r="W79" s="23">
        <v>20</v>
      </c>
      <c r="X79" s="23">
        <v>30</v>
      </c>
      <c r="Y79" s="23">
        <v>0.96</v>
      </c>
      <c r="Z79" s="23">
        <v>1.8</v>
      </c>
      <c r="AA79" s="23">
        <v>104201</v>
      </c>
      <c r="AB79" s="23"/>
    </row>
    <row r="80" spans="1:28">
      <c r="A80" s="2">
        <v>10422</v>
      </c>
      <c r="B80" t="s">
        <v>131</v>
      </c>
      <c r="C80" s="13" t="s">
        <v>133</v>
      </c>
      <c r="D80" s="2" t="s">
        <v>34</v>
      </c>
      <c r="E80" s="23">
        <v>33</v>
      </c>
      <c r="F80" s="23">
        <v>62</v>
      </c>
      <c r="G80" s="23">
        <v>0</v>
      </c>
      <c r="H80" s="23">
        <v>52</v>
      </c>
      <c r="I80" s="23">
        <v>86</v>
      </c>
      <c r="J80" s="23">
        <v>63</v>
      </c>
      <c r="K80" s="23">
        <v>89</v>
      </c>
      <c r="L80" s="23">
        <v>72</v>
      </c>
      <c r="M80" s="23">
        <v>23</v>
      </c>
      <c r="N80" s="23">
        <v>31.5</v>
      </c>
      <c r="O80" s="23">
        <v>2</v>
      </c>
      <c r="P80" s="23">
        <v>22</v>
      </c>
      <c r="Q80" s="23">
        <v>3</v>
      </c>
      <c r="R80">
        <f t="shared" si="2"/>
        <v>9</v>
      </c>
      <c r="S80" s="23">
        <v>3</v>
      </c>
      <c r="T80" s="23">
        <v>3</v>
      </c>
      <c r="U80" s="23">
        <v>3</v>
      </c>
      <c r="V80" s="23">
        <v>0</v>
      </c>
      <c r="W80" s="23">
        <v>30</v>
      </c>
      <c r="X80" s="23">
        <v>35</v>
      </c>
      <c r="Y80" s="23">
        <v>0.8</v>
      </c>
      <c r="Z80" s="23">
        <v>1.5</v>
      </c>
      <c r="AA80" s="23">
        <v>104221</v>
      </c>
      <c r="AB80" s="23"/>
    </row>
    <row r="81" spans="1:27">
      <c r="A81" s="2">
        <v>10426</v>
      </c>
      <c r="B81" t="s">
        <v>29</v>
      </c>
      <c r="C81" s="13" t="s">
        <v>134</v>
      </c>
      <c r="D81" t="s">
        <v>47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23">
        <v>50</v>
      </c>
      <c r="X81" s="23">
        <v>60</v>
      </c>
      <c r="Y81" s="23">
        <v>2.08</v>
      </c>
      <c r="Z81" s="23">
        <v>4.3</v>
      </c>
      <c r="AA81">
        <v>104261</v>
      </c>
    </row>
    <row r="82" spans="1:29">
      <c r="A82" s="2">
        <v>10433</v>
      </c>
      <c r="B82" t="s">
        <v>29</v>
      </c>
      <c r="C82" s="13" t="s">
        <v>135</v>
      </c>
      <c r="D82" t="s">
        <v>34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23">
        <v>60</v>
      </c>
      <c r="X82" s="23">
        <v>65</v>
      </c>
      <c r="Y82" s="23">
        <v>2.4</v>
      </c>
      <c r="Z82" s="23">
        <v>4.6</v>
      </c>
      <c r="AA82">
        <v>104331</v>
      </c>
      <c r="AC82" s="22" t="s">
        <v>81</v>
      </c>
    </row>
    <row r="83" spans="1:27">
      <c r="A83" s="40">
        <v>10435</v>
      </c>
      <c r="B83" t="s">
        <v>51</v>
      </c>
      <c r="C83" s="13" t="s">
        <v>136</v>
      </c>
      <c r="D83" s="2" t="s">
        <v>31</v>
      </c>
      <c r="E83" s="29">
        <v>62</v>
      </c>
      <c r="F83" s="23">
        <v>93</v>
      </c>
      <c r="G83" s="23">
        <v>0</v>
      </c>
      <c r="H83" s="23">
        <v>74</v>
      </c>
      <c r="I83" s="23">
        <v>80</v>
      </c>
      <c r="J83" s="23">
        <v>0</v>
      </c>
      <c r="K83" s="23">
        <v>94</v>
      </c>
      <c r="L83" s="23">
        <v>66</v>
      </c>
      <c r="M83" s="23">
        <v>40</v>
      </c>
      <c r="N83" s="29">
        <v>33</v>
      </c>
      <c r="O83" s="23">
        <v>3</v>
      </c>
      <c r="P83" s="23">
        <v>5</v>
      </c>
      <c r="Q83" s="23">
        <v>4</v>
      </c>
      <c r="R83">
        <f t="shared" si="2"/>
        <v>12</v>
      </c>
      <c r="S83" s="29">
        <v>3</v>
      </c>
      <c r="T83" s="29">
        <v>3</v>
      </c>
      <c r="U83" s="29">
        <v>3</v>
      </c>
      <c r="V83" s="29">
        <v>3</v>
      </c>
      <c r="W83" s="23">
        <v>80</v>
      </c>
      <c r="X83" s="23">
        <v>110</v>
      </c>
      <c r="Y83" s="23">
        <v>2.88</v>
      </c>
      <c r="Z83" s="23">
        <v>5.4</v>
      </c>
      <c r="AA83" s="23">
        <v>104351</v>
      </c>
    </row>
    <row r="84" spans="1:27">
      <c r="A84" s="40">
        <v>10436</v>
      </c>
      <c r="B84" t="s">
        <v>51</v>
      </c>
      <c r="C84" s="13" t="s">
        <v>137</v>
      </c>
      <c r="D84" s="2" t="s">
        <v>31</v>
      </c>
      <c r="E84" s="29">
        <v>80</v>
      </c>
      <c r="F84" s="23">
        <v>117</v>
      </c>
      <c r="G84" s="23">
        <v>0</v>
      </c>
      <c r="H84" s="23">
        <v>95</v>
      </c>
      <c r="I84" s="23">
        <v>56</v>
      </c>
      <c r="J84" s="23">
        <v>0</v>
      </c>
      <c r="K84" s="23">
        <v>96</v>
      </c>
      <c r="L84" s="23">
        <v>61</v>
      </c>
      <c r="M84" s="23">
        <v>42</v>
      </c>
      <c r="N84" s="29">
        <v>30</v>
      </c>
      <c r="O84" s="23">
        <v>3</v>
      </c>
      <c r="P84" s="23">
        <v>5</v>
      </c>
      <c r="Q84" s="23">
        <v>4</v>
      </c>
      <c r="R84">
        <f t="shared" si="2"/>
        <v>12</v>
      </c>
      <c r="S84" s="29">
        <v>3</v>
      </c>
      <c r="T84" s="29">
        <v>3</v>
      </c>
      <c r="U84" s="29">
        <v>3</v>
      </c>
      <c r="V84" s="29">
        <v>3</v>
      </c>
      <c r="W84" s="23">
        <v>100</v>
      </c>
      <c r="X84" s="23">
        <v>140</v>
      </c>
      <c r="Y84" s="23">
        <v>3.3</v>
      </c>
      <c r="Z84" s="23">
        <v>6.1</v>
      </c>
      <c r="AA84" s="23">
        <v>104361</v>
      </c>
    </row>
    <row r="85" spans="1:28">
      <c r="A85" s="2">
        <v>10438</v>
      </c>
      <c r="B85" t="s">
        <v>84</v>
      </c>
      <c r="C85" s="13" t="s">
        <v>138</v>
      </c>
      <c r="D85" s="2" t="s">
        <v>34</v>
      </c>
      <c r="E85" s="23">
        <v>52</v>
      </c>
      <c r="F85" s="23">
        <v>68</v>
      </c>
      <c r="G85" s="23">
        <v>0</v>
      </c>
      <c r="H85" s="23">
        <v>56</v>
      </c>
      <c r="I85" s="23">
        <v>95</v>
      </c>
      <c r="J85" s="23">
        <v>0</v>
      </c>
      <c r="K85" s="23">
        <v>92</v>
      </c>
      <c r="L85" s="23">
        <v>75</v>
      </c>
      <c r="M85" s="23">
        <v>56</v>
      </c>
      <c r="N85" s="23">
        <v>33</v>
      </c>
      <c r="O85" s="23">
        <v>2</v>
      </c>
      <c r="P85" s="23">
        <v>10</v>
      </c>
      <c r="Q85" s="23">
        <v>3</v>
      </c>
      <c r="R85">
        <f t="shared" si="2"/>
        <v>9</v>
      </c>
      <c r="S85" s="23">
        <v>3</v>
      </c>
      <c r="T85" s="23">
        <v>3</v>
      </c>
      <c r="U85" s="23">
        <v>3</v>
      </c>
      <c r="V85" s="23">
        <v>0</v>
      </c>
      <c r="W85" s="23">
        <v>40</v>
      </c>
      <c r="X85" s="23">
        <v>70</v>
      </c>
      <c r="Y85" s="23">
        <v>1.28</v>
      </c>
      <c r="Z85" s="23">
        <v>2.4</v>
      </c>
      <c r="AA85" s="23">
        <v>104381</v>
      </c>
      <c r="AB85" s="23"/>
    </row>
    <row r="86" spans="1:28">
      <c r="A86" s="40">
        <v>10442</v>
      </c>
      <c r="B86" t="s">
        <v>37</v>
      </c>
      <c r="C86" s="13" t="s">
        <v>139</v>
      </c>
      <c r="D86" s="2" t="s">
        <v>43</v>
      </c>
      <c r="E86" s="29">
        <v>72</v>
      </c>
      <c r="F86" s="23">
        <v>107</v>
      </c>
      <c r="G86" s="23">
        <v>0</v>
      </c>
      <c r="H86" s="23">
        <v>85</v>
      </c>
      <c r="I86" s="23">
        <v>50</v>
      </c>
      <c r="J86" s="23">
        <v>0</v>
      </c>
      <c r="K86" s="23">
        <v>100</v>
      </c>
      <c r="L86" s="23">
        <v>40</v>
      </c>
      <c r="M86" s="23">
        <v>39</v>
      </c>
      <c r="N86" s="29">
        <v>21</v>
      </c>
      <c r="O86" s="23">
        <v>3</v>
      </c>
      <c r="P86" s="23">
        <v>5</v>
      </c>
      <c r="Q86" s="23">
        <v>4</v>
      </c>
      <c r="R86">
        <f t="shared" si="2"/>
        <v>0</v>
      </c>
      <c r="S86" s="29">
        <v>0</v>
      </c>
      <c r="T86" s="29">
        <v>0</v>
      </c>
      <c r="U86" s="29">
        <v>0</v>
      </c>
      <c r="V86" s="29">
        <v>0</v>
      </c>
      <c r="W86" s="23">
        <v>80</v>
      </c>
      <c r="X86" s="23">
        <v>125</v>
      </c>
      <c r="Y86" s="23">
        <v>2.5</v>
      </c>
      <c r="Z86" s="23">
        <v>5</v>
      </c>
      <c r="AA86" s="23">
        <v>104421</v>
      </c>
      <c r="AB86" s="23"/>
    </row>
    <row r="87" spans="1:27">
      <c r="A87" s="40">
        <v>10446</v>
      </c>
      <c r="B87" t="s">
        <v>51</v>
      </c>
      <c r="C87" s="13" t="s">
        <v>140</v>
      </c>
      <c r="D87" s="2" t="s">
        <v>39</v>
      </c>
      <c r="E87" s="29">
        <v>60</v>
      </c>
      <c r="F87" s="23">
        <v>85</v>
      </c>
      <c r="G87" s="23">
        <v>0</v>
      </c>
      <c r="H87" s="23">
        <v>69</v>
      </c>
      <c r="I87" s="23">
        <v>45</v>
      </c>
      <c r="J87" s="23">
        <v>0</v>
      </c>
      <c r="K87" s="23">
        <v>94</v>
      </c>
      <c r="L87" s="23">
        <v>63</v>
      </c>
      <c r="M87" s="23">
        <v>40</v>
      </c>
      <c r="N87" s="29">
        <v>27</v>
      </c>
      <c r="O87" s="23">
        <v>3</v>
      </c>
      <c r="P87" s="23">
        <v>20</v>
      </c>
      <c r="Q87" s="23">
        <v>4</v>
      </c>
      <c r="R87">
        <f t="shared" si="2"/>
        <v>0</v>
      </c>
      <c r="S87" s="29">
        <v>0</v>
      </c>
      <c r="T87" s="29">
        <v>0</v>
      </c>
      <c r="U87" s="29">
        <v>0</v>
      </c>
      <c r="V87" s="29">
        <v>0</v>
      </c>
      <c r="W87" s="23">
        <v>60</v>
      </c>
      <c r="X87" s="23">
        <v>110</v>
      </c>
      <c r="Y87" s="23">
        <v>2.8</v>
      </c>
      <c r="Z87" s="23">
        <v>5.1</v>
      </c>
      <c r="AA87" s="23">
        <v>104461</v>
      </c>
    </row>
    <row r="88" spans="1:28">
      <c r="A88" s="40">
        <v>10448</v>
      </c>
      <c r="B88" t="s">
        <v>37</v>
      </c>
      <c r="C88" s="13" t="s">
        <v>141</v>
      </c>
      <c r="D88" s="2" t="s">
        <v>43</v>
      </c>
      <c r="E88" s="29">
        <v>84</v>
      </c>
      <c r="F88" s="23">
        <v>114</v>
      </c>
      <c r="G88" s="23">
        <v>0</v>
      </c>
      <c r="H88" s="23">
        <v>104</v>
      </c>
      <c r="I88" s="23">
        <v>81</v>
      </c>
      <c r="J88" s="23">
        <v>0</v>
      </c>
      <c r="K88" s="23">
        <v>96</v>
      </c>
      <c r="L88" s="23">
        <v>51</v>
      </c>
      <c r="M88" s="23">
        <v>40</v>
      </c>
      <c r="N88" s="29">
        <v>31</v>
      </c>
      <c r="O88" s="23">
        <v>3</v>
      </c>
      <c r="P88" s="23">
        <v>5</v>
      </c>
      <c r="Q88" s="23">
        <v>4</v>
      </c>
      <c r="R88">
        <f t="shared" si="2"/>
        <v>9</v>
      </c>
      <c r="S88" s="29">
        <v>3</v>
      </c>
      <c r="T88" s="29">
        <v>3</v>
      </c>
      <c r="U88" s="29">
        <v>3</v>
      </c>
      <c r="V88" s="29">
        <v>0</v>
      </c>
      <c r="W88" s="23">
        <v>95</v>
      </c>
      <c r="X88" s="23">
        <v>140</v>
      </c>
      <c r="Y88" s="23">
        <v>4.2</v>
      </c>
      <c r="Z88" s="23">
        <v>8.2</v>
      </c>
      <c r="AA88" s="23">
        <v>104481</v>
      </c>
      <c r="AB88" s="23"/>
    </row>
    <row r="89" spans="1:28">
      <c r="A89" s="40">
        <v>10450</v>
      </c>
      <c r="B89" t="s">
        <v>37</v>
      </c>
      <c r="C89" s="13" t="s">
        <v>142</v>
      </c>
      <c r="D89" s="2" t="s">
        <v>47</v>
      </c>
      <c r="E89" s="29">
        <v>84</v>
      </c>
      <c r="F89" s="23">
        <v>110</v>
      </c>
      <c r="G89" s="23">
        <v>0</v>
      </c>
      <c r="H89" s="23">
        <v>96</v>
      </c>
      <c r="I89" s="23">
        <v>53</v>
      </c>
      <c r="J89" s="23">
        <v>0</v>
      </c>
      <c r="K89" s="23">
        <v>100</v>
      </c>
      <c r="L89" s="23">
        <v>48</v>
      </c>
      <c r="M89" s="23">
        <v>38</v>
      </c>
      <c r="N89" s="29">
        <v>26</v>
      </c>
      <c r="O89" s="23">
        <v>3</v>
      </c>
      <c r="P89" s="23">
        <v>5</v>
      </c>
      <c r="Q89" s="23">
        <v>4</v>
      </c>
      <c r="R89">
        <f t="shared" si="2"/>
        <v>0</v>
      </c>
      <c r="S89" s="29">
        <v>0</v>
      </c>
      <c r="T89" s="29">
        <v>0</v>
      </c>
      <c r="U89" s="29">
        <v>0</v>
      </c>
      <c r="V89" s="29">
        <v>0</v>
      </c>
      <c r="W89" s="23">
        <v>90</v>
      </c>
      <c r="X89" s="23">
        <v>130</v>
      </c>
      <c r="Y89" s="23">
        <v>3.2</v>
      </c>
      <c r="Z89" s="23">
        <v>6</v>
      </c>
      <c r="AA89" s="23">
        <v>104501</v>
      </c>
      <c r="AB89" s="23"/>
    </row>
    <row r="90" spans="1:28">
      <c r="A90" s="2">
        <v>10451</v>
      </c>
      <c r="B90" t="s">
        <v>84</v>
      </c>
      <c r="C90" s="13" t="s">
        <v>143</v>
      </c>
      <c r="D90" s="2" t="s">
        <v>31</v>
      </c>
      <c r="E90" s="23">
        <v>42</v>
      </c>
      <c r="F90" s="23">
        <v>61</v>
      </c>
      <c r="G90" s="23">
        <v>65</v>
      </c>
      <c r="H90" s="23">
        <v>50</v>
      </c>
      <c r="I90" s="23">
        <v>59</v>
      </c>
      <c r="J90" s="23">
        <v>0</v>
      </c>
      <c r="K90" s="23">
        <v>92</v>
      </c>
      <c r="L90" s="23">
        <v>79</v>
      </c>
      <c r="M90" s="23">
        <v>51</v>
      </c>
      <c r="N90" s="23">
        <v>35</v>
      </c>
      <c r="O90" s="23">
        <v>2</v>
      </c>
      <c r="P90" s="23">
        <v>5</v>
      </c>
      <c r="Q90" s="23">
        <v>3</v>
      </c>
      <c r="R90">
        <f t="shared" si="2"/>
        <v>9</v>
      </c>
      <c r="S90" s="23">
        <v>3</v>
      </c>
      <c r="T90" s="23">
        <v>3</v>
      </c>
      <c r="U90" s="23">
        <v>3</v>
      </c>
      <c r="V90" s="23">
        <v>0</v>
      </c>
      <c r="W90" s="23">
        <v>40</v>
      </c>
      <c r="X90" s="23">
        <v>65</v>
      </c>
      <c r="Y90" s="23">
        <v>1.28</v>
      </c>
      <c r="Z90" s="23">
        <v>2.4</v>
      </c>
      <c r="AA90" s="23">
        <v>104511</v>
      </c>
      <c r="AB90" s="23"/>
    </row>
    <row r="91" spans="1:29">
      <c r="A91" s="40">
        <v>10454</v>
      </c>
      <c r="B91" t="s">
        <v>37</v>
      </c>
      <c r="C91" s="13" t="s">
        <v>144</v>
      </c>
      <c r="D91" s="2" t="s">
        <v>39</v>
      </c>
      <c r="E91" s="29">
        <v>81</v>
      </c>
      <c r="F91" s="23">
        <v>110</v>
      </c>
      <c r="G91" s="23">
        <v>0</v>
      </c>
      <c r="H91" s="23">
        <v>105</v>
      </c>
      <c r="I91" s="23">
        <v>98</v>
      </c>
      <c r="J91" s="23">
        <v>0</v>
      </c>
      <c r="K91" s="23">
        <v>97</v>
      </c>
      <c r="L91" s="23">
        <v>50</v>
      </c>
      <c r="M91" s="23">
        <v>42</v>
      </c>
      <c r="N91" s="29">
        <v>28.25</v>
      </c>
      <c r="O91" s="23">
        <v>3</v>
      </c>
      <c r="P91" s="23">
        <v>6</v>
      </c>
      <c r="Q91" s="23">
        <v>4</v>
      </c>
      <c r="R91">
        <f t="shared" si="2"/>
        <v>0</v>
      </c>
      <c r="S91" s="29">
        <v>0</v>
      </c>
      <c r="T91" s="29">
        <v>0</v>
      </c>
      <c r="U91" s="29">
        <v>0</v>
      </c>
      <c r="V91" s="29">
        <v>0</v>
      </c>
      <c r="W91" s="23">
        <v>125</v>
      </c>
      <c r="X91" s="23">
        <v>175</v>
      </c>
      <c r="Y91" s="23">
        <v>4.8</v>
      </c>
      <c r="Z91" s="23">
        <v>9</v>
      </c>
      <c r="AA91" s="23">
        <v>104541</v>
      </c>
      <c r="AB91" s="23"/>
      <c r="AC91" s="22" t="s">
        <v>40</v>
      </c>
    </row>
    <row r="92" spans="1:27">
      <c r="A92" s="2">
        <v>10455</v>
      </c>
      <c r="B92" t="s">
        <v>44</v>
      </c>
      <c r="C92" s="13" t="s">
        <v>145</v>
      </c>
      <c r="D92" t="s">
        <v>39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23">
        <v>95</v>
      </c>
      <c r="X92" s="23">
        <v>130</v>
      </c>
      <c r="Y92" s="23">
        <v>3.5</v>
      </c>
      <c r="Z92" s="23">
        <v>5.8</v>
      </c>
      <c r="AA92">
        <v>104551</v>
      </c>
    </row>
    <row r="93" spans="1:27">
      <c r="A93" s="2">
        <v>10458</v>
      </c>
      <c r="B93" t="s">
        <v>87</v>
      </c>
      <c r="C93" t="s">
        <v>146</v>
      </c>
      <c r="D93" t="s">
        <v>57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8">
      <c r="A94" s="40">
        <v>10460</v>
      </c>
      <c r="B94" t="s">
        <v>37</v>
      </c>
      <c r="C94" s="13" t="s">
        <v>147</v>
      </c>
      <c r="D94" s="2" t="s">
        <v>34</v>
      </c>
      <c r="E94" s="29">
        <v>68</v>
      </c>
      <c r="F94" s="23">
        <v>93</v>
      </c>
      <c r="G94" s="23">
        <v>0</v>
      </c>
      <c r="H94" s="23">
        <v>87</v>
      </c>
      <c r="I94" s="23">
        <v>66</v>
      </c>
      <c r="J94" s="23">
        <v>0</v>
      </c>
      <c r="K94" s="23">
        <v>94</v>
      </c>
      <c r="L94" s="23">
        <v>37</v>
      </c>
      <c r="M94" s="23">
        <v>39</v>
      </c>
      <c r="N94" s="29">
        <v>21</v>
      </c>
      <c r="O94" s="23">
        <v>3</v>
      </c>
      <c r="P94" s="23">
        <v>20</v>
      </c>
      <c r="Q94" s="23">
        <v>4</v>
      </c>
      <c r="R94">
        <f t="shared" ref="R94:R125" si="3">SUM($S94:$V94)</f>
        <v>12</v>
      </c>
      <c r="S94" s="29">
        <v>3</v>
      </c>
      <c r="T94" s="29">
        <v>3</v>
      </c>
      <c r="U94" s="29">
        <v>3</v>
      </c>
      <c r="V94" s="29">
        <v>3</v>
      </c>
      <c r="W94" s="23">
        <v>85</v>
      </c>
      <c r="X94" s="23">
        <v>120</v>
      </c>
      <c r="Y94" s="23">
        <v>2.5</v>
      </c>
      <c r="Z94" s="23">
        <v>5.2</v>
      </c>
      <c r="AA94" s="23">
        <v>104601</v>
      </c>
      <c r="AB94" s="23"/>
    </row>
    <row r="95" spans="1:27">
      <c r="A95" s="40">
        <v>10461</v>
      </c>
      <c r="B95" t="s">
        <v>51</v>
      </c>
      <c r="C95" s="13" t="s">
        <v>148</v>
      </c>
      <c r="D95" s="2" t="s">
        <v>39</v>
      </c>
      <c r="E95" s="29">
        <v>84</v>
      </c>
      <c r="F95" s="23">
        <v>110</v>
      </c>
      <c r="G95" s="23">
        <v>0</v>
      </c>
      <c r="H95" s="23">
        <v>107</v>
      </c>
      <c r="I95" s="23">
        <v>73</v>
      </c>
      <c r="J95" s="23">
        <v>0</v>
      </c>
      <c r="K95" s="23">
        <v>100</v>
      </c>
      <c r="L95" s="23">
        <v>52</v>
      </c>
      <c r="M95" s="23">
        <v>44</v>
      </c>
      <c r="N95" s="29">
        <v>32</v>
      </c>
      <c r="O95" s="23">
        <v>3</v>
      </c>
      <c r="P95" s="23">
        <v>6</v>
      </c>
      <c r="Q95" s="23">
        <v>4</v>
      </c>
      <c r="R95">
        <f t="shared" si="3"/>
        <v>0</v>
      </c>
      <c r="S95" s="29">
        <v>0</v>
      </c>
      <c r="T95" s="29">
        <v>0</v>
      </c>
      <c r="U95" s="29">
        <v>0</v>
      </c>
      <c r="V95" s="29">
        <v>0</v>
      </c>
      <c r="W95" s="23">
        <v>130</v>
      </c>
      <c r="X95" s="23">
        <v>175</v>
      </c>
      <c r="Y95" s="23">
        <v>4.8</v>
      </c>
      <c r="Z95" s="23">
        <v>9.1</v>
      </c>
      <c r="AA95" s="23">
        <v>104611</v>
      </c>
    </row>
    <row r="96" spans="1:28">
      <c r="A96" s="40">
        <v>10464</v>
      </c>
      <c r="B96" t="s">
        <v>37</v>
      </c>
      <c r="C96" s="13" t="s">
        <v>149</v>
      </c>
      <c r="D96" s="2" t="s">
        <v>34</v>
      </c>
      <c r="E96" s="29">
        <v>80</v>
      </c>
      <c r="F96" s="23">
        <v>123</v>
      </c>
      <c r="G96" s="23">
        <v>0</v>
      </c>
      <c r="H96" s="23">
        <v>95</v>
      </c>
      <c r="I96" s="23">
        <v>65</v>
      </c>
      <c r="J96" s="23">
        <v>0</v>
      </c>
      <c r="K96" s="23">
        <v>94</v>
      </c>
      <c r="L96" s="23">
        <v>40</v>
      </c>
      <c r="M96" s="23">
        <v>39</v>
      </c>
      <c r="N96" s="29">
        <v>23</v>
      </c>
      <c r="O96" s="23">
        <v>3</v>
      </c>
      <c r="P96" s="23">
        <v>8</v>
      </c>
      <c r="Q96" s="23">
        <v>4</v>
      </c>
      <c r="R96">
        <f t="shared" si="3"/>
        <v>0</v>
      </c>
      <c r="S96" s="29">
        <v>0</v>
      </c>
      <c r="T96" s="29">
        <v>0</v>
      </c>
      <c r="U96" s="29">
        <v>0</v>
      </c>
      <c r="V96" s="29">
        <v>0</v>
      </c>
      <c r="W96" s="23">
        <v>100</v>
      </c>
      <c r="X96" s="23">
        <v>185</v>
      </c>
      <c r="Y96" s="23">
        <v>3.7</v>
      </c>
      <c r="Z96" s="23">
        <v>8.1</v>
      </c>
      <c r="AA96" s="23">
        <v>104641</v>
      </c>
      <c r="AB96" s="23"/>
    </row>
    <row r="97" spans="1:29">
      <c r="A97" s="2">
        <v>10466</v>
      </c>
      <c r="B97" t="s">
        <v>37</v>
      </c>
      <c r="C97" t="s">
        <v>150</v>
      </c>
      <c r="D97" t="s">
        <v>151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5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31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22" t="s">
        <v>69</v>
      </c>
    </row>
    <row r="98" spans="1:29">
      <c r="A98" s="2">
        <v>10467</v>
      </c>
      <c r="B98" t="s">
        <v>105</v>
      </c>
      <c r="C98" t="s">
        <v>152</v>
      </c>
      <c r="D98" t="s">
        <v>89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22" t="s">
        <v>153</v>
      </c>
    </row>
    <row r="99" spans="1:28">
      <c r="A99" s="40">
        <v>10468</v>
      </c>
      <c r="B99" t="s">
        <v>37</v>
      </c>
      <c r="C99" s="13" t="s">
        <v>154</v>
      </c>
      <c r="D99" s="2" t="s">
        <v>39</v>
      </c>
      <c r="E99" s="29">
        <v>56</v>
      </c>
      <c r="F99" s="23">
        <v>89</v>
      </c>
      <c r="G99" s="23">
        <v>0</v>
      </c>
      <c r="H99" s="23">
        <v>81</v>
      </c>
      <c r="I99" s="23">
        <v>45</v>
      </c>
      <c r="J99" s="23">
        <v>0</v>
      </c>
      <c r="K99" s="23">
        <v>96</v>
      </c>
      <c r="L99" s="23">
        <v>38</v>
      </c>
      <c r="M99" s="23">
        <v>39</v>
      </c>
      <c r="N99" s="29">
        <v>21</v>
      </c>
      <c r="O99" s="23">
        <v>3</v>
      </c>
      <c r="P99" s="23">
        <v>19</v>
      </c>
      <c r="Q99" s="23">
        <v>4</v>
      </c>
      <c r="R99">
        <f t="shared" si="3"/>
        <v>0</v>
      </c>
      <c r="S99" s="29">
        <v>0</v>
      </c>
      <c r="T99" s="29">
        <v>0</v>
      </c>
      <c r="U99" s="29">
        <v>0</v>
      </c>
      <c r="V99" s="29">
        <v>0</v>
      </c>
      <c r="W99" s="23">
        <v>55</v>
      </c>
      <c r="X99" s="23">
        <v>110</v>
      </c>
      <c r="Y99" s="23">
        <v>2.8</v>
      </c>
      <c r="Z99" s="23">
        <v>5</v>
      </c>
      <c r="AA99" s="23">
        <v>104681</v>
      </c>
      <c r="AB99" s="23"/>
    </row>
    <row r="100" spans="1:29">
      <c r="A100" s="2">
        <v>10469</v>
      </c>
      <c r="B100" t="s">
        <v>29</v>
      </c>
      <c r="C100" s="13" t="s">
        <v>155</v>
      </c>
      <c r="D100" t="s">
        <v>34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23">
        <v>60</v>
      </c>
      <c r="X100" s="23">
        <v>65</v>
      </c>
      <c r="Y100" s="23">
        <v>2.4</v>
      </c>
      <c r="Z100" s="23">
        <v>4.6</v>
      </c>
      <c r="AA100">
        <v>104691</v>
      </c>
      <c r="AC100" s="22" t="s">
        <v>81</v>
      </c>
    </row>
    <row r="101" spans="1:27">
      <c r="A101" s="2">
        <v>10471</v>
      </c>
      <c r="B101" t="s">
        <v>29</v>
      </c>
      <c r="C101" s="13" t="s">
        <v>156</v>
      </c>
      <c r="D101" t="s">
        <v>47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5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23">
        <v>90</v>
      </c>
      <c r="X101" s="23">
        <v>65</v>
      </c>
      <c r="Y101" s="23">
        <v>4.7</v>
      </c>
      <c r="Z101" s="23">
        <v>5</v>
      </c>
      <c r="AA101">
        <v>104711</v>
      </c>
    </row>
    <row r="102" spans="1:26">
      <c r="A102" s="2">
        <v>10472</v>
      </c>
      <c r="B102" t="s">
        <v>29</v>
      </c>
      <c r="C102" s="13" t="s">
        <v>157</v>
      </c>
      <c r="D102" t="s">
        <v>43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23">
        <v>55</v>
      </c>
      <c r="X102" s="23">
        <v>60</v>
      </c>
      <c r="Y102" s="23">
        <v>2.3</v>
      </c>
      <c r="Z102" s="23">
        <v>4.3</v>
      </c>
    </row>
    <row r="103" spans="1:27">
      <c r="A103" s="2">
        <v>10474</v>
      </c>
      <c r="B103" t="s">
        <v>29</v>
      </c>
      <c r="C103" s="13" t="s">
        <v>158</v>
      </c>
      <c r="D103" t="s">
        <v>72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5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23">
        <v>65</v>
      </c>
      <c r="X103" s="23">
        <v>65</v>
      </c>
      <c r="Y103" s="23">
        <v>2.4</v>
      </c>
      <c r="Z103" s="23">
        <v>4.6</v>
      </c>
      <c r="AA103">
        <v>104741</v>
      </c>
    </row>
    <row r="104" spans="1:28">
      <c r="A104" s="2">
        <v>10482</v>
      </c>
      <c r="B104" t="s">
        <v>131</v>
      </c>
      <c r="C104" t="s">
        <v>159</v>
      </c>
      <c r="D104" s="2" t="s">
        <v>31</v>
      </c>
      <c r="E104" s="23">
        <v>28</v>
      </c>
      <c r="F104" s="23">
        <v>41</v>
      </c>
      <c r="G104" s="23">
        <v>0</v>
      </c>
      <c r="H104" s="23">
        <v>50</v>
      </c>
      <c r="I104" s="23">
        <v>69</v>
      </c>
      <c r="J104" s="23">
        <v>80</v>
      </c>
      <c r="K104" s="30">
        <v>92</v>
      </c>
      <c r="L104" s="23">
        <v>76</v>
      </c>
      <c r="M104" s="23">
        <v>35</v>
      </c>
      <c r="N104" s="23">
        <v>36</v>
      </c>
      <c r="O104" s="23">
        <v>2</v>
      </c>
      <c r="P104" s="23">
        <v>15</v>
      </c>
      <c r="Q104" s="23">
        <v>3</v>
      </c>
      <c r="R104">
        <f t="shared" si="3"/>
        <v>18</v>
      </c>
      <c r="S104" s="23">
        <v>6</v>
      </c>
      <c r="T104" s="23">
        <v>6</v>
      </c>
      <c r="U104" s="23">
        <v>6</v>
      </c>
      <c r="V104" s="23">
        <v>0</v>
      </c>
      <c r="W104" s="23">
        <v>20</v>
      </c>
      <c r="X104" s="23">
        <v>30</v>
      </c>
      <c r="Y104" s="23">
        <v>0.8</v>
      </c>
      <c r="Z104" s="23">
        <v>1.5</v>
      </c>
      <c r="AA104" s="23">
        <v>104821</v>
      </c>
      <c r="AB104" s="23"/>
    </row>
    <row r="105" spans="1:27">
      <c r="A105" s="2">
        <v>10483</v>
      </c>
      <c r="B105" t="s">
        <v>44</v>
      </c>
      <c r="C105" s="13" t="s">
        <v>160</v>
      </c>
      <c r="D105" t="s">
        <v>39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5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23">
        <v>70</v>
      </c>
      <c r="X105" s="23">
        <v>65</v>
      </c>
      <c r="Y105" s="23">
        <v>2.88</v>
      </c>
      <c r="Z105" s="23">
        <v>5.5</v>
      </c>
      <c r="AA105">
        <v>104831</v>
      </c>
    </row>
    <row r="106" spans="1:27">
      <c r="A106" s="2">
        <v>10484</v>
      </c>
      <c r="B106" t="s">
        <v>51</v>
      </c>
      <c r="C106" s="13" t="s">
        <v>161</v>
      </c>
      <c r="D106" s="2" t="s">
        <v>39</v>
      </c>
      <c r="E106" s="23">
        <v>76</v>
      </c>
      <c r="F106" s="23">
        <v>95</v>
      </c>
      <c r="G106" s="23">
        <v>0</v>
      </c>
      <c r="H106" s="23">
        <v>84</v>
      </c>
      <c r="I106" s="23">
        <v>60</v>
      </c>
      <c r="J106" s="23">
        <v>0</v>
      </c>
      <c r="K106" s="30">
        <v>96</v>
      </c>
      <c r="L106" s="23">
        <v>57</v>
      </c>
      <c r="M106" s="23">
        <v>38</v>
      </c>
      <c r="N106" s="23">
        <v>31</v>
      </c>
      <c r="O106" s="23">
        <v>3</v>
      </c>
      <c r="P106" s="23">
        <v>5</v>
      </c>
      <c r="Q106" s="23">
        <v>4</v>
      </c>
      <c r="R106">
        <f t="shared" si="3"/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75</v>
      </c>
      <c r="X106" s="23">
        <v>120</v>
      </c>
      <c r="Y106" s="23">
        <v>2.88</v>
      </c>
      <c r="Z106" s="23">
        <v>5.4</v>
      </c>
      <c r="AA106" s="23">
        <v>104841</v>
      </c>
    </row>
    <row r="107" spans="1:27">
      <c r="A107" s="2">
        <v>10486</v>
      </c>
      <c r="B107" t="s">
        <v>44</v>
      </c>
      <c r="C107" s="13" t="s">
        <v>162</v>
      </c>
      <c r="D107" t="s">
        <v>31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5">
        <v>85</v>
      </c>
      <c r="L107">
        <v>57</v>
      </c>
      <c r="M107">
        <v>72</v>
      </c>
      <c r="N107">
        <v>33.3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23">
        <v>75</v>
      </c>
      <c r="X107" s="23">
        <v>70</v>
      </c>
      <c r="Y107" s="23">
        <v>2.88</v>
      </c>
      <c r="Z107" s="23">
        <v>5.5</v>
      </c>
      <c r="AA107">
        <v>104861</v>
      </c>
    </row>
    <row r="108" spans="1:27">
      <c r="A108" s="2">
        <v>10490</v>
      </c>
      <c r="B108" t="s">
        <v>51</v>
      </c>
      <c r="C108" s="13" t="s">
        <v>163</v>
      </c>
      <c r="D108" s="2" t="s">
        <v>47</v>
      </c>
      <c r="E108" s="23">
        <v>66</v>
      </c>
      <c r="F108" s="23">
        <v>83</v>
      </c>
      <c r="G108" s="23">
        <v>45</v>
      </c>
      <c r="H108" s="23">
        <v>71</v>
      </c>
      <c r="I108" s="23">
        <v>65</v>
      </c>
      <c r="J108" s="23">
        <v>0</v>
      </c>
      <c r="K108" s="30">
        <v>88</v>
      </c>
      <c r="L108" s="23">
        <v>66</v>
      </c>
      <c r="M108" s="23">
        <v>41</v>
      </c>
      <c r="N108" s="23">
        <v>35</v>
      </c>
      <c r="O108" s="23">
        <v>3</v>
      </c>
      <c r="P108" s="23">
        <v>6</v>
      </c>
      <c r="Q108" s="23">
        <v>4</v>
      </c>
      <c r="R108">
        <f t="shared" si="3"/>
        <v>12</v>
      </c>
      <c r="S108" s="23">
        <v>3</v>
      </c>
      <c r="T108" s="23">
        <v>3</v>
      </c>
      <c r="U108" s="23">
        <v>3</v>
      </c>
      <c r="V108" s="23">
        <v>3</v>
      </c>
      <c r="W108" s="23">
        <v>60</v>
      </c>
      <c r="X108" s="23">
        <v>110</v>
      </c>
      <c r="Y108" s="23">
        <v>2.88</v>
      </c>
      <c r="Z108" s="23">
        <v>5.4</v>
      </c>
      <c r="AA108" s="23">
        <v>104901</v>
      </c>
    </row>
    <row r="109" spans="1:27">
      <c r="A109" s="2">
        <v>10494</v>
      </c>
      <c r="B109" t="s">
        <v>29</v>
      </c>
      <c r="C109" s="13" t="s">
        <v>164</v>
      </c>
      <c r="D109" t="s">
        <v>31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5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23">
        <v>65</v>
      </c>
      <c r="X109" s="23">
        <v>55</v>
      </c>
      <c r="Y109" s="23">
        <v>2.4</v>
      </c>
      <c r="Z109" s="23">
        <v>4.5</v>
      </c>
      <c r="AA109">
        <v>104941</v>
      </c>
    </row>
    <row r="110" spans="1:29">
      <c r="A110" s="2">
        <v>10498</v>
      </c>
      <c r="B110" t="s">
        <v>29</v>
      </c>
      <c r="C110" s="13" t="s">
        <v>165</v>
      </c>
      <c r="D110" t="s">
        <v>34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5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23">
        <v>60</v>
      </c>
      <c r="X110" s="23">
        <v>60</v>
      </c>
      <c r="Y110" s="23">
        <v>2.4</v>
      </c>
      <c r="Z110" s="23">
        <v>4.6</v>
      </c>
      <c r="AA110">
        <v>104981</v>
      </c>
      <c r="AC110" s="22" t="s">
        <v>81</v>
      </c>
    </row>
    <row r="111" spans="1:28">
      <c r="A111" s="2">
        <v>10499</v>
      </c>
      <c r="B111" t="s">
        <v>37</v>
      </c>
      <c r="C111" s="13" t="s">
        <v>166</v>
      </c>
      <c r="D111" s="2" t="s">
        <v>43</v>
      </c>
      <c r="E111" s="23">
        <v>80</v>
      </c>
      <c r="F111" s="23">
        <v>98</v>
      </c>
      <c r="G111" s="23">
        <v>0</v>
      </c>
      <c r="H111" s="23">
        <v>102</v>
      </c>
      <c r="I111" s="23">
        <v>75</v>
      </c>
      <c r="J111" s="23">
        <v>0</v>
      </c>
      <c r="K111" s="30">
        <v>96</v>
      </c>
      <c r="L111" s="23">
        <v>52</v>
      </c>
      <c r="M111" s="23">
        <v>45</v>
      </c>
      <c r="N111" s="23">
        <v>32</v>
      </c>
      <c r="O111" s="23">
        <v>3</v>
      </c>
      <c r="P111" s="23">
        <v>7</v>
      </c>
      <c r="Q111" s="23">
        <v>4</v>
      </c>
      <c r="R111">
        <f t="shared" si="3"/>
        <v>12</v>
      </c>
      <c r="S111" s="23">
        <v>3</v>
      </c>
      <c r="T111" s="23">
        <v>3</v>
      </c>
      <c r="U111" s="23">
        <v>3</v>
      </c>
      <c r="V111" s="23">
        <v>3</v>
      </c>
      <c r="W111" s="23">
        <v>90</v>
      </c>
      <c r="X111" s="23">
        <v>130</v>
      </c>
      <c r="Y111" s="23">
        <v>4.2</v>
      </c>
      <c r="Z111" s="23">
        <v>8</v>
      </c>
      <c r="AA111" s="23">
        <v>104991</v>
      </c>
      <c r="AB111" s="23"/>
    </row>
    <row r="112" spans="1:29">
      <c r="A112" s="33">
        <v>10502</v>
      </c>
      <c r="B112" t="s">
        <v>105</v>
      </c>
      <c r="C112" s="33" t="s">
        <v>167</v>
      </c>
      <c r="D112" t="s">
        <v>89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5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31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22" t="s">
        <v>168</v>
      </c>
    </row>
    <row r="113" spans="1:27">
      <c r="A113" s="33">
        <v>10506</v>
      </c>
      <c r="B113" t="s">
        <v>37</v>
      </c>
      <c r="C113" s="33" t="s">
        <v>169</v>
      </c>
      <c r="D113" s="2" t="s">
        <v>34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5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31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7">
      <c r="A114" s="2">
        <v>10510</v>
      </c>
      <c r="B114" t="s">
        <v>44</v>
      </c>
      <c r="C114" s="13" t="s">
        <v>170</v>
      </c>
      <c r="D114" t="s">
        <v>31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5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23">
        <v>100</v>
      </c>
      <c r="X114" s="23">
        <v>110</v>
      </c>
      <c r="Y114" s="23">
        <v>3.4</v>
      </c>
      <c r="Z114" s="23">
        <v>5.9</v>
      </c>
      <c r="AA114">
        <v>105101</v>
      </c>
    </row>
    <row r="115" spans="1:29">
      <c r="A115" s="2">
        <v>10513</v>
      </c>
      <c r="B115" t="s">
        <v>29</v>
      </c>
      <c r="C115" s="13" t="s">
        <v>171</v>
      </c>
      <c r="D115" s="2" t="s">
        <v>34</v>
      </c>
      <c r="E115" s="23">
        <v>60</v>
      </c>
      <c r="F115" s="23">
        <v>40</v>
      </c>
      <c r="G115" s="23">
        <v>0</v>
      </c>
      <c r="H115" s="23">
        <v>60</v>
      </c>
      <c r="I115" s="23">
        <v>97</v>
      </c>
      <c r="J115" s="23">
        <v>0</v>
      </c>
      <c r="K115" s="30">
        <v>96</v>
      </c>
      <c r="L115" s="23">
        <v>51</v>
      </c>
      <c r="M115" s="23">
        <v>77</v>
      </c>
      <c r="N115" s="23">
        <v>33</v>
      </c>
      <c r="O115" s="23">
        <v>1</v>
      </c>
      <c r="P115" s="23">
        <v>20</v>
      </c>
      <c r="Q115" s="23">
        <v>4</v>
      </c>
      <c r="R115">
        <f t="shared" si="3"/>
        <v>90</v>
      </c>
      <c r="S115" s="23">
        <v>21</v>
      </c>
      <c r="T115" s="23">
        <v>21</v>
      </c>
      <c r="U115" s="23">
        <v>29</v>
      </c>
      <c r="V115" s="23">
        <v>19</v>
      </c>
      <c r="W115" s="23">
        <v>60</v>
      </c>
      <c r="X115" s="23">
        <v>60</v>
      </c>
      <c r="Y115" s="28">
        <v>2.4</v>
      </c>
      <c r="Z115" s="28">
        <v>4.5</v>
      </c>
      <c r="AA115" s="23">
        <v>105131</v>
      </c>
      <c r="AB115" s="23"/>
      <c r="AC115" s="22" t="s">
        <v>81</v>
      </c>
    </row>
    <row r="116" spans="1:27">
      <c r="A116" s="33">
        <v>10514</v>
      </c>
      <c r="B116" t="s">
        <v>37</v>
      </c>
      <c r="C116" s="33" t="s">
        <v>172</v>
      </c>
      <c r="D116" s="2" t="s">
        <v>31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5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31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7">
      <c r="A117" s="33">
        <v>10520</v>
      </c>
      <c r="B117" t="s">
        <v>37</v>
      </c>
      <c r="C117" s="33" t="s">
        <v>173</v>
      </c>
      <c r="D117" t="s">
        <v>34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5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31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</v>
      </c>
      <c r="Z117">
        <v>9.1</v>
      </c>
      <c r="AA117">
        <v>105201</v>
      </c>
    </row>
    <row r="118" spans="1:27">
      <c r="A118" s="2">
        <v>10521</v>
      </c>
      <c r="B118" t="s">
        <v>51</v>
      </c>
      <c r="C118" s="33" t="s">
        <v>174</v>
      </c>
      <c r="D118" t="s">
        <v>89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5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31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5.1</v>
      </c>
      <c r="AA118">
        <v>105211</v>
      </c>
    </row>
    <row r="119" spans="1:27">
      <c r="A119" s="2">
        <v>10522</v>
      </c>
      <c r="B119" t="s">
        <v>131</v>
      </c>
      <c r="C119" t="s">
        <v>175</v>
      </c>
      <c r="D119" t="s">
        <v>34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5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31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2">
        <v>10523</v>
      </c>
      <c r="B120" t="s">
        <v>37</v>
      </c>
      <c r="C120" t="s">
        <v>176</v>
      </c>
      <c r="D120" t="s">
        <v>34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5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31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22" t="s">
        <v>63</v>
      </c>
    </row>
    <row r="121" spans="1:27">
      <c r="A121" s="33">
        <v>10524</v>
      </c>
      <c r="B121" t="s">
        <v>51</v>
      </c>
      <c r="C121" s="33" t="s">
        <v>177</v>
      </c>
      <c r="D121" s="2" t="s">
        <v>34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5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31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7">
      <c r="A122" s="33">
        <v>10532</v>
      </c>
      <c r="B122" t="s">
        <v>37</v>
      </c>
      <c r="C122" s="33" t="s">
        <v>178</v>
      </c>
      <c r="D122" t="s">
        <v>68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5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31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7">
      <c r="A123" s="2">
        <v>10533</v>
      </c>
      <c r="B123" t="s">
        <v>179</v>
      </c>
      <c r="C123" s="33" t="s">
        <v>180</v>
      </c>
      <c r="D123" t="s">
        <v>72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5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31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7">
      <c r="A124" s="2">
        <v>10534</v>
      </c>
      <c r="B124" t="s">
        <v>37</v>
      </c>
      <c r="C124" t="s">
        <v>181</v>
      </c>
      <c r="D124" t="s">
        <v>72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5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31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9.2</v>
      </c>
      <c r="AA124">
        <v>105341</v>
      </c>
    </row>
    <row r="125" spans="1:27">
      <c r="A125" s="2">
        <v>10540</v>
      </c>
      <c r="B125" t="s">
        <v>51</v>
      </c>
      <c r="C125" t="s">
        <v>182</v>
      </c>
      <c r="D125" t="s">
        <v>72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5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31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7">
      <c r="A126" s="2">
        <v>10547</v>
      </c>
      <c r="B126" t="s">
        <v>37</v>
      </c>
      <c r="C126" t="s">
        <v>183</v>
      </c>
      <c r="D126" t="s">
        <v>43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5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31">
        <f t="shared" ref="R126:R151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8.2</v>
      </c>
      <c r="AA126">
        <v>105471</v>
      </c>
    </row>
    <row r="127" spans="1:27">
      <c r="A127" s="2">
        <v>10552</v>
      </c>
      <c r="B127" t="s">
        <v>92</v>
      </c>
      <c r="C127" t="s">
        <v>184</v>
      </c>
      <c r="D127" t="s">
        <v>43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5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31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</v>
      </c>
      <c r="AA127">
        <v>105521</v>
      </c>
    </row>
    <row r="128" spans="1:27">
      <c r="A128" s="2">
        <v>10559</v>
      </c>
      <c r="B128" t="s">
        <v>92</v>
      </c>
      <c r="C128" t="s">
        <v>185</v>
      </c>
      <c r="D128" t="s">
        <v>68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5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31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7">
      <c r="A129" s="2">
        <v>10565</v>
      </c>
      <c r="B129" t="s">
        <v>51</v>
      </c>
      <c r="C129" t="s">
        <v>186</v>
      </c>
      <c r="D129" t="s">
        <v>72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5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31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7">
      <c r="A130" s="2">
        <v>10569</v>
      </c>
      <c r="B130" t="s">
        <v>37</v>
      </c>
      <c r="C130" t="s">
        <v>187</v>
      </c>
      <c r="D130" t="s">
        <v>72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5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31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7">
      <c r="A131" s="2">
        <v>10572</v>
      </c>
      <c r="B131" t="s">
        <v>37</v>
      </c>
      <c r="C131" t="s">
        <v>188</v>
      </c>
      <c r="D131" t="s">
        <v>31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5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31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2">
        <v>10576</v>
      </c>
      <c r="B132" t="s">
        <v>44</v>
      </c>
      <c r="C132" t="s">
        <v>189</v>
      </c>
      <c r="D132" t="s">
        <v>34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5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31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</v>
      </c>
      <c r="AA132">
        <v>105761</v>
      </c>
      <c r="AC132" s="22" t="s">
        <v>190</v>
      </c>
    </row>
    <row r="133" spans="1:27">
      <c r="A133" s="2">
        <v>10581</v>
      </c>
      <c r="B133" t="s">
        <v>179</v>
      </c>
      <c r="C133" t="s">
        <v>191</v>
      </c>
      <c r="D133" t="s">
        <v>72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5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31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</v>
      </c>
      <c r="AA133">
        <v>105811</v>
      </c>
    </row>
    <row r="134" spans="1:27">
      <c r="A134" s="2">
        <v>10582</v>
      </c>
      <c r="B134" t="s">
        <v>37</v>
      </c>
      <c r="C134" t="s">
        <v>192</v>
      </c>
      <c r="D134" t="s">
        <v>47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5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31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7">
      <c r="A135" s="2">
        <v>10586</v>
      </c>
      <c r="B135" t="s">
        <v>193</v>
      </c>
      <c r="C135" t="s">
        <v>194</v>
      </c>
      <c r="D135" t="s">
        <v>47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5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31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7">
      <c r="A136" s="2">
        <v>10590</v>
      </c>
      <c r="B136" t="s">
        <v>51</v>
      </c>
      <c r="C136" t="s">
        <v>195</v>
      </c>
      <c r="D136" t="s">
        <v>72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5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31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2">
        <v>10594</v>
      </c>
      <c r="B137" t="s">
        <v>29</v>
      </c>
      <c r="C137" t="s">
        <v>196</v>
      </c>
      <c r="D137" t="s">
        <v>34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5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31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22" t="s">
        <v>81</v>
      </c>
    </row>
    <row r="138" spans="1:26">
      <c r="A138" s="2">
        <v>10596</v>
      </c>
      <c r="B138" t="s">
        <v>105</v>
      </c>
      <c r="C138" t="s">
        <v>197</v>
      </c>
      <c r="D138" t="s">
        <v>89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5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31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7">
      <c r="A139" s="2">
        <v>10601</v>
      </c>
      <c r="B139" t="s">
        <v>198</v>
      </c>
      <c r="C139" s="1">
        <v>351</v>
      </c>
      <c r="D139" t="s">
        <v>89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5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31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7">
      <c r="A140" s="2">
        <v>10602</v>
      </c>
      <c r="B140" t="s">
        <v>37</v>
      </c>
      <c r="C140" t="s">
        <v>199</v>
      </c>
      <c r="D140" t="s">
        <v>34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5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31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5.1</v>
      </c>
      <c r="AA140">
        <v>106021</v>
      </c>
    </row>
    <row r="141" spans="1:27">
      <c r="A141" s="2">
        <v>10605</v>
      </c>
      <c r="B141" t="s">
        <v>51</v>
      </c>
      <c r="C141" t="s">
        <v>200</v>
      </c>
      <c r="D141" t="s">
        <v>68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5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31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2">
        <v>10609</v>
      </c>
      <c r="B142" t="s">
        <v>29</v>
      </c>
      <c r="C142" t="s">
        <v>201</v>
      </c>
      <c r="D142" t="s">
        <v>34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5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31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22" t="s">
        <v>81</v>
      </c>
    </row>
    <row r="143" spans="1:27">
      <c r="A143" s="2">
        <v>10613</v>
      </c>
      <c r="B143" t="s">
        <v>37</v>
      </c>
      <c r="C143" t="s">
        <v>202</v>
      </c>
      <c r="D143" t="s">
        <v>31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5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31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2">
        <v>10617</v>
      </c>
      <c r="B144" t="s">
        <v>105</v>
      </c>
      <c r="C144" t="s">
        <v>203</v>
      </c>
      <c r="D144" t="s">
        <v>89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5">
        <v>101</v>
      </c>
      <c r="L144">
        <v>86</v>
      </c>
      <c r="M144">
        <v>47</v>
      </c>
      <c r="N144">
        <v>37.95</v>
      </c>
      <c r="O144">
        <v>1</v>
      </c>
      <c r="P144">
        <v>19</v>
      </c>
      <c r="Q144">
        <v>3</v>
      </c>
      <c r="R144" s="31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22" t="s">
        <v>168</v>
      </c>
    </row>
    <row r="145" spans="1:29">
      <c r="A145" s="2">
        <v>10619</v>
      </c>
      <c r="B145" t="s">
        <v>44</v>
      </c>
      <c r="C145" t="s">
        <v>204</v>
      </c>
      <c r="D145" t="s">
        <v>34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5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31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</v>
      </c>
      <c r="AA145">
        <v>106191</v>
      </c>
      <c r="AC145" s="22" t="s">
        <v>190</v>
      </c>
    </row>
    <row r="146" spans="1:26">
      <c r="A146" s="2">
        <v>10620</v>
      </c>
      <c r="B146" t="s">
        <v>37</v>
      </c>
      <c r="C146" t="s">
        <v>205</v>
      </c>
      <c r="D146" t="s">
        <v>39</v>
      </c>
      <c r="E146">
        <v>60</v>
      </c>
      <c r="F146">
        <v>90</v>
      </c>
      <c r="G146">
        <v>0</v>
      </c>
      <c r="H146">
        <v>89</v>
      </c>
      <c r="I146">
        <v>45</v>
      </c>
      <c r="J146">
        <v>0</v>
      </c>
      <c r="K146" s="15">
        <v>94</v>
      </c>
      <c r="L146">
        <v>40</v>
      </c>
      <c r="M146">
        <v>38</v>
      </c>
      <c r="N146">
        <v>21</v>
      </c>
      <c r="O146">
        <v>3</v>
      </c>
      <c r="P146">
        <v>15</v>
      </c>
      <c r="Q146">
        <v>4</v>
      </c>
      <c r="R146" s="31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50</v>
      </c>
      <c r="X146">
        <v>60</v>
      </c>
      <c r="Y146">
        <v>2.5</v>
      </c>
      <c r="Z146">
        <v>5.1</v>
      </c>
    </row>
    <row r="147" spans="1:29">
      <c r="A147" s="2">
        <v>10623</v>
      </c>
      <c r="B147" t="s">
        <v>37</v>
      </c>
      <c r="C147" t="s">
        <v>206</v>
      </c>
      <c r="D147" t="s">
        <v>39</v>
      </c>
      <c r="E147">
        <v>81</v>
      </c>
      <c r="F147">
        <v>110</v>
      </c>
      <c r="G147">
        <v>0</v>
      </c>
      <c r="H147">
        <v>105</v>
      </c>
      <c r="I147">
        <v>100</v>
      </c>
      <c r="J147">
        <v>0</v>
      </c>
      <c r="K147" s="15">
        <v>97</v>
      </c>
      <c r="L147">
        <v>50</v>
      </c>
      <c r="M147">
        <v>42</v>
      </c>
      <c r="N147">
        <v>28.3</v>
      </c>
      <c r="O147">
        <v>3</v>
      </c>
      <c r="P147">
        <v>6</v>
      </c>
      <c r="Q147">
        <v>4</v>
      </c>
      <c r="R147" s="31">
        <f t="shared" si="4"/>
        <v>0</v>
      </c>
      <c r="S147">
        <v>0</v>
      </c>
      <c r="T147">
        <v>0</v>
      </c>
      <c r="U147">
        <v>0</v>
      </c>
      <c r="V147">
        <v>0</v>
      </c>
      <c r="W147">
        <v>125</v>
      </c>
      <c r="X147">
        <v>175</v>
      </c>
      <c r="Y147">
        <v>4.8</v>
      </c>
      <c r="Z147">
        <v>9</v>
      </c>
      <c r="AA147">
        <v>106231</v>
      </c>
      <c r="AC147" s="22" t="s">
        <v>40</v>
      </c>
    </row>
    <row r="148" spans="1:29">
      <c r="A148" s="2">
        <v>10627</v>
      </c>
      <c r="B148" t="s">
        <v>29</v>
      </c>
      <c r="C148" t="s">
        <v>207</v>
      </c>
      <c r="D148" t="s">
        <v>34</v>
      </c>
      <c r="E148">
        <v>64</v>
      </c>
      <c r="F148">
        <v>45</v>
      </c>
      <c r="G148">
        <v>0</v>
      </c>
      <c r="H148">
        <v>63</v>
      </c>
      <c r="I148">
        <v>95</v>
      </c>
      <c r="J148">
        <v>0</v>
      </c>
      <c r="K148" s="15">
        <v>96</v>
      </c>
      <c r="L148">
        <v>52</v>
      </c>
      <c r="M148">
        <v>82</v>
      </c>
      <c r="N148">
        <v>33</v>
      </c>
      <c r="O148">
        <v>1</v>
      </c>
      <c r="P148">
        <v>22</v>
      </c>
      <c r="Q148">
        <v>4</v>
      </c>
      <c r="R148" s="31">
        <f t="shared" si="4"/>
        <v>80</v>
      </c>
      <c r="S148">
        <v>24</v>
      </c>
      <c r="T148">
        <v>20</v>
      </c>
      <c r="U148">
        <v>18</v>
      </c>
      <c r="V148">
        <v>18</v>
      </c>
      <c r="W148">
        <v>60</v>
      </c>
      <c r="X148">
        <v>65</v>
      </c>
      <c r="Y148">
        <v>2.4</v>
      </c>
      <c r="Z148">
        <v>4.5</v>
      </c>
      <c r="AA148">
        <v>106271</v>
      </c>
      <c r="AC148" s="22" t="s">
        <v>81</v>
      </c>
    </row>
    <row r="149" spans="1:27">
      <c r="A149" s="2">
        <v>10631</v>
      </c>
      <c r="B149" t="s">
        <v>51</v>
      </c>
      <c r="C149" t="s">
        <v>208</v>
      </c>
      <c r="D149" t="s">
        <v>47</v>
      </c>
      <c r="E149">
        <v>100</v>
      </c>
      <c r="F149">
        <v>94</v>
      </c>
      <c r="G149">
        <v>47</v>
      </c>
      <c r="H149">
        <v>82</v>
      </c>
      <c r="I149">
        <v>57</v>
      </c>
      <c r="J149">
        <v>0</v>
      </c>
      <c r="K149" s="15">
        <v>96</v>
      </c>
      <c r="L149">
        <v>73</v>
      </c>
      <c r="M149">
        <v>43</v>
      </c>
      <c r="N149">
        <v>37.1</v>
      </c>
      <c r="O149">
        <v>3</v>
      </c>
      <c r="P149">
        <v>3</v>
      </c>
      <c r="Q149">
        <v>4</v>
      </c>
      <c r="R149" s="31">
        <f t="shared" si="4"/>
        <v>16</v>
      </c>
      <c r="S149">
        <v>4</v>
      </c>
      <c r="T149">
        <v>4</v>
      </c>
      <c r="U149">
        <v>4</v>
      </c>
      <c r="V149">
        <v>4</v>
      </c>
      <c r="W149">
        <v>125</v>
      </c>
      <c r="X149">
        <v>130</v>
      </c>
      <c r="Y149">
        <v>4.2</v>
      </c>
      <c r="Z149">
        <v>8.8</v>
      </c>
      <c r="AA149">
        <v>106311</v>
      </c>
    </row>
    <row r="150" spans="1:27">
      <c r="A150" s="2">
        <v>10635</v>
      </c>
      <c r="B150" t="s">
        <v>193</v>
      </c>
      <c r="C150" t="s">
        <v>209</v>
      </c>
      <c r="D150" t="s">
        <v>72</v>
      </c>
      <c r="E150">
        <v>104</v>
      </c>
      <c r="F150">
        <v>123</v>
      </c>
      <c r="G150">
        <v>0</v>
      </c>
      <c r="H150">
        <v>95</v>
      </c>
      <c r="I150">
        <v>75</v>
      </c>
      <c r="J150">
        <v>0</v>
      </c>
      <c r="K150" s="15">
        <v>97</v>
      </c>
      <c r="L150">
        <v>51</v>
      </c>
      <c r="M150">
        <v>62</v>
      </c>
      <c r="N150">
        <v>34</v>
      </c>
      <c r="O150">
        <v>3</v>
      </c>
      <c r="P150">
        <v>5</v>
      </c>
      <c r="Q150">
        <v>4</v>
      </c>
      <c r="R150" s="31">
        <f t="shared" si="4"/>
        <v>36</v>
      </c>
      <c r="S150">
        <v>9</v>
      </c>
      <c r="T150">
        <v>9</v>
      </c>
      <c r="U150">
        <v>9</v>
      </c>
      <c r="V150">
        <v>9</v>
      </c>
      <c r="W150">
        <v>170</v>
      </c>
      <c r="X150">
        <v>185</v>
      </c>
      <c r="Y150">
        <v>4.8</v>
      </c>
      <c r="Z150">
        <v>9.2</v>
      </c>
      <c r="AA150">
        <v>106351</v>
      </c>
    </row>
    <row r="151" spans="1:27">
      <c r="A151" s="2">
        <v>10640</v>
      </c>
      <c r="B151" t="s">
        <v>92</v>
      </c>
      <c r="C151" t="s">
        <v>210</v>
      </c>
      <c r="D151" t="s">
        <v>39</v>
      </c>
      <c r="E151">
        <v>28</v>
      </c>
      <c r="F151">
        <v>31</v>
      </c>
      <c r="G151">
        <v>0</v>
      </c>
      <c r="H151">
        <v>25</v>
      </c>
      <c r="I151">
        <v>89</v>
      </c>
      <c r="J151">
        <v>94</v>
      </c>
      <c r="K151" s="15">
        <v>99</v>
      </c>
      <c r="L151">
        <v>69</v>
      </c>
      <c r="M151">
        <v>41</v>
      </c>
      <c r="N151">
        <v>30</v>
      </c>
      <c r="O151">
        <v>1</v>
      </c>
      <c r="P151">
        <v>6</v>
      </c>
      <c r="Q151">
        <v>3</v>
      </c>
      <c r="R151" s="31">
        <f t="shared" si="4"/>
        <v>60</v>
      </c>
      <c r="S151">
        <v>20</v>
      </c>
      <c r="T151">
        <v>20</v>
      </c>
      <c r="U151">
        <v>20</v>
      </c>
      <c r="V151">
        <v>0</v>
      </c>
      <c r="W151">
        <v>20</v>
      </c>
      <c r="X151">
        <v>40</v>
      </c>
      <c r="Y151">
        <v>0.5</v>
      </c>
      <c r="Z151">
        <v>1.1</v>
      </c>
      <c r="AA151">
        <v>106401</v>
      </c>
    </row>
  </sheetData>
  <autoFilter ref="A1:AC151">
    <sortState ref="A1:AC151">
      <sortCondition ref="A1:A148"/>
    </sortState>
    <extLst/>
  </autoFilter>
  <conditionalFormatting sqref="C144">
    <cfRule type="expression" dxfId="0" priority="1">
      <formula>F144=6</formula>
    </cfRule>
    <cfRule type="expression" dxfId="1" priority="2">
      <formula>F144=4</formula>
    </cfRule>
    <cfRule type="expression" dxfId="2" priority="3">
      <formula>F144=3</formula>
    </cfRule>
    <cfRule type="expression" dxfId="3" priority="4">
      <formula>F144=2</formula>
    </cfRule>
    <cfRule type="expression" dxfId="4" priority="5">
      <formula>F144=1</formula>
    </cfRule>
    <cfRule type="expression" dxfId="5" priority="6">
      <formula>F144=5</formula>
    </cfRule>
  </conditionalFormatting>
  <conditionalFormatting sqref="C2:C39">
    <cfRule type="expression" dxfId="0" priority="7">
      <formula>F2=6</formula>
    </cfRule>
    <cfRule type="expression" dxfId="1" priority="8">
      <formula>F2=4</formula>
    </cfRule>
    <cfRule type="expression" dxfId="2" priority="9">
      <formula>F2=3</formula>
    </cfRule>
    <cfRule type="expression" dxfId="3" priority="10">
      <formula>F2=2</formula>
    </cfRule>
    <cfRule type="expression" dxfId="4" priority="11">
      <formula>F2=1</formula>
    </cfRule>
    <cfRule type="expression" dxfId="5" priority="12">
      <formula>F2=5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26"/>
  <sheetViews>
    <sheetView tabSelected="1" workbookViewId="0">
      <pane xSplit="3" ySplit="1" topLeftCell="D7" activePane="bottomRight" state="frozen"/>
      <selection/>
      <selection pane="topRight"/>
      <selection pane="bottomLeft"/>
      <selection pane="bottomRight" activeCell="B94" sqref="B94"/>
    </sheetView>
  </sheetViews>
  <sheetFormatPr defaultColWidth="9" defaultRowHeight="13.5"/>
  <cols>
    <col min="1" max="1" width="9" style="2" customWidth="1"/>
    <col min="3" max="3" width="22.5" customWidth="1"/>
    <col min="29" max="29" width="9" style="2" customWidth="1"/>
  </cols>
  <sheetData>
    <row r="1" spans="1:29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s="2" t="s">
        <v>28</v>
      </c>
    </row>
    <row r="2" spans="1:28">
      <c r="A2" s="2">
        <v>11001</v>
      </c>
      <c r="B2" t="s">
        <v>51</v>
      </c>
      <c r="C2" s="13" t="s">
        <v>211</v>
      </c>
      <c r="D2" s="2" t="s">
        <v>39</v>
      </c>
      <c r="E2" s="23">
        <v>80</v>
      </c>
      <c r="F2" s="23">
        <v>103</v>
      </c>
      <c r="G2" s="23">
        <v>0</v>
      </c>
      <c r="H2" s="23">
        <v>87</v>
      </c>
      <c r="I2" s="23">
        <v>85</v>
      </c>
      <c r="J2" s="23">
        <v>0</v>
      </c>
      <c r="K2" s="23">
        <v>102</v>
      </c>
      <c r="L2" s="23">
        <v>68</v>
      </c>
      <c r="M2" s="23">
        <v>45</v>
      </c>
      <c r="N2" s="23">
        <v>32</v>
      </c>
      <c r="O2" s="23">
        <v>3</v>
      </c>
      <c r="P2" s="23">
        <v>8</v>
      </c>
      <c r="Q2" s="23">
        <v>4</v>
      </c>
      <c r="R2">
        <f t="shared" ref="R2:R65" si="0">SUM($S2:$V2)</f>
        <v>12</v>
      </c>
      <c r="S2" s="23">
        <v>3</v>
      </c>
      <c r="T2" s="23">
        <v>3</v>
      </c>
      <c r="U2" s="23">
        <v>3</v>
      </c>
      <c r="V2" s="23">
        <v>3</v>
      </c>
      <c r="W2" s="23">
        <v>70</v>
      </c>
      <c r="X2" s="23">
        <v>120</v>
      </c>
      <c r="Y2" s="23">
        <v>2.88</v>
      </c>
      <c r="Z2" s="23">
        <v>5.4</v>
      </c>
      <c r="AA2" s="23">
        <v>110011</v>
      </c>
      <c r="AB2" s="23">
        <v>110012</v>
      </c>
    </row>
    <row r="3" spans="1:27">
      <c r="A3" s="2">
        <v>11002</v>
      </c>
      <c r="B3" t="s">
        <v>193</v>
      </c>
      <c r="C3" s="13" t="s">
        <v>212</v>
      </c>
      <c r="D3" t="s">
        <v>31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23">
        <v>85</v>
      </c>
      <c r="X3" s="23">
        <v>120</v>
      </c>
      <c r="Y3" s="23">
        <v>2.5</v>
      </c>
      <c r="Z3" s="23">
        <v>5.1</v>
      </c>
      <c r="AA3">
        <v>110021</v>
      </c>
    </row>
    <row r="4" spans="1:28">
      <c r="A4" s="2">
        <v>11003</v>
      </c>
      <c r="B4" t="s">
        <v>37</v>
      </c>
      <c r="C4" s="13" t="s">
        <v>213</v>
      </c>
      <c r="D4" s="2" t="s">
        <v>31</v>
      </c>
      <c r="E4" s="29">
        <v>72</v>
      </c>
      <c r="F4" s="29">
        <v>107</v>
      </c>
      <c r="G4" s="29">
        <v>0</v>
      </c>
      <c r="H4" s="29">
        <v>84</v>
      </c>
      <c r="I4" s="29">
        <v>50</v>
      </c>
      <c r="J4" s="23">
        <v>0</v>
      </c>
      <c r="K4" s="23">
        <v>97</v>
      </c>
      <c r="L4" s="23">
        <v>49</v>
      </c>
      <c r="M4" s="23">
        <v>37</v>
      </c>
      <c r="N4" s="29">
        <v>23</v>
      </c>
      <c r="O4" s="23">
        <v>3</v>
      </c>
      <c r="P4" s="29">
        <v>9</v>
      </c>
      <c r="Q4" s="23">
        <v>4</v>
      </c>
      <c r="R4">
        <f t="shared" si="0"/>
        <v>8</v>
      </c>
      <c r="S4" s="29">
        <v>2</v>
      </c>
      <c r="T4" s="29">
        <v>2</v>
      </c>
      <c r="U4" s="29">
        <v>2</v>
      </c>
      <c r="V4" s="29">
        <v>2</v>
      </c>
      <c r="W4" s="23">
        <v>85</v>
      </c>
      <c r="X4" s="23">
        <v>135</v>
      </c>
      <c r="Y4" s="23">
        <v>2.5</v>
      </c>
      <c r="Z4" s="23">
        <v>5.2</v>
      </c>
      <c r="AA4" s="23">
        <v>110021</v>
      </c>
      <c r="AB4" s="23"/>
    </row>
    <row r="5" spans="1:27">
      <c r="A5" s="2">
        <v>11004</v>
      </c>
      <c r="B5" t="s">
        <v>193</v>
      </c>
      <c r="C5" s="13" t="s">
        <v>214</v>
      </c>
      <c r="D5" t="s">
        <v>31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23">
        <v>85</v>
      </c>
      <c r="X5" s="23">
        <v>120</v>
      </c>
      <c r="Y5" s="23">
        <v>2.5</v>
      </c>
      <c r="Z5" s="23">
        <v>5.1</v>
      </c>
      <c r="AA5">
        <v>110041</v>
      </c>
    </row>
    <row r="6" spans="1:27">
      <c r="A6" s="2">
        <v>11005</v>
      </c>
      <c r="B6" t="s">
        <v>193</v>
      </c>
      <c r="C6" s="13" t="s">
        <v>215</v>
      </c>
      <c r="D6" t="s">
        <v>31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23">
        <v>85</v>
      </c>
      <c r="X6" s="23">
        <v>120</v>
      </c>
      <c r="Y6" s="23">
        <v>2.5</v>
      </c>
      <c r="Z6" s="23">
        <v>5.1</v>
      </c>
      <c r="AA6">
        <v>110051</v>
      </c>
    </row>
    <row r="7" spans="1:28">
      <c r="A7" s="2">
        <v>11006</v>
      </c>
      <c r="B7" t="s">
        <v>37</v>
      </c>
      <c r="C7" s="13" t="s">
        <v>216</v>
      </c>
      <c r="D7" s="2" t="s">
        <v>47</v>
      </c>
      <c r="E7" s="29">
        <v>100</v>
      </c>
      <c r="F7" s="29">
        <v>102</v>
      </c>
      <c r="G7" s="29">
        <v>0</v>
      </c>
      <c r="H7" s="29">
        <v>100</v>
      </c>
      <c r="I7" s="29">
        <v>67</v>
      </c>
      <c r="J7" s="23">
        <v>0</v>
      </c>
      <c r="K7" s="23">
        <v>102</v>
      </c>
      <c r="L7" s="23">
        <v>55</v>
      </c>
      <c r="M7" s="23">
        <v>49</v>
      </c>
      <c r="N7" s="29">
        <v>30.8</v>
      </c>
      <c r="O7" s="23">
        <v>3</v>
      </c>
      <c r="P7" s="29">
        <v>18</v>
      </c>
      <c r="Q7" s="23">
        <v>4</v>
      </c>
      <c r="R7">
        <f t="shared" si="0"/>
        <v>16</v>
      </c>
      <c r="S7" s="29">
        <v>4</v>
      </c>
      <c r="T7" s="29">
        <v>4</v>
      </c>
      <c r="U7" s="29">
        <v>4</v>
      </c>
      <c r="V7" s="29">
        <v>4</v>
      </c>
      <c r="W7" s="23">
        <v>90</v>
      </c>
      <c r="X7" s="23">
        <v>130</v>
      </c>
      <c r="Y7" s="23">
        <v>4.2</v>
      </c>
      <c r="Z7" s="23">
        <v>8.8</v>
      </c>
      <c r="AA7" s="23">
        <v>110061</v>
      </c>
      <c r="AB7" s="23">
        <v>110062</v>
      </c>
    </row>
    <row r="8" spans="1:28">
      <c r="A8" s="2">
        <v>11007</v>
      </c>
      <c r="B8" t="s">
        <v>37</v>
      </c>
      <c r="C8" s="13" t="s">
        <v>217</v>
      </c>
      <c r="D8" s="2" t="s">
        <v>47</v>
      </c>
      <c r="E8" s="29">
        <v>101</v>
      </c>
      <c r="F8" s="29">
        <v>102</v>
      </c>
      <c r="G8" s="29">
        <v>30</v>
      </c>
      <c r="H8" s="29">
        <v>100</v>
      </c>
      <c r="I8" s="29">
        <v>69</v>
      </c>
      <c r="J8" s="23">
        <v>0</v>
      </c>
      <c r="K8" s="23">
        <v>102</v>
      </c>
      <c r="L8" s="23">
        <v>55</v>
      </c>
      <c r="M8" s="23">
        <v>49</v>
      </c>
      <c r="N8" s="29">
        <v>30</v>
      </c>
      <c r="O8" s="23">
        <v>3</v>
      </c>
      <c r="P8" s="29">
        <v>16</v>
      </c>
      <c r="Q8" s="23">
        <v>4</v>
      </c>
      <c r="R8">
        <f t="shared" si="0"/>
        <v>16</v>
      </c>
      <c r="S8" s="29">
        <v>4</v>
      </c>
      <c r="T8" s="29">
        <v>4</v>
      </c>
      <c r="U8" s="29">
        <v>4</v>
      </c>
      <c r="V8" s="29">
        <v>4</v>
      </c>
      <c r="W8" s="23">
        <v>90</v>
      </c>
      <c r="X8" s="23">
        <v>130</v>
      </c>
      <c r="Y8" s="23">
        <v>4.2</v>
      </c>
      <c r="Z8" s="23">
        <v>8.8</v>
      </c>
      <c r="AA8" s="23">
        <v>110071</v>
      </c>
      <c r="AB8" s="23"/>
    </row>
    <row r="9" spans="1:29">
      <c r="A9" s="2">
        <v>11008</v>
      </c>
      <c r="B9" t="s">
        <v>37</v>
      </c>
      <c r="C9" s="13" t="s">
        <v>218</v>
      </c>
      <c r="D9" s="2" t="s">
        <v>39</v>
      </c>
      <c r="E9" s="29">
        <v>77</v>
      </c>
      <c r="F9" s="29">
        <v>109</v>
      </c>
      <c r="G9" s="29">
        <v>0</v>
      </c>
      <c r="H9" s="29">
        <v>102</v>
      </c>
      <c r="I9" s="29">
        <v>77</v>
      </c>
      <c r="J9" s="23">
        <v>0</v>
      </c>
      <c r="K9" s="23">
        <v>101</v>
      </c>
      <c r="L9" s="23">
        <v>48</v>
      </c>
      <c r="M9" s="23">
        <v>43</v>
      </c>
      <c r="N9" s="29">
        <v>23.5</v>
      </c>
      <c r="O9" s="23">
        <v>3</v>
      </c>
      <c r="P9" s="29">
        <v>20</v>
      </c>
      <c r="Q9" s="23">
        <v>4</v>
      </c>
      <c r="R9">
        <f t="shared" si="0"/>
        <v>0</v>
      </c>
      <c r="S9" s="29">
        <v>0</v>
      </c>
      <c r="T9" s="29">
        <v>0</v>
      </c>
      <c r="U9" s="29">
        <v>0</v>
      </c>
      <c r="V9" s="29">
        <v>0</v>
      </c>
      <c r="W9" s="23">
        <v>90</v>
      </c>
      <c r="X9" s="23">
        <v>140</v>
      </c>
      <c r="Y9" s="23">
        <v>3.2</v>
      </c>
      <c r="Z9" s="23">
        <v>6</v>
      </c>
      <c r="AA9" s="23">
        <v>110081</v>
      </c>
      <c r="AB9" s="23"/>
      <c r="AC9" s="2" t="s">
        <v>219</v>
      </c>
    </row>
    <row r="10" spans="1:29">
      <c r="A10" s="2">
        <v>11009</v>
      </c>
      <c r="B10" t="s">
        <v>37</v>
      </c>
      <c r="C10" s="13" t="s">
        <v>220</v>
      </c>
      <c r="D10" s="2" t="s">
        <v>39</v>
      </c>
      <c r="E10" s="29">
        <v>76</v>
      </c>
      <c r="F10" s="29">
        <v>109</v>
      </c>
      <c r="G10" s="29">
        <v>0</v>
      </c>
      <c r="H10" s="29">
        <v>102</v>
      </c>
      <c r="I10" s="29">
        <v>77</v>
      </c>
      <c r="J10" s="23">
        <v>0</v>
      </c>
      <c r="K10" s="23">
        <v>101</v>
      </c>
      <c r="L10" s="23">
        <v>48</v>
      </c>
      <c r="M10" s="23">
        <v>43</v>
      </c>
      <c r="N10" s="29">
        <v>23.5</v>
      </c>
      <c r="O10" s="23">
        <v>3</v>
      </c>
      <c r="P10" s="29">
        <v>20</v>
      </c>
      <c r="Q10" s="23">
        <v>4</v>
      </c>
      <c r="R10">
        <f t="shared" si="0"/>
        <v>8</v>
      </c>
      <c r="S10" s="29">
        <v>2</v>
      </c>
      <c r="T10" s="29">
        <v>2</v>
      </c>
      <c r="U10" s="29">
        <v>2</v>
      </c>
      <c r="V10" s="29">
        <v>2</v>
      </c>
      <c r="W10" s="23">
        <v>90</v>
      </c>
      <c r="X10" s="23">
        <v>140</v>
      </c>
      <c r="Y10" s="23">
        <v>3.2</v>
      </c>
      <c r="Z10" s="23">
        <v>6</v>
      </c>
      <c r="AA10" s="23">
        <v>110081</v>
      </c>
      <c r="AB10" s="23">
        <v>110092</v>
      </c>
      <c r="AC10" s="2" t="s">
        <v>219</v>
      </c>
    </row>
    <row r="11" spans="1:28">
      <c r="A11" s="2">
        <v>11010</v>
      </c>
      <c r="B11" t="s">
        <v>37</v>
      </c>
      <c r="C11" s="13" t="s">
        <v>221</v>
      </c>
      <c r="D11" s="2" t="s">
        <v>39</v>
      </c>
      <c r="E11" s="29">
        <v>79</v>
      </c>
      <c r="F11" s="29">
        <v>100</v>
      </c>
      <c r="G11" s="29">
        <v>0</v>
      </c>
      <c r="H11" s="29">
        <v>100</v>
      </c>
      <c r="I11" s="29">
        <v>92</v>
      </c>
      <c r="J11" s="23">
        <v>0</v>
      </c>
      <c r="K11" s="23">
        <v>102</v>
      </c>
      <c r="L11" s="23">
        <v>55</v>
      </c>
      <c r="M11" s="23">
        <v>45</v>
      </c>
      <c r="N11" s="29">
        <v>29</v>
      </c>
      <c r="O11" s="23">
        <v>3</v>
      </c>
      <c r="P11" s="29">
        <v>10</v>
      </c>
      <c r="Q11" s="23">
        <v>4</v>
      </c>
      <c r="R11">
        <f t="shared" si="0"/>
        <v>16</v>
      </c>
      <c r="S11" s="29">
        <v>4</v>
      </c>
      <c r="T11" s="29">
        <v>4</v>
      </c>
      <c r="U11" s="29">
        <v>4</v>
      </c>
      <c r="V11" s="29">
        <v>4</v>
      </c>
      <c r="W11" s="23">
        <v>90</v>
      </c>
      <c r="X11" s="23">
        <v>140</v>
      </c>
      <c r="Y11" s="23">
        <v>4.2</v>
      </c>
      <c r="Z11" s="23">
        <v>8</v>
      </c>
      <c r="AA11" s="23">
        <v>110101</v>
      </c>
      <c r="AB11" s="23">
        <v>110102</v>
      </c>
    </row>
    <row r="12" spans="1:28">
      <c r="A12" s="2">
        <v>11011</v>
      </c>
      <c r="B12" t="s">
        <v>37</v>
      </c>
      <c r="C12" s="13" t="s">
        <v>222</v>
      </c>
      <c r="D12" s="2" t="s">
        <v>34</v>
      </c>
      <c r="E12" s="29">
        <v>72</v>
      </c>
      <c r="F12" s="29">
        <v>90</v>
      </c>
      <c r="G12" s="29">
        <v>0</v>
      </c>
      <c r="H12" s="29">
        <v>93</v>
      </c>
      <c r="I12" s="29">
        <v>97</v>
      </c>
      <c r="J12" s="23">
        <v>0</v>
      </c>
      <c r="K12" s="23">
        <v>100</v>
      </c>
      <c r="L12" s="23">
        <v>44</v>
      </c>
      <c r="M12" s="23">
        <v>42</v>
      </c>
      <c r="N12" s="29">
        <v>21</v>
      </c>
      <c r="O12" s="23">
        <v>3</v>
      </c>
      <c r="P12" s="29">
        <v>30</v>
      </c>
      <c r="Q12" s="23">
        <v>4</v>
      </c>
      <c r="R12">
        <f t="shared" si="0"/>
        <v>12</v>
      </c>
      <c r="S12" s="29">
        <v>3</v>
      </c>
      <c r="T12" s="29">
        <v>3</v>
      </c>
      <c r="U12" s="29">
        <v>3</v>
      </c>
      <c r="V12" s="29">
        <v>3</v>
      </c>
      <c r="W12" s="23">
        <v>85</v>
      </c>
      <c r="X12" s="23">
        <v>125</v>
      </c>
      <c r="Y12" s="23">
        <v>2.5</v>
      </c>
      <c r="Z12" s="23">
        <v>5.1</v>
      </c>
      <c r="AA12" s="23">
        <v>110111</v>
      </c>
      <c r="AB12" s="23"/>
    </row>
    <row r="13" spans="1:28">
      <c r="A13" s="2">
        <v>11012</v>
      </c>
      <c r="B13" t="s">
        <v>37</v>
      </c>
      <c r="C13" s="13" t="s">
        <v>223</v>
      </c>
      <c r="D13" s="2" t="s">
        <v>34</v>
      </c>
      <c r="E13" s="29">
        <v>72</v>
      </c>
      <c r="F13" s="29">
        <v>90</v>
      </c>
      <c r="G13" s="29">
        <v>0</v>
      </c>
      <c r="H13" s="29">
        <v>93</v>
      </c>
      <c r="I13" s="29">
        <v>97</v>
      </c>
      <c r="J13" s="23">
        <v>0</v>
      </c>
      <c r="K13" s="23">
        <v>100</v>
      </c>
      <c r="L13" s="23">
        <v>44</v>
      </c>
      <c r="M13" s="23">
        <v>42</v>
      </c>
      <c r="N13" s="29">
        <v>21</v>
      </c>
      <c r="O13" s="23">
        <v>3</v>
      </c>
      <c r="P13" s="29">
        <v>10</v>
      </c>
      <c r="Q13" s="23">
        <v>4</v>
      </c>
      <c r="R13">
        <f t="shared" si="0"/>
        <v>12</v>
      </c>
      <c r="S13" s="29">
        <v>3</v>
      </c>
      <c r="T13" s="29">
        <v>3</v>
      </c>
      <c r="U13" s="29">
        <v>3</v>
      </c>
      <c r="V13" s="29">
        <v>3</v>
      </c>
      <c r="W13" s="23">
        <v>85</v>
      </c>
      <c r="X13" s="23">
        <v>125</v>
      </c>
      <c r="Y13" s="23">
        <v>2.5</v>
      </c>
      <c r="Z13" s="23">
        <v>5.1</v>
      </c>
      <c r="AA13" s="23">
        <v>110111</v>
      </c>
      <c r="AB13" s="23"/>
    </row>
    <row r="14" spans="1:28">
      <c r="A14" s="2">
        <v>11013</v>
      </c>
      <c r="B14" t="s">
        <v>37</v>
      </c>
      <c r="C14" s="13" t="s">
        <v>224</v>
      </c>
      <c r="D14" s="2" t="s">
        <v>68</v>
      </c>
      <c r="E14" s="29">
        <v>64</v>
      </c>
      <c r="F14" s="29">
        <v>89</v>
      </c>
      <c r="G14" s="29">
        <v>0</v>
      </c>
      <c r="H14" s="29">
        <v>89</v>
      </c>
      <c r="I14" s="29">
        <v>70</v>
      </c>
      <c r="J14" s="23">
        <v>0</v>
      </c>
      <c r="K14" s="23">
        <v>102</v>
      </c>
      <c r="L14" s="23">
        <v>63</v>
      </c>
      <c r="M14" s="23">
        <v>40</v>
      </c>
      <c r="N14" s="29">
        <v>27</v>
      </c>
      <c r="O14" s="23">
        <v>3</v>
      </c>
      <c r="P14" s="29">
        <v>20</v>
      </c>
      <c r="Q14" s="23">
        <v>4</v>
      </c>
      <c r="R14">
        <f t="shared" si="0"/>
        <v>12</v>
      </c>
      <c r="S14" s="29">
        <v>3</v>
      </c>
      <c r="T14" s="29">
        <v>3</v>
      </c>
      <c r="U14" s="29">
        <v>3</v>
      </c>
      <c r="V14" s="29">
        <v>3</v>
      </c>
      <c r="W14" s="23">
        <v>70</v>
      </c>
      <c r="X14" s="23">
        <v>110</v>
      </c>
      <c r="Y14" s="23">
        <v>2.25</v>
      </c>
      <c r="Z14" s="23">
        <v>4.55</v>
      </c>
      <c r="AA14" s="23">
        <v>110131</v>
      </c>
      <c r="AB14" s="23"/>
    </row>
    <row r="15" spans="1:28">
      <c r="A15" s="2">
        <v>11014</v>
      </c>
      <c r="B15" t="s">
        <v>37</v>
      </c>
      <c r="C15" s="13" t="s">
        <v>225</v>
      </c>
      <c r="D15" s="2" t="s">
        <v>31</v>
      </c>
      <c r="E15" s="29">
        <v>68</v>
      </c>
      <c r="F15" s="29">
        <v>96</v>
      </c>
      <c r="G15" s="29">
        <v>0</v>
      </c>
      <c r="H15" s="29">
        <v>73</v>
      </c>
      <c r="I15" s="29">
        <v>67</v>
      </c>
      <c r="J15" s="23">
        <v>0</v>
      </c>
      <c r="K15" s="23">
        <v>100</v>
      </c>
      <c r="L15" s="23">
        <v>72</v>
      </c>
      <c r="M15" s="23">
        <v>45</v>
      </c>
      <c r="N15" s="29">
        <v>30.3</v>
      </c>
      <c r="O15" s="23">
        <v>3</v>
      </c>
      <c r="P15" s="29">
        <v>15</v>
      </c>
      <c r="Q15" s="23">
        <v>4</v>
      </c>
      <c r="R15">
        <f t="shared" si="0"/>
        <v>12</v>
      </c>
      <c r="S15" s="29">
        <v>3</v>
      </c>
      <c r="T15" s="29">
        <v>3</v>
      </c>
      <c r="U15" s="29">
        <v>3</v>
      </c>
      <c r="V15" s="29">
        <v>3</v>
      </c>
      <c r="W15" s="23">
        <v>80</v>
      </c>
      <c r="X15" s="23">
        <v>110</v>
      </c>
      <c r="Y15" s="23">
        <v>2.88</v>
      </c>
      <c r="Z15" s="23">
        <v>5.4</v>
      </c>
      <c r="AA15" s="23">
        <v>110141</v>
      </c>
      <c r="AB15" s="23"/>
    </row>
    <row r="16" spans="1:28">
      <c r="A16" s="2">
        <v>11018</v>
      </c>
      <c r="B16" t="s">
        <v>51</v>
      </c>
      <c r="C16" s="13" t="s">
        <v>226</v>
      </c>
      <c r="D16" s="2" t="s">
        <v>39</v>
      </c>
      <c r="E16" s="23">
        <v>70</v>
      </c>
      <c r="F16" s="23">
        <v>93</v>
      </c>
      <c r="G16" s="23">
        <v>0</v>
      </c>
      <c r="H16" s="23">
        <v>80</v>
      </c>
      <c r="I16" s="23">
        <v>97</v>
      </c>
      <c r="J16" s="23">
        <v>0</v>
      </c>
      <c r="K16" s="23">
        <v>101</v>
      </c>
      <c r="L16" s="23">
        <v>71</v>
      </c>
      <c r="M16" s="23">
        <v>44</v>
      </c>
      <c r="N16" s="23">
        <v>31.5</v>
      </c>
      <c r="O16" s="23">
        <v>3</v>
      </c>
      <c r="P16" s="23">
        <v>35</v>
      </c>
      <c r="Q16" s="23">
        <v>4</v>
      </c>
      <c r="R16">
        <f t="shared" si="0"/>
        <v>16</v>
      </c>
      <c r="S16" s="23">
        <v>4</v>
      </c>
      <c r="T16" s="23">
        <v>4</v>
      </c>
      <c r="U16" s="23">
        <v>4</v>
      </c>
      <c r="V16" s="23">
        <v>4</v>
      </c>
      <c r="W16" s="23">
        <v>70</v>
      </c>
      <c r="X16" s="23">
        <v>120</v>
      </c>
      <c r="Y16" s="23">
        <v>2.88</v>
      </c>
      <c r="Z16" s="23">
        <v>5.4</v>
      </c>
      <c r="AA16" s="23">
        <v>110181</v>
      </c>
      <c r="AB16" s="23">
        <v>110182</v>
      </c>
    </row>
    <row r="17" spans="1:28">
      <c r="A17" s="2">
        <v>11019</v>
      </c>
      <c r="B17" t="s">
        <v>51</v>
      </c>
      <c r="C17" s="13" t="s">
        <v>227</v>
      </c>
      <c r="D17" s="2" t="s">
        <v>39</v>
      </c>
      <c r="E17" s="23">
        <v>70</v>
      </c>
      <c r="F17" s="23">
        <v>88</v>
      </c>
      <c r="G17" s="23">
        <v>0</v>
      </c>
      <c r="H17" s="23">
        <v>78</v>
      </c>
      <c r="I17" s="23">
        <v>75</v>
      </c>
      <c r="J17" s="23">
        <v>0</v>
      </c>
      <c r="K17" s="23">
        <v>100</v>
      </c>
      <c r="L17" s="23">
        <v>74</v>
      </c>
      <c r="M17" s="23">
        <v>41</v>
      </c>
      <c r="N17" s="23">
        <v>31.5</v>
      </c>
      <c r="O17" s="23">
        <v>3</v>
      </c>
      <c r="P17" s="23">
        <v>12</v>
      </c>
      <c r="Q17" s="23">
        <v>4</v>
      </c>
      <c r="R17">
        <f t="shared" si="0"/>
        <v>16</v>
      </c>
      <c r="S17" s="23">
        <v>4</v>
      </c>
      <c r="T17" s="23">
        <v>4</v>
      </c>
      <c r="U17" s="23">
        <v>4</v>
      </c>
      <c r="V17" s="23">
        <v>4</v>
      </c>
      <c r="W17" s="23">
        <v>70</v>
      </c>
      <c r="X17" s="23">
        <v>120</v>
      </c>
      <c r="Y17" s="23">
        <v>2.88</v>
      </c>
      <c r="Z17" s="23">
        <v>5.4</v>
      </c>
      <c r="AA17" s="23">
        <v>110191</v>
      </c>
      <c r="AB17" s="23"/>
    </row>
    <row r="18" spans="1:27">
      <c r="A18" s="2">
        <v>11020</v>
      </c>
      <c r="B18" t="s">
        <v>228</v>
      </c>
      <c r="C18" t="s">
        <v>229</v>
      </c>
      <c r="D18" t="s">
        <v>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31">
        <v>110201</v>
      </c>
    </row>
    <row r="19" spans="1:27">
      <c r="A19" s="2">
        <v>11021</v>
      </c>
      <c r="B19" t="s">
        <v>228</v>
      </c>
      <c r="C19" t="s">
        <v>230</v>
      </c>
      <c r="D19" t="s">
        <v>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31">
        <v>110211</v>
      </c>
    </row>
    <row r="20" spans="1:28">
      <c r="A20" s="2">
        <v>11022</v>
      </c>
      <c r="B20" t="s">
        <v>29</v>
      </c>
      <c r="C20" s="13" t="s">
        <v>30</v>
      </c>
      <c r="D20" t="s">
        <v>31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23">
        <v>60</v>
      </c>
      <c r="X20" s="23">
        <v>55</v>
      </c>
      <c r="Y20" s="23">
        <v>2.4</v>
      </c>
      <c r="Z20" s="23">
        <v>4.5</v>
      </c>
      <c r="AA20">
        <v>110221</v>
      </c>
      <c r="AB20">
        <v>110222</v>
      </c>
    </row>
    <row r="21" spans="1:28">
      <c r="A21" s="2">
        <v>11023</v>
      </c>
      <c r="B21" t="s">
        <v>29</v>
      </c>
      <c r="C21" s="13" t="s">
        <v>32</v>
      </c>
      <c r="D21" t="s">
        <v>31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23">
        <v>60</v>
      </c>
      <c r="X21" s="23">
        <v>55</v>
      </c>
      <c r="Y21" s="23">
        <v>2.56</v>
      </c>
      <c r="Z21" s="23">
        <v>4.8</v>
      </c>
      <c r="AA21">
        <v>110231</v>
      </c>
      <c r="AB21">
        <v>110232</v>
      </c>
    </row>
    <row r="22" spans="1:27">
      <c r="A22" s="2">
        <v>11024</v>
      </c>
      <c r="B22" t="s">
        <v>231</v>
      </c>
      <c r="C22" s="13" t="s">
        <v>232</v>
      </c>
      <c r="D22" t="s">
        <v>31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23">
        <v>35</v>
      </c>
      <c r="X22" s="23">
        <v>35</v>
      </c>
      <c r="Y22" s="23">
        <v>1.28</v>
      </c>
      <c r="Z22" s="23">
        <v>2.4</v>
      </c>
      <c r="AA22">
        <v>110241</v>
      </c>
    </row>
    <row r="23" spans="1:27">
      <c r="A23" s="2">
        <v>11025</v>
      </c>
      <c r="B23" t="s">
        <v>231</v>
      </c>
      <c r="C23" s="13" t="s">
        <v>233</v>
      </c>
      <c r="D23" t="s">
        <v>31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23">
        <v>40</v>
      </c>
      <c r="X23" s="23">
        <v>35</v>
      </c>
      <c r="Y23" s="23">
        <v>1.28</v>
      </c>
      <c r="Z23" s="23">
        <v>2.4</v>
      </c>
      <c r="AA23">
        <v>110251</v>
      </c>
    </row>
    <row r="24" spans="1:26">
      <c r="A24" s="2">
        <v>11026</v>
      </c>
      <c r="B24" t="s">
        <v>231</v>
      </c>
      <c r="C24" s="13" t="s">
        <v>234</v>
      </c>
      <c r="D24" t="s">
        <v>39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23">
        <v>20</v>
      </c>
      <c r="X24" s="23">
        <v>30</v>
      </c>
      <c r="Y24" s="23">
        <v>0.96</v>
      </c>
      <c r="Z24" s="23">
        <v>1.8</v>
      </c>
    </row>
    <row r="25" spans="1:26">
      <c r="A25" s="2">
        <v>11027</v>
      </c>
      <c r="B25" t="s">
        <v>231</v>
      </c>
      <c r="C25" s="13" t="s">
        <v>235</v>
      </c>
      <c r="D25" t="s">
        <v>34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23">
        <v>25</v>
      </c>
      <c r="X25" s="23">
        <v>30</v>
      </c>
      <c r="Y25" s="23">
        <v>0.96</v>
      </c>
      <c r="Z25" s="23">
        <v>1.8</v>
      </c>
    </row>
    <row r="26" spans="1:27">
      <c r="A26" s="2">
        <v>11028</v>
      </c>
      <c r="B26" t="s">
        <v>29</v>
      </c>
      <c r="C26" s="13" t="s">
        <v>236</v>
      </c>
      <c r="D26" t="s">
        <v>34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23">
        <v>45</v>
      </c>
      <c r="X26" s="23">
        <v>50</v>
      </c>
      <c r="Y26" s="23">
        <v>1.68</v>
      </c>
      <c r="Z26" s="23">
        <v>3.2</v>
      </c>
      <c r="AA26">
        <v>110281</v>
      </c>
    </row>
    <row r="27" spans="1:27">
      <c r="A27" s="2">
        <v>11029</v>
      </c>
      <c r="B27" t="s">
        <v>29</v>
      </c>
      <c r="C27" s="13" t="s">
        <v>33</v>
      </c>
      <c r="D27" t="s">
        <v>34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23">
        <v>55</v>
      </c>
      <c r="X27" s="23">
        <v>60</v>
      </c>
      <c r="Y27" s="23">
        <v>2.08</v>
      </c>
      <c r="Z27" s="23">
        <v>3.9</v>
      </c>
      <c r="AA27">
        <v>110291</v>
      </c>
    </row>
    <row r="28" spans="1:28">
      <c r="A28" s="2">
        <v>11030</v>
      </c>
      <c r="B28" t="s">
        <v>29</v>
      </c>
      <c r="C28" s="13" t="s">
        <v>35</v>
      </c>
      <c r="D28" t="s">
        <v>34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23">
        <v>55</v>
      </c>
      <c r="X28" s="23">
        <v>60</v>
      </c>
      <c r="Y28" s="23">
        <v>2.08</v>
      </c>
      <c r="Z28" s="23">
        <v>3.9</v>
      </c>
      <c r="AA28">
        <v>110291</v>
      </c>
      <c r="AB28">
        <v>110302</v>
      </c>
    </row>
    <row r="29" spans="1:27">
      <c r="A29" s="2">
        <v>11031</v>
      </c>
      <c r="B29" t="s">
        <v>29</v>
      </c>
      <c r="C29" s="13" t="s">
        <v>36</v>
      </c>
      <c r="D29" t="s">
        <v>34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5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23">
        <v>55</v>
      </c>
      <c r="X29" s="23">
        <v>70</v>
      </c>
      <c r="Y29" s="23">
        <v>2.08</v>
      </c>
      <c r="Z29" s="23">
        <v>3.9</v>
      </c>
      <c r="AA29">
        <v>110311</v>
      </c>
    </row>
    <row r="30" spans="1:28">
      <c r="A30" s="2">
        <v>11032</v>
      </c>
      <c r="B30" t="s">
        <v>84</v>
      </c>
      <c r="C30" t="s">
        <v>237</v>
      </c>
      <c r="D30" s="2" t="s">
        <v>31</v>
      </c>
      <c r="E30" s="23">
        <v>55</v>
      </c>
      <c r="F30" s="23">
        <v>70</v>
      </c>
      <c r="G30" s="23">
        <v>72</v>
      </c>
      <c r="H30" s="23">
        <v>53</v>
      </c>
      <c r="I30" s="23">
        <v>58</v>
      </c>
      <c r="J30" s="23">
        <v>0</v>
      </c>
      <c r="K30" s="23">
        <v>97</v>
      </c>
      <c r="L30" s="23">
        <v>89</v>
      </c>
      <c r="M30" s="23">
        <v>58</v>
      </c>
      <c r="N30" s="23">
        <v>35</v>
      </c>
      <c r="O30" s="23">
        <v>2</v>
      </c>
      <c r="P30" s="23">
        <v>10</v>
      </c>
      <c r="Q30" s="23">
        <v>4</v>
      </c>
      <c r="R30">
        <f t="shared" si="0"/>
        <v>6</v>
      </c>
      <c r="S30" s="23">
        <v>2</v>
      </c>
      <c r="T30" s="23">
        <v>2</v>
      </c>
      <c r="U30" s="23">
        <v>2</v>
      </c>
      <c r="V30" s="23">
        <v>0</v>
      </c>
      <c r="W30" s="23">
        <v>40</v>
      </c>
      <c r="X30" s="23">
        <v>65</v>
      </c>
      <c r="Y30" s="23">
        <v>1.28</v>
      </c>
      <c r="Z30" s="23">
        <v>2.4</v>
      </c>
      <c r="AA30" s="23">
        <v>110321</v>
      </c>
      <c r="AB30" s="23"/>
    </row>
    <row r="31" spans="1:28">
      <c r="A31" s="2">
        <v>11033</v>
      </c>
      <c r="B31" t="s">
        <v>84</v>
      </c>
      <c r="C31" t="s">
        <v>238</v>
      </c>
      <c r="D31" s="2" t="s">
        <v>31</v>
      </c>
      <c r="E31" s="23">
        <v>55</v>
      </c>
      <c r="F31" s="23">
        <v>70</v>
      </c>
      <c r="G31" s="23">
        <v>72</v>
      </c>
      <c r="H31" s="23">
        <v>53</v>
      </c>
      <c r="I31" s="23">
        <v>58</v>
      </c>
      <c r="J31" s="23">
        <v>0</v>
      </c>
      <c r="K31" s="23">
        <v>97</v>
      </c>
      <c r="L31" s="23">
        <v>89</v>
      </c>
      <c r="M31" s="23">
        <v>58</v>
      </c>
      <c r="N31" s="23">
        <v>35</v>
      </c>
      <c r="O31" s="23">
        <v>2</v>
      </c>
      <c r="P31" s="23">
        <v>10</v>
      </c>
      <c r="Q31" s="23">
        <v>4</v>
      </c>
      <c r="R31">
        <f t="shared" si="0"/>
        <v>6</v>
      </c>
      <c r="S31" s="23">
        <v>2</v>
      </c>
      <c r="T31" s="23">
        <v>2</v>
      </c>
      <c r="U31" s="23">
        <v>2</v>
      </c>
      <c r="V31" s="23">
        <v>0</v>
      </c>
      <c r="W31" s="23">
        <v>40</v>
      </c>
      <c r="X31" s="23">
        <v>65</v>
      </c>
      <c r="Y31" s="23">
        <v>1.28</v>
      </c>
      <c r="Z31" s="23">
        <v>2.4</v>
      </c>
      <c r="AA31" s="23">
        <v>110331</v>
      </c>
      <c r="AB31" s="23"/>
    </row>
    <row r="32" spans="1:28">
      <c r="A32" s="2">
        <v>11034</v>
      </c>
      <c r="B32" t="s">
        <v>84</v>
      </c>
      <c r="C32" t="s">
        <v>239</v>
      </c>
      <c r="D32" s="2" t="s">
        <v>31</v>
      </c>
      <c r="E32" s="23">
        <v>55</v>
      </c>
      <c r="F32" s="23">
        <v>68</v>
      </c>
      <c r="G32" s="23">
        <v>72</v>
      </c>
      <c r="H32" s="23">
        <v>52</v>
      </c>
      <c r="I32" s="23">
        <v>67</v>
      </c>
      <c r="J32" s="23">
        <v>0</v>
      </c>
      <c r="K32" s="23">
        <v>97</v>
      </c>
      <c r="L32" s="23">
        <v>89</v>
      </c>
      <c r="M32" s="23">
        <v>58</v>
      </c>
      <c r="N32" s="23">
        <v>35</v>
      </c>
      <c r="O32" s="23">
        <v>2</v>
      </c>
      <c r="P32" s="23">
        <v>10</v>
      </c>
      <c r="Q32" s="23">
        <v>4</v>
      </c>
      <c r="R32">
        <f t="shared" si="0"/>
        <v>6</v>
      </c>
      <c r="S32" s="23">
        <v>2</v>
      </c>
      <c r="T32" s="23">
        <v>2</v>
      </c>
      <c r="U32" s="23">
        <v>2</v>
      </c>
      <c r="V32" s="23">
        <v>0</v>
      </c>
      <c r="W32" s="23">
        <v>40</v>
      </c>
      <c r="X32" s="23">
        <v>65</v>
      </c>
      <c r="Y32" s="23">
        <v>1.28</v>
      </c>
      <c r="Z32" s="23">
        <v>2.4</v>
      </c>
      <c r="AA32" s="23">
        <v>110341</v>
      </c>
      <c r="AB32" s="23"/>
    </row>
    <row r="33" spans="1:28">
      <c r="A33" s="2">
        <v>11035</v>
      </c>
      <c r="B33" t="s">
        <v>84</v>
      </c>
      <c r="C33" t="s">
        <v>240</v>
      </c>
      <c r="D33" s="2" t="s">
        <v>31</v>
      </c>
      <c r="E33" s="23">
        <v>55</v>
      </c>
      <c r="F33" s="23">
        <v>70</v>
      </c>
      <c r="G33" s="23">
        <v>72</v>
      </c>
      <c r="H33" s="23">
        <v>53</v>
      </c>
      <c r="I33" s="23">
        <v>55</v>
      </c>
      <c r="J33" s="23">
        <v>0</v>
      </c>
      <c r="K33" s="23">
        <v>97</v>
      </c>
      <c r="L33" s="23">
        <v>89</v>
      </c>
      <c r="M33" s="23">
        <v>58</v>
      </c>
      <c r="N33" s="23">
        <v>35</v>
      </c>
      <c r="O33" s="23">
        <v>2</v>
      </c>
      <c r="P33" s="23">
        <v>10</v>
      </c>
      <c r="Q33" s="23">
        <v>4</v>
      </c>
      <c r="R33">
        <f t="shared" si="0"/>
        <v>6</v>
      </c>
      <c r="S33" s="23">
        <v>2</v>
      </c>
      <c r="T33" s="23">
        <v>2</v>
      </c>
      <c r="U33" s="23">
        <v>2</v>
      </c>
      <c r="V33" s="23">
        <v>0</v>
      </c>
      <c r="W33" s="23">
        <v>40</v>
      </c>
      <c r="X33" s="23">
        <v>65</v>
      </c>
      <c r="Y33" s="23">
        <v>1.28</v>
      </c>
      <c r="Z33" s="23">
        <v>2.4</v>
      </c>
      <c r="AA33" s="23">
        <v>110351</v>
      </c>
      <c r="AB33" s="23"/>
    </row>
    <row r="34" spans="1:28">
      <c r="A34" s="2">
        <v>11036</v>
      </c>
      <c r="B34" t="s">
        <v>84</v>
      </c>
      <c r="C34" t="s">
        <v>241</v>
      </c>
      <c r="D34" s="2" t="s">
        <v>47</v>
      </c>
      <c r="E34" s="23">
        <v>61</v>
      </c>
      <c r="F34" s="23">
        <v>69</v>
      </c>
      <c r="G34" s="23">
        <v>65</v>
      </c>
      <c r="H34" s="23">
        <v>50</v>
      </c>
      <c r="I34" s="23">
        <v>57</v>
      </c>
      <c r="J34" s="23">
        <v>0</v>
      </c>
      <c r="K34" s="23">
        <v>97</v>
      </c>
      <c r="L34" s="23">
        <v>82</v>
      </c>
      <c r="M34" s="23">
        <v>65</v>
      </c>
      <c r="N34" s="23">
        <v>32.5</v>
      </c>
      <c r="O34" s="23">
        <v>2</v>
      </c>
      <c r="P34" s="23">
        <v>15</v>
      </c>
      <c r="Q34" s="23">
        <v>4</v>
      </c>
      <c r="R34">
        <f t="shared" si="0"/>
        <v>12</v>
      </c>
      <c r="S34" s="23">
        <v>3</v>
      </c>
      <c r="T34" s="23">
        <v>3</v>
      </c>
      <c r="U34" s="23">
        <v>3</v>
      </c>
      <c r="V34" s="23">
        <v>3</v>
      </c>
      <c r="W34" s="23">
        <v>35</v>
      </c>
      <c r="X34" s="23">
        <v>65</v>
      </c>
      <c r="Y34" s="23">
        <v>1.28</v>
      </c>
      <c r="Z34" s="23">
        <v>2.64</v>
      </c>
      <c r="AA34" s="23">
        <v>110361</v>
      </c>
      <c r="AB34" s="23"/>
    </row>
    <row r="35" spans="1:28">
      <c r="A35" s="2">
        <v>11037</v>
      </c>
      <c r="B35" t="s">
        <v>84</v>
      </c>
      <c r="C35" t="s">
        <v>242</v>
      </c>
      <c r="D35" s="2" t="s">
        <v>47</v>
      </c>
      <c r="E35" s="23">
        <v>62</v>
      </c>
      <c r="F35" s="23">
        <v>66</v>
      </c>
      <c r="G35" s="23">
        <v>65</v>
      </c>
      <c r="H35" s="23">
        <v>52</v>
      </c>
      <c r="I35" s="23">
        <v>57</v>
      </c>
      <c r="J35" s="23">
        <v>0</v>
      </c>
      <c r="K35" s="23">
        <v>97</v>
      </c>
      <c r="L35" s="23">
        <v>87</v>
      </c>
      <c r="M35" s="23">
        <v>62</v>
      </c>
      <c r="N35" s="23">
        <v>32.5</v>
      </c>
      <c r="O35" s="23">
        <v>2</v>
      </c>
      <c r="P35" s="23">
        <v>15</v>
      </c>
      <c r="Q35" s="23">
        <v>4</v>
      </c>
      <c r="R35">
        <f t="shared" si="0"/>
        <v>12</v>
      </c>
      <c r="S35" s="23">
        <v>3</v>
      </c>
      <c r="T35" s="23">
        <v>3</v>
      </c>
      <c r="U35" s="23">
        <v>3</v>
      </c>
      <c r="V35" s="23">
        <v>3</v>
      </c>
      <c r="W35" s="23">
        <v>35</v>
      </c>
      <c r="X35" s="23">
        <v>65</v>
      </c>
      <c r="Y35" s="23">
        <v>1.28</v>
      </c>
      <c r="Z35" s="23">
        <v>2.64</v>
      </c>
      <c r="AA35" s="23">
        <v>110371</v>
      </c>
      <c r="AB35" s="23"/>
    </row>
    <row r="36" spans="1:28">
      <c r="A36" s="2">
        <v>11038</v>
      </c>
      <c r="B36" t="s">
        <v>84</v>
      </c>
      <c r="C36" t="s">
        <v>243</v>
      </c>
      <c r="D36" s="2" t="s">
        <v>47</v>
      </c>
      <c r="E36" s="23">
        <v>69</v>
      </c>
      <c r="F36" s="23">
        <v>61</v>
      </c>
      <c r="G36" s="23">
        <v>55</v>
      </c>
      <c r="H36" s="23">
        <v>70</v>
      </c>
      <c r="I36" s="23">
        <v>65</v>
      </c>
      <c r="J36" s="23">
        <v>0</v>
      </c>
      <c r="K36" s="23">
        <v>99</v>
      </c>
      <c r="L36" s="23">
        <v>82</v>
      </c>
      <c r="M36" s="23">
        <v>68</v>
      </c>
      <c r="N36" s="23">
        <v>32</v>
      </c>
      <c r="O36" s="23">
        <v>2</v>
      </c>
      <c r="P36" s="23">
        <v>35</v>
      </c>
      <c r="Q36" s="23">
        <v>4</v>
      </c>
      <c r="R36">
        <f t="shared" si="0"/>
        <v>12</v>
      </c>
      <c r="S36" s="23">
        <v>3</v>
      </c>
      <c r="T36" s="23">
        <v>3</v>
      </c>
      <c r="U36" s="23">
        <v>3</v>
      </c>
      <c r="V36" s="23">
        <v>3</v>
      </c>
      <c r="W36" s="23">
        <v>35</v>
      </c>
      <c r="X36" s="23">
        <v>65</v>
      </c>
      <c r="Y36" s="23">
        <v>1.28</v>
      </c>
      <c r="Z36" s="23">
        <v>2.64</v>
      </c>
      <c r="AA36" s="23">
        <v>110381</v>
      </c>
      <c r="AB36" s="23">
        <v>110382</v>
      </c>
    </row>
    <row r="37" spans="1:28">
      <c r="A37" s="2">
        <v>11039</v>
      </c>
      <c r="B37" t="s">
        <v>84</v>
      </c>
      <c r="C37" t="s">
        <v>244</v>
      </c>
      <c r="D37" s="2" t="s">
        <v>34</v>
      </c>
      <c r="E37" s="23">
        <v>46</v>
      </c>
      <c r="F37" s="23">
        <v>78</v>
      </c>
      <c r="G37" s="23">
        <v>0</v>
      </c>
      <c r="H37" s="23">
        <v>52</v>
      </c>
      <c r="I37" s="23">
        <v>93</v>
      </c>
      <c r="J37" s="23">
        <v>0</v>
      </c>
      <c r="K37" s="23">
        <v>98</v>
      </c>
      <c r="L37" s="23">
        <v>83</v>
      </c>
      <c r="M37" s="23">
        <v>62</v>
      </c>
      <c r="N37" s="23">
        <v>33</v>
      </c>
      <c r="O37" s="23">
        <v>2</v>
      </c>
      <c r="P37" s="23">
        <v>20</v>
      </c>
      <c r="Q37" s="23">
        <v>4</v>
      </c>
      <c r="R37">
        <f t="shared" si="0"/>
        <v>6</v>
      </c>
      <c r="S37" s="23">
        <v>2</v>
      </c>
      <c r="T37" s="23">
        <v>2</v>
      </c>
      <c r="U37" s="23">
        <v>2</v>
      </c>
      <c r="V37" s="23">
        <v>0</v>
      </c>
      <c r="W37" s="23">
        <v>40</v>
      </c>
      <c r="X37" s="23">
        <v>70</v>
      </c>
      <c r="Y37" s="23">
        <v>1.28</v>
      </c>
      <c r="Z37" s="23">
        <v>2.4</v>
      </c>
      <c r="AA37" s="23">
        <v>110391</v>
      </c>
      <c r="AB37" s="23"/>
    </row>
    <row r="38" spans="1:28">
      <c r="A38" s="2">
        <v>11040</v>
      </c>
      <c r="B38" t="s">
        <v>84</v>
      </c>
      <c r="C38" t="s">
        <v>245</v>
      </c>
      <c r="D38" s="2" t="s">
        <v>34</v>
      </c>
      <c r="E38" s="23">
        <v>58</v>
      </c>
      <c r="F38" s="23">
        <v>73</v>
      </c>
      <c r="G38" s="23">
        <v>0</v>
      </c>
      <c r="H38" s="23">
        <v>56</v>
      </c>
      <c r="I38" s="23">
        <v>80</v>
      </c>
      <c r="J38" s="23">
        <v>0</v>
      </c>
      <c r="K38" s="23">
        <v>97</v>
      </c>
      <c r="L38" s="23">
        <v>83</v>
      </c>
      <c r="M38" s="23">
        <v>63</v>
      </c>
      <c r="N38" s="23">
        <v>32.7</v>
      </c>
      <c r="O38" s="23">
        <v>2</v>
      </c>
      <c r="P38" s="23">
        <v>12</v>
      </c>
      <c r="Q38" s="23">
        <v>4</v>
      </c>
      <c r="R38">
        <f t="shared" si="0"/>
        <v>8</v>
      </c>
      <c r="S38" s="23">
        <v>2</v>
      </c>
      <c r="T38" s="23">
        <v>2</v>
      </c>
      <c r="U38" s="23">
        <v>2</v>
      </c>
      <c r="V38" s="23">
        <v>2</v>
      </c>
      <c r="W38" s="23">
        <v>40</v>
      </c>
      <c r="X38" s="23">
        <v>70</v>
      </c>
      <c r="Y38" s="23">
        <v>1.28</v>
      </c>
      <c r="Z38" s="23">
        <v>2.4</v>
      </c>
      <c r="AA38" s="23">
        <v>110401</v>
      </c>
      <c r="AB38" s="23">
        <v>110402</v>
      </c>
    </row>
    <row r="39" spans="1:28">
      <c r="A39" s="1">
        <v>11043</v>
      </c>
      <c r="B39" t="s">
        <v>117</v>
      </c>
      <c r="C39" t="s">
        <v>246</v>
      </c>
      <c r="D39" t="s">
        <v>31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31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>
      <c r="A40" s="1">
        <v>11044</v>
      </c>
      <c r="B40" t="s">
        <v>117</v>
      </c>
      <c r="C40" t="s">
        <v>247</v>
      </c>
      <c r="D40" t="s">
        <v>31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31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7">
      <c r="A41" s="2">
        <v>11045</v>
      </c>
      <c r="B41" t="s">
        <v>131</v>
      </c>
      <c r="C41" t="s">
        <v>248</v>
      </c>
      <c r="D41" t="s">
        <v>31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31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7">
      <c r="A42" s="2">
        <v>11046</v>
      </c>
      <c r="B42" t="s">
        <v>131</v>
      </c>
      <c r="C42" t="s">
        <v>249</v>
      </c>
      <c r="D42" t="s">
        <v>31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31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>
      <c r="A43" s="2">
        <v>11050</v>
      </c>
      <c r="B43" t="s">
        <v>131</v>
      </c>
      <c r="C43" t="s">
        <v>250</v>
      </c>
      <c r="D43" s="2" t="s">
        <v>39</v>
      </c>
      <c r="E43" s="23">
        <v>40</v>
      </c>
      <c r="F43" s="23">
        <v>67</v>
      </c>
      <c r="G43" s="23">
        <v>65</v>
      </c>
      <c r="H43" s="23">
        <v>51</v>
      </c>
      <c r="I43" s="23">
        <v>110</v>
      </c>
      <c r="J43" s="23">
        <v>110</v>
      </c>
      <c r="K43" s="23">
        <v>98</v>
      </c>
      <c r="L43" s="23">
        <v>81</v>
      </c>
      <c r="M43" s="23">
        <v>29</v>
      </c>
      <c r="N43" s="23">
        <v>32</v>
      </c>
      <c r="O43" s="23">
        <v>2</v>
      </c>
      <c r="P43" s="23">
        <v>24</v>
      </c>
      <c r="Q43" s="23">
        <v>3</v>
      </c>
      <c r="R43">
        <f t="shared" si="0"/>
        <v>0</v>
      </c>
      <c r="S43" s="23">
        <v>0</v>
      </c>
      <c r="T43" s="23">
        <v>0</v>
      </c>
      <c r="U43" s="23">
        <v>0</v>
      </c>
      <c r="V43" s="23">
        <v>0</v>
      </c>
      <c r="W43" s="23">
        <v>25</v>
      </c>
      <c r="X43" s="23">
        <v>30</v>
      </c>
      <c r="Y43" s="23">
        <v>1</v>
      </c>
      <c r="Z43" s="23">
        <v>1.9</v>
      </c>
      <c r="AA43" s="23">
        <v>110501</v>
      </c>
      <c r="AB43" s="23"/>
    </row>
    <row r="44" spans="1:28">
      <c r="A44" s="2">
        <v>11054</v>
      </c>
      <c r="B44" t="s">
        <v>131</v>
      </c>
      <c r="C44" t="s">
        <v>251</v>
      </c>
      <c r="D44" s="2" t="s">
        <v>89</v>
      </c>
      <c r="E44" s="23">
        <v>39</v>
      </c>
      <c r="F44" s="23">
        <v>49</v>
      </c>
      <c r="G44" s="23">
        <v>60</v>
      </c>
      <c r="H44" s="23">
        <v>42</v>
      </c>
      <c r="I44" s="23">
        <v>66</v>
      </c>
      <c r="J44" s="23">
        <v>83</v>
      </c>
      <c r="K44" s="23">
        <v>96</v>
      </c>
      <c r="L44" s="23">
        <v>77</v>
      </c>
      <c r="M44" s="23">
        <v>36</v>
      </c>
      <c r="N44" s="23">
        <v>32</v>
      </c>
      <c r="O44" s="23">
        <v>2</v>
      </c>
      <c r="P44" s="23">
        <v>21</v>
      </c>
      <c r="Q44" s="23">
        <v>3</v>
      </c>
      <c r="R44">
        <f t="shared" si="0"/>
        <v>6</v>
      </c>
      <c r="S44" s="23">
        <v>2</v>
      </c>
      <c r="T44" s="23">
        <v>2</v>
      </c>
      <c r="U44" s="23">
        <v>2</v>
      </c>
      <c r="V44" s="23">
        <v>0</v>
      </c>
      <c r="W44" s="23">
        <v>20</v>
      </c>
      <c r="X44" s="23">
        <v>30</v>
      </c>
      <c r="Y44" s="23">
        <v>0.8</v>
      </c>
      <c r="Z44" s="23">
        <v>1.5</v>
      </c>
      <c r="AA44" s="23">
        <v>110541</v>
      </c>
      <c r="AB44" s="23"/>
    </row>
    <row r="45" spans="1:29">
      <c r="A45" s="2">
        <v>11056</v>
      </c>
      <c r="B45" t="s">
        <v>131</v>
      </c>
      <c r="C45" t="s">
        <v>252</v>
      </c>
      <c r="D45" s="2" t="s">
        <v>34</v>
      </c>
      <c r="E45" s="23">
        <v>42</v>
      </c>
      <c r="F45" s="23">
        <v>67</v>
      </c>
      <c r="G45" s="23">
        <v>0</v>
      </c>
      <c r="H45" s="23">
        <v>49</v>
      </c>
      <c r="I45" s="23">
        <v>105</v>
      </c>
      <c r="J45" s="23">
        <v>105</v>
      </c>
      <c r="K45" s="23">
        <v>96</v>
      </c>
      <c r="L45" s="23">
        <v>78</v>
      </c>
      <c r="M45" s="23">
        <v>40</v>
      </c>
      <c r="N45" s="23">
        <v>33.6</v>
      </c>
      <c r="O45" s="23">
        <v>2</v>
      </c>
      <c r="P45" s="23">
        <v>10</v>
      </c>
      <c r="Q45" s="23">
        <v>3</v>
      </c>
      <c r="R45">
        <f t="shared" si="0"/>
        <v>0</v>
      </c>
      <c r="S45" s="23">
        <v>0</v>
      </c>
      <c r="T45" s="23">
        <v>0</v>
      </c>
      <c r="U45" s="23">
        <v>0</v>
      </c>
      <c r="V45" s="23">
        <v>0</v>
      </c>
      <c r="W45" s="23">
        <v>25</v>
      </c>
      <c r="X45" s="23">
        <v>30</v>
      </c>
      <c r="Y45" s="23">
        <v>0.8</v>
      </c>
      <c r="Z45" s="23">
        <v>1.5</v>
      </c>
      <c r="AA45" s="23">
        <v>110561</v>
      </c>
      <c r="AB45" s="23"/>
      <c r="AC45" s="2" t="s">
        <v>253</v>
      </c>
    </row>
    <row r="46" spans="1:29">
      <c r="A46" s="2">
        <v>11057</v>
      </c>
      <c r="B46" t="s">
        <v>131</v>
      </c>
      <c r="C46" t="s">
        <v>254</v>
      </c>
      <c r="D46" s="2" t="s">
        <v>34</v>
      </c>
      <c r="E46" s="23">
        <v>42</v>
      </c>
      <c r="F46" s="23">
        <v>69</v>
      </c>
      <c r="G46" s="23">
        <v>53</v>
      </c>
      <c r="H46" s="23">
        <v>49</v>
      </c>
      <c r="I46" s="23">
        <v>100</v>
      </c>
      <c r="J46" s="23">
        <v>105</v>
      </c>
      <c r="K46" s="23">
        <v>96</v>
      </c>
      <c r="L46" s="23">
        <v>78</v>
      </c>
      <c r="M46" s="23">
        <v>40</v>
      </c>
      <c r="N46" s="23">
        <v>33.6</v>
      </c>
      <c r="O46" s="23">
        <v>2</v>
      </c>
      <c r="P46" s="23">
        <v>9</v>
      </c>
      <c r="Q46" s="23">
        <v>3</v>
      </c>
      <c r="R46">
        <f t="shared" si="0"/>
        <v>0</v>
      </c>
      <c r="S46" s="23">
        <v>0</v>
      </c>
      <c r="T46" s="23">
        <v>0</v>
      </c>
      <c r="U46" s="23">
        <v>0</v>
      </c>
      <c r="V46" s="23">
        <v>0</v>
      </c>
      <c r="W46" s="23">
        <v>25</v>
      </c>
      <c r="X46" s="23">
        <v>30</v>
      </c>
      <c r="Y46" s="23">
        <v>0.8</v>
      </c>
      <c r="Z46" s="23">
        <v>1.5</v>
      </c>
      <c r="AA46" s="23">
        <v>110571</v>
      </c>
      <c r="AB46" s="23"/>
      <c r="AC46" s="2" t="s">
        <v>253</v>
      </c>
    </row>
    <row r="47" spans="1:28">
      <c r="A47" s="2">
        <v>11059</v>
      </c>
      <c r="B47" t="s">
        <v>131</v>
      </c>
      <c r="C47" t="s">
        <v>255</v>
      </c>
      <c r="D47" s="2" t="s">
        <v>34</v>
      </c>
      <c r="E47" s="23">
        <v>48</v>
      </c>
      <c r="F47" s="23">
        <v>71</v>
      </c>
      <c r="G47" s="23">
        <v>0</v>
      </c>
      <c r="H47" s="23">
        <v>57</v>
      </c>
      <c r="I47" s="23">
        <v>85</v>
      </c>
      <c r="J47" s="23">
        <v>80</v>
      </c>
      <c r="K47" s="23">
        <v>97</v>
      </c>
      <c r="L47" s="23">
        <v>78</v>
      </c>
      <c r="M47" s="23">
        <v>55</v>
      </c>
      <c r="N47" s="23">
        <v>31.5</v>
      </c>
      <c r="O47" s="23">
        <v>2</v>
      </c>
      <c r="P47" s="23">
        <v>15</v>
      </c>
      <c r="Q47" s="23">
        <v>3</v>
      </c>
      <c r="R47">
        <f t="shared" si="0"/>
        <v>12</v>
      </c>
      <c r="S47" s="23">
        <v>4</v>
      </c>
      <c r="T47" s="23">
        <v>4</v>
      </c>
      <c r="U47" s="23">
        <v>4</v>
      </c>
      <c r="V47" s="23">
        <v>0</v>
      </c>
      <c r="W47" s="23">
        <v>30</v>
      </c>
      <c r="X47" s="23">
        <v>35</v>
      </c>
      <c r="Y47" s="23">
        <v>0.8</v>
      </c>
      <c r="Z47" s="23">
        <v>1.5</v>
      </c>
      <c r="AA47" s="23">
        <v>110591</v>
      </c>
      <c r="AB47" s="23">
        <v>110592</v>
      </c>
    </row>
    <row r="48" spans="1:27">
      <c r="A48" s="2">
        <v>11062</v>
      </c>
      <c r="B48" t="s">
        <v>256</v>
      </c>
      <c r="C48" t="s">
        <v>257</v>
      </c>
      <c r="D48" t="s">
        <v>39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31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7">
      <c r="A49" s="2">
        <v>11063</v>
      </c>
      <c r="B49" t="s">
        <v>256</v>
      </c>
      <c r="C49" t="s">
        <v>258</v>
      </c>
      <c r="D49" t="s">
        <v>39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31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2">
        <v>11064</v>
      </c>
      <c r="B50" t="s">
        <v>259</v>
      </c>
      <c r="C50" t="s">
        <v>260</v>
      </c>
      <c r="D50" s="2" t="s">
        <v>31</v>
      </c>
      <c r="E50" s="23">
        <v>30</v>
      </c>
      <c r="F50" s="23">
        <v>37</v>
      </c>
      <c r="G50" s="23">
        <v>91</v>
      </c>
      <c r="H50" s="23">
        <v>37</v>
      </c>
      <c r="I50" s="23">
        <v>46</v>
      </c>
      <c r="J50" s="23">
        <v>64</v>
      </c>
      <c r="K50" s="23">
        <v>93</v>
      </c>
      <c r="L50" s="23">
        <v>97</v>
      </c>
      <c r="M50" s="23">
        <v>40</v>
      </c>
      <c r="N50" s="23">
        <v>37</v>
      </c>
      <c r="O50" s="23">
        <v>1</v>
      </c>
      <c r="P50" s="23">
        <v>17</v>
      </c>
      <c r="Q50" s="23">
        <v>3</v>
      </c>
      <c r="R50">
        <f t="shared" si="0"/>
        <v>0</v>
      </c>
      <c r="S50" s="23">
        <v>0</v>
      </c>
      <c r="T50" s="23">
        <v>0</v>
      </c>
      <c r="U50" s="23">
        <v>0</v>
      </c>
      <c r="V50" s="23">
        <v>0</v>
      </c>
      <c r="W50" s="23">
        <v>20</v>
      </c>
      <c r="X50" s="23">
        <v>30</v>
      </c>
      <c r="Y50" s="23">
        <v>0.8</v>
      </c>
      <c r="Z50" s="23">
        <v>1.5</v>
      </c>
      <c r="AA50" s="23">
        <v>110641</v>
      </c>
      <c r="AB50" s="23">
        <v>110642</v>
      </c>
      <c r="AC50" s="2" t="s">
        <v>261</v>
      </c>
    </row>
    <row r="51" spans="1:29">
      <c r="A51" s="2">
        <v>11065</v>
      </c>
      <c r="B51" t="s">
        <v>259</v>
      </c>
      <c r="C51" t="s">
        <v>262</v>
      </c>
      <c r="D51" s="2" t="s">
        <v>31</v>
      </c>
      <c r="E51" s="23">
        <v>30</v>
      </c>
      <c r="F51" s="23">
        <v>37</v>
      </c>
      <c r="G51" s="23">
        <v>91</v>
      </c>
      <c r="H51" s="23">
        <v>37</v>
      </c>
      <c r="I51" s="23">
        <v>46</v>
      </c>
      <c r="J51" s="23">
        <v>64</v>
      </c>
      <c r="K51" s="23">
        <v>92</v>
      </c>
      <c r="L51" s="23">
        <v>97</v>
      </c>
      <c r="M51" s="23">
        <v>40</v>
      </c>
      <c r="N51" s="23">
        <v>37</v>
      </c>
      <c r="O51" s="23">
        <v>1</v>
      </c>
      <c r="P51" s="23">
        <v>10</v>
      </c>
      <c r="Q51" s="23">
        <v>3</v>
      </c>
      <c r="R51">
        <f t="shared" si="0"/>
        <v>0</v>
      </c>
      <c r="S51" s="23">
        <v>0</v>
      </c>
      <c r="T51" s="23">
        <v>0</v>
      </c>
      <c r="U51" s="23">
        <v>0</v>
      </c>
      <c r="V51" s="23">
        <v>0</v>
      </c>
      <c r="W51" s="23">
        <v>20</v>
      </c>
      <c r="X51" s="23">
        <v>25</v>
      </c>
      <c r="Y51" s="23">
        <v>0.8</v>
      </c>
      <c r="Z51" s="23">
        <v>1.65</v>
      </c>
      <c r="AA51" s="23">
        <v>110651</v>
      </c>
      <c r="AB51" s="23"/>
      <c r="AC51" s="2" t="s">
        <v>261</v>
      </c>
    </row>
    <row r="52" spans="1:29">
      <c r="A52" s="2">
        <v>11066</v>
      </c>
      <c r="B52" t="s">
        <v>259</v>
      </c>
      <c r="C52" t="s">
        <v>263</v>
      </c>
      <c r="D52" s="2" t="s">
        <v>31</v>
      </c>
      <c r="E52" s="23">
        <v>30</v>
      </c>
      <c r="F52" s="23">
        <v>37</v>
      </c>
      <c r="G52" s="23">
        <v>91</v>
      </c>
      <c r="H52" s="23">
        <v>37</v>
      </c>
      <c r="I52" s="23">
        <v>46</v>
      </c>
      <c r="J52" s="23">
        <v>64</v>
      </c>
      <c r="K52" s="23">
        <v>92</v>
      </c>
      <c r="L52" s="23">
        <v>97</v>
      </c>
      <c r="M52" s="23">
        <v>40</v>
      </c>
      <c r="N52" s="23">
        <v>37</v>
      </c>
      <c r="O52" s="23">
        <v>1</v>
      </c>
      <c r="P52" s="23">
        <v>9</v>
      </c>
      <c r="Q52" s="23">
        <v>3</v>
      </c>
      <c r="R52">
        <f t="shared" si="0"/>
        <v>0</v>
      </c>
      <c r="S52" s="23">
        <v>0</v>
      </c>
      <c r="T52" s="23">
        <v>0</v>
      </c>
      <c r="U52" s="23">
        <v>0</v>
      </c>
      <c r="V52" s="23">
        <v>0</v>
      </c>
      <c r="W52" s="23">
        <v>20</v>
      </c>
      <c r="X52" s="23">
        <v>25</v>
      </c>
      <c r="Y52" s="23">
        <v>0.8</v>
      </c>
      <c r="Z52" s="23">
        <v>1.65</v>
      </c>
      <c r="AA52" s="23">
        <v>110661</v>
      </c>
      <c r="AB52" s="23"/>
      <c r="AC52" s="2" t="s">
        <v>261</v>
      </c>
    </row>
    <row r="53" spans="1:29">
      <c r="A53" s="2">
        <v>11067</v>
      </c>
      <c r="B53" t="s">
        <v>259</v>
      </c>
      <c r="C53" t="s">
        <v>264</v>
      </c>
      <c r="D53" s="2" t="s">
        <v>31</v>
      </c>
      <c r="E53" s="23">
        <v>30</v>
      </c>
      <c r="F53" s="23">
        <v>37</v>
      </c>
      <c r="G53" s="23">
        <v>91</v>
      </c>
      <c r="H53" s="23">
        <v>37</v>
      </c>
      <c r="I53" s="23">
        <v>46</v>
      </c>
      <c r="J53" s="23">
        <v>64</v>
      </c>
      <c r="K53" s="23">
        <v>92</v>
      </c>
      <c r="L53" s="23">
        <v>92</v>
      </c>
      <c r="M53" s="23">
        <v>40</v>
      </c>
      <c r="N53" s="23">
        <v>37</v>
      </c>
      <c r="O53" s="23">
        <v>1</v>
      </c>
      <c r="P53" s="23">
        <v>10</v>
      </c>
      <c r="Q53" s="23">
        <v>3</v>
      </c>
      <c r="R53">
        <f t="shared" si="0"/>
        <v>0</v>
      </c>
      <c r="S53" s="23">
        <v>0</v>
      </c>
      <c r="T53" s="23">
        <v>0</v>
      </c>
      <c r="U53" s="23">
        <v>0</v>
      </c>
      <c r="V53" s="23">
        <v>0</v>
      </c>
      <c r="W53" s="23">
        <v>20</v>
      </c>
      <c r="X53" s="23">
        <v>25</v>
      </c>
      <c r="Y53" s="23">
        <v>0.8</v>
      </c>
      <c r="Z53" s="23">
        <v>1.65</v>
      </c>
      <c r="AA53" s="23">
        <v>110671</v>
      </c>
      <c r="AB53" s="23"/>
      <c r="AC53" s="2" t="s">
        <v>261</v>
      </c>
    </row>
    <row r="54" spans="1:29">
      <c r="A54" s="2">
        <v>11068</v>
      </c>
      <c r="B54" t="s">
        <v>259</v>
      </c>
      <c r="C54" t="s">
        <v>265</v>
      </c>
      <c r="D54" s="2" t="s">
        <v>31</v>
      </c>
      <c r="E54" s="23">
        <v>30</v>
      </c>
      <c r="F54" s="23">
        <v>37</v>
      </c>
      <c r="G54" s="23">
        <v>91</v>
      </c>
      <c r="H54" s="23">
        <v>38</v>
      </c>
      <c r="I54" s="23">
        <v>43</v>
      </c>
      <c r="J54" s="23">
        <v>69</v>
      </c>
      <c r="K54" s="23">
        <v>93</v>
      </c>
      <c r="L54" s="23">
        <v>97</v>
      </c>
      <c r="M54" s="23">
        <v>34</v>
      </c>
      <c r="N54" s="23">
        <v>38</v>
      </c>
      <c r="O54" s="23">
        <v>1</v>
      </c>
      <c r="P54" s="23">
        <v>12</v>
      </c>
      <c r="Q54" s="23">
        <v>3</v>
      </c>
      <c r="R54">
        <f t="shared" si="0"/>
        <v>0</v>
      </c>
      <c r="S54" s="23">
        <v>0</v>
      </c>
      <c r="T54" s="23">
        <v>0</v>
      </c>
      <c r="U54" s="23">
        <v>0</v>
      </c>
      <c r="V54" s="23">
        <v>0</v>
      </c>
      <c r="W54" s="23">
        <v>15</v>
      </c>
      <c r="X54" s="23">
        <v>20</v>
      </c>
      <c r="Y54" s="23">
        <v>0.48</v>
      </c>
      <c r="Z54" s="23">
        <v>0.9</v>
      </c>
      <c r="AA54" s="23">
        <v>110681</v>
      </c>
      <c r="AB54" s="23"/>
      <c r="AC54" s="2" t="s">
        <v>261</v>
      </c>
    </row>
    <row r="55" spans="1:29">
      <c r="A55" s="2">
        <v>11069</v>
      </c>
      <c r="B55" t="s">
        <v>259</v>
      </c>
      <c r="C55" t="s">
        <v>266</v>
      </c>
      <c r="D55" s="2" t="s">
        <v>72</v>
      </c>
      <c r="E55" s="23">
        <v>35</v>
      </c>
      <c r="F55" s="23">
        <v>38</v>
      </c>
      <c r="G55" s="23">
        <v>80</v>
      </c>
      <c r="H55" s="23">
        <v>40</v>
      </c>
      <c r="I55" s="23">
        <v>48</v>
      </c>
      <c r="J55" s="23">
        <v>74</v>
      </c>
      <c r="K55" s="23">
        <v>93</v>
      </c>
      <c r="L55" s="23">
        <v>97</v>
      </c>
      <c r="M55" s="23">
        <v>33</v>
      </c>
      <c r="N55" s="23">
        <v>38</v>
      </c>
      <c r="O55" s="23">
        <v>1</v>
      </c>
      <c r="P55" s="23">
        <v>25</v>
      </c>
      <c r="Q55" s="23">
        <v>3</v>
      </c>
      <c r="R55">
        <f t="shared" si="0"/>
        <v>0</v>
      </c>
      <c r="S55" s="23">
        <v>0</v>
      </c>
      <c r="T55" s="23">
        <v>0</v>
      </c>
      <c r="U55" s="23">
        <v>0</v>
      </c>
      <c r="V55" s="23">
        <v>0</v>
      </c>
      <c r="W55" s="23">
        <v>15</v>
      </c>
      <c r="X55" s="23">
        <v>20</v>
      </c>
      <c r="Y55" s="23">
        <v>0.48</v>
      </c>
      <c r="Z55" s="23">
        <v>0.9</v>
      </c>
      <c r="AA55" s="23">
        <v>110691</v>
      </c>
      <c r="AB55" s="23"/>
      <c r="AC55" s="2" t="s">
        <v>261</v>
      </c>
    </row>
    <row r="56" spans="1:29">
      <c r="A56" s="2">
        <v>11070</v>
      </c>
      <c r="B56" t="s">
        <v>259</v>
      </c>
      <c r="C56" t="s">
        <v>267</v>
      </c>
      <c r="D56" s="2" t="s">
        <v>31</v>
      </c>
      <c r="E56" s="23">
        <v>30</v>
      </c>
      <c r="F56" s="23">
        <v>37</v>
      </c>
      <c r="G56" s="23">
        <v>91</v>
      </c>
      <c r="H56" s="23">
        <v>38</v>
      </c>
      <c r="I56" s="23">
        <v>43</v>
      </c>
      <c r="J56" s="23">
        <v>69</v>
      </c>
      <c r="K56" s="23">
        <v>93</v>
      </c>
      <c r="L56" s="23">
        <v>97</v>
      </c>
      <c r="M56" s="23">
        <v>40</v>
      </c>
      <c r="N56" s="23">
        <v>38</v>
      </c>
      <c r="O56" s="23">
        <v>1</v>
      </c>
      <c r="P56" s="23">
        <v>12</v>
      </c>
      <c r="Q56" s="23">
        <v>3</v>
      </c>
      <c r="R56">
        <f t="shared" si="0"/>
        <v>0</v>
      </c>
      <c r="S56" s="23">
        <v>0</v>
      </c>
      <c r="T56" s="23">
        <v>0</v>
      </c>
      <c r="U56" s="23">
        <v>0</v>
      </c>
      <c r="V56" s="23">
        <v>0</v>
      </c>
      <c r="W56" s="23">
        <v>15</v>
      </c>
      <c r="X56" s="23">
        <v>20</v>
      </c>
      <c r="Y56" s="23">
        <v>0.48</v>
      </c>
      <c r="Z56" s="23">
        <v>0.9</v>
      </c>
      <c r="AA56" s="23">
        <v>110701</v>
      </c>
      <c r="AB56" s="23"/>
      <c r="AC56" s="2" t="s">
        <v>261</v>
      </c>
    </row>
    <row r="57" spans="1:29">
      <c r="A57" s="2">
        <v>11071</v>
      </c>
      <c r="B57" t="s">
        <v>259</v>
      </c>
      <c r="C57" t="s">
        <v>268</v>
      </c>
      <c r="D57" s="2" t="s">
        <v>31</v>
      </c>
      <c r="E57" s="23">
        <v>30</v>
      </c>
      <c r="F57" s="23">
        <v>37</v>
      </c>
      <c r="G57" s="23">
        <v>91</v>
      </c>
      <c r="H57" s="23">
        <v>38</v>
      </c>
      <c r="I57" s="23">
        <v>43</v>
      </c>
      <c r="J57" s="23">
        <v>69</v>
      </c>
      <c r="K57" s="23">
        <v>93</v>
      </c>
      <c r="L57" s="23">
        <v>97</v>
      </c>
      <c r="M57" s="23">
        <v>40</v>
      </c>
      <c r="N57" s="23">
        <v>38</v>
      </c>
      <c r="O57" s="23">
        <v>1</v>
      </c>
      <c r="P57" s="23">
        <v>10</v>
      </c>
      <c r="Q57" s="23">
        <v>3</v>
      </c>
      <c r="R57">
        <f t="shared" si="0"/>
        <v>0</v>
      </c>
      <c r="S57" s="23">
        <v>0</v>
      </c>
      <c r="T57" s="23">
        <v>0</v>
      </c>
      <c r="U57" s="23">
        <v>0</v>
      </c>
      <c r="V57" s="23">
        <v>0</v>
      </c>
      <c r="W57" s="23">
        <v>15</v>
      </c>
      <c r="X57" s="23">
        <v>20</v>
      </c>
      <c r="Y57" s="23">
        <v>0.48</v>
      </c>
      <c r="Z57" s="23">
        <v>0.9</v>
      </c>
      <c r="AA57" s="23">
        <v>110711</v>
      </c>
      <c r="AB57" s="23"/>
      <c r="AC57" s="2" t="s">
        <v>261</v>
      </c>
    </row>
    <row r="58" spans="1:29">
      <c r="A58" s="2">
        <v>11072</v>
      </c>
      <c r="B58" t="s">
        <v>259</v>
      </c>
      <c r="C58" t="s">
        <v>269</v>
      </c>
      <c r="D58" s="2" t="s">
        <v>31</v>
      </c>
      <c r="E58" s="23">
        <v>30</v>
      </c>
      <c r="F58" s="23">
        <v>40</v>
      </c>
      <c r="G58" s="23">
        <v>95</v>
      </c>
      <c r="H58" s="23">
        <v>38</v>
      </c>
      <c r="I58" s="23">
        <v>48</v>
      </c>
      <c r="J58" s="23">
        <v>64</v>
      </c>
      <c r="K58" s="23">
        <v>93</v>
      </c>
      <c r="L58" s="23">
        <v>97</v>
      </c>
      <c r="M58" s="23">
        <v>41</v>
      </c>
      <c r="N58" s="23">
        <v>38</v>
      </c>
      <c r="O58" s="23">
        <v>1</v>
      </c>
      <c r="P58" s="23">
        <v>10</v>
      </c>
      <c r="Q58" s="23">
        <v>3</v>
      </c>
      <c r="R58">
        <f t="shared" si="0"/>
        <v>0</v>
      </c>
      <c r="S58" s="23">
        <v>0</v>
      </c>
      <c r="T58" s="23">
        <v>0</v>
      </c>
      <c r="U58" s="23">
        <v>0</v>
      </c>
      <c r="V58" s="23">
        <v>0</v>
      </c>
      <c r="W58" s="23">
        <v>15</v>
      </c>
      <c r="X58" s="23">
        <v>20</v>
      </c>
      <c r="Y58" s="23">
        <v>0.48</v>
      </c>
      <c r="Z58" s="23">
        <v>0.9</v>
      </c>
      <c r="AA58" s="23">
        <v>110721</v>
      </c>
      <c r="AB58" s="23"/>
      <c r="AC58" s="2" t="s">
        <v>261</v>
      </c>
    </row>
    <row r="59" spans="1:29">
      <c r="A59" s="2">
        <v>11073</v>
      </c>
      <c r="B59" t="s">
        <v>259</v>
      </c>
      <c r="C59" t="s">
        <v>270</v>
      </c>
      <c r="D59" s="2" t="s">
        <v>31</v>
      </c>
      <c r="E59" s="23">
        <v>30</v>
      </c>
      <c r="F59" s="23">
        <v>37</v>
      </c>
      <c r="G59" s="23">
        <v>91</v>
      </c>
      <c r="H59" s="23">
        <v>38</v>
      </c>
      <c r="I59" s="23">
        <v>48</v>
      </c>
      <c r="J59" s="23">
        <v>64</v>
      </c>
      <c r="K59" s="23">
        <v>92</v>
      </c>
      <c r="L59" s="23">
        <v>97</v>
      </c>
      <c r="M59" s="23">
        <v>40</v>
      </c>
      <c r="N59" s="23">
        <v>38</v>
      </c>
      <c r="O59" s="23">
        <v>1</v>
      </c>
      <c r="P59" s="23">
        <v>10</v>
      </c>
      <c r="Q59" s="23">
        <v>3</v>
      </c>
      <c r="R59">
        <f t="shared" si="0"/>
        <v>0</v>
      </c>
      <c r="S59" s="23">
        <v>0</v>
      </c>
      <c r="T59" s="23">
        <v>0</v>
      </c>
      <c r="U59" s="23">
        <v>0</v>
      </c>
      <c r="V59" s="23">
        <v>0</v>
      </c>
      <c r="W59" s="23">
        <v>15</v>
      </c>
      <c r="X59" s="23">
        <v>20</v>
      </c>
      <c r="Y59" s="23">
        <v>0.48</v>
      </c>
      <c r="Z59" s="23">
        <v>0.9</v>
      </c>
      <c r="AA59" s="23">
        <v>110701</v>
      </c>
      <c r="AB59" s="23"/>
      <c r="AC59" s="2" t="s">
        <v>261</v>
      </c>
    </row>
    <row r="60" spans="1:29">
      <c r="A60" s="2">
        <v>11074</v>
      </c>
      <c r="B60" t="s">
        <v>259</v>
      </c>
      <c r="C60" t="s">
        <v>271</v>
      </c>
      <c r="D60" s="2" t="s">
        <v>47</v>
      </c>
      <c r="E60" s="23">
        <v>38</v>
      </c>
      <c r="F60" s="23">
        <v>38</v>
      </c>
      <c r="G60" s="23">
        <v>79</v>
      </c>
      <c r="H60" s="23">
        <v>40</v>
      </c>
      <c r="I60" s="23">
        <v>46</v>
      </c>
      <c r="J60" s="23">
        <v>66</v>
      </c>
      <c r="K60" s="23">
        <v>93</v>
      </c>
      <c r="L60" s="23">
        <v>92</v>
      </c>
      <c r="M60" s="23">
        <v>35</v>
      </c>
      <c r="N60" s="23">
        <v>38.2</v>
      </c>
      <c r="O60" s="23">
        <v>1</v>
      </c>
      <c r="P60" s="23">
        <v>15</v>
      </c>
      <c r="Q60" s="23">
        <v>3</v>
      </c>
      <c r="R60">
        <f t="shared" si="0"/>
        <v>0</v>
      </c>
      <c r="S60" s="23">
        <v>0</v>
      </c>
      <c r="T60" s="23">
        <v>0</v>
      </c>
      <c r="U60" s="23">
        <v>0</v>
      </c>
      <c r="V60" s="23">
        <v>0</v>
      </c>
      <c r="W60" s="23">
        <v>10</v>
      </c>
      <c r="X60" s="23">
        <v>20</v>
      </c>
      <c r="Y60" s="23">
        <v>0.48</v>
      </c>
      <c r="Z60" s="23">
        <v>0.99</v>
      </c>
      <c r="AA60" s="23">
        <v>110741</v>
      </c>
      <c r="AB60" s="23"/>
      <c r="AC60" s="2" t="s">
        <v>272</v>
      </c>
    </row>
    <row r="61" spans="1:29">
      <c r="A61" s="2">
        <v>11075</v>
      </c>
      <c r="B61" t="s">
        <v>259</v>
      </c>
      <c r="C61" t="s">
        <v>273</v>
      </c>
      <c r="D61" s="2" t="s">
        <v>47</v>
      </c>
      <c r="E61" s="23">
        <v>38</v>
      </c>
      <c r="F61" s="23">
        <v>38</v>
      </c>
      <c r="G61" s="23">
        <v>79</v>
      </c>
      <c r="H61" s="23">
        <v>40</v>
      </c>
      <c r="I61" s="23">
        <v>46</v>
      </c>
      <c r="J61" s="23">
        <v>66</v>
      </c>
      <c r="K61" s="23">
        <v>93</v>
      </c>
      <c r="L61" s="23">
        <v>92</v>
      </c>
      <c r="M61" s="23">
        <v>33</v>
      </c>
      <c r="N61" s="23">
        <v>38.2</v>
      </c>
      <c r="O61" s="23">
        <v>1</v>
      </c>
      <c r="P61" s="23">
        <v>10</v>
      </c>
      <c r="Q61" s="23">
        <v>3</v>
      </c>
      <c r="R61">
        <f t="shared" si="0"/>
        <v>0</v>
      </c>
      <c r="S61" s="23">
        <v>0</v>
      </c>
      <c r="T61" s="23">
        <v>0</v>
      </c>
      <c r="U61" s="23">
        <v>0</v>
      </c>
      <c r="V61" s="23">
        <v>0</v>
      </c>
      <c r="W61" s="23">
        <v>10</v>
      </c>
      <c r="X61" s="23">
        <v>20</v>
      </c>
      <c r="Y61" s="23">
        <v>0.48</v>
      </c>
      <c r="Z61" s="23">
        <v>0.99</v>
      </c>
      <c r="AA61" s="23">
        <v>110751</v>
      </c>
      <c r="AB61" s="23">
        <v>110752</v>
      </c>
      <c r="AC61" s="2" t="s">
        <v>272</v>
      </c>
    </row>
    <row r="62" spans="1:29">
      <c r="A62" s="2">
        <v>11076</v>
      </c>
      <c r="B62" t="s">
        <v>259</v>
      </c>
      <c r="C62" t="s">
        <v>274</v>
      </c>
      <c r="D62" s="2" t="s">
        <v>47</v>
      </c>
      <c r="E62" s="23">
        <v>40</v>
      </c>
      <c r="F62" s="23">
        <v>40</v>
      </c>
      <c r="G62" s="23">
        <v>81</v>
      </c>
      <c r="H62" s="23">
        <v>41</v>
      </c>
      <c r="I62" s="23">
        <v>45</v>
      </c>
      <c r="J62" s="23">
        <v>66</v>
      </c>
      <c r="K62" s="23">
        <v>93</v>
      </c>
      <c r="L62" s="23">
        <v>92</v>
      </c>
      <c r="M62" s="23">
        <v>35</v>
      </c>
      <c r="N62" s="23">
        <v>38.5</v>
      </c>
      <c r="O62" s="23">
        <v>1</v>
      </c>
      <c r="P62" s="23">
        <v>10</v>
      </c>
      <c r="Q62" s="23">
        <v>3</v>
      </c>
      <c r="R62">
        <f t="shared" si="0"/>
        <v>0</v>
      </c>
      <c r="S62" s="23">
        <v>0</v>
      </c>
      <c r="T62" s="23">
        <v>0</v>
      </c>
      <c r="U62" s="23">
        <v>0</v>
      </c>
      <c r="V62" s="23">
        <v>0</v>
      </c>
      <c r="W62" s="23">
        <v>10</v>
      </c>
      <c r="X62" s="23">
        <v>20</v>
      </c>
      <c r="Y62" s="23">
        <v>0.48</v>
      </c>
      <c r="Z62" s="23">
        <v>0.99</v>
      </c>
      <c r="AA62" s="23">
        <v>110761</v>
      </c>
      <c r="AB62" s="23"/>
      <c r="AC62" s="2" t="s">
        <v>272</v>
      </c>
    </row>
    <row r="63" spans="1:29">
      <c r="A63" s="2">
        <v>11077</v>
      </c>
      <c r="B63" t="s">
        <v>259</v>
      </c>
      <c r="C63" t="s">
        <v>275</v>
      </c>
      <c r="D63" s="2" t="s">
        <v>47</v>
      </c>
      <c r="E63" s="23">
        <v>40</v>
      </c>
      <c r="F63" s="23">
        <v>40</v>
      </c>
      <c r="G63" s="23">
        <v>81</v>
      </c>
      <c r="H63" s="23">
        <v>41</v>
      </c>
      <c r="I63" s="23">
        <v>47</v>
      </c>
      <c r="J63" s="23">
        <v>66</v>
      </c>
      <c r="K63" s="23">
        <v>93</v>
      </c>
      <c r="L63" s="23">
        <v>92</v>
      </c>
      <c r="M63" s="23">
        <v>35</v>
      </c>
      <c r="N63" s="23">
        <v>38.5</v>
      </c>
      <c r="O63" s="23">
        <v>1</v>
      </c>
      <c r="P63" s="23">
        <v>10</v>
      </c>
      <c r="Q63" s="23">
        <v>3</v>
      </c>
      <c r="R63">
        <f t="shared" si="0"/>
        <v>0</v>
      </c>
      <c r="S63" s="23">
        <v>0</v>
      </c>
      <c r="T63" s="23">
        <v>0</v>
      </c>
      <c r="U63" s="23">
        <v>0</v>
      </c>
      <c r="V63" s="23">
        <v>0</v>
      </c>
      <c r="W63" s="23">
        <v>10</v>
      </c>
      <c r="X63" s="23">
        <v>20</v>
      </c>
      <c r="Y63" s="23">
        <v>0.48</v>
      </c>
      <c r="Z63" s="23">
        <v>0.99</v>
      </c>
      <c r="AA63" s="23">
        <v>110771</v>
      </c>
      <c r="AB63" s="23"/>
      <c r="AC63" s="2" t="s">
        <v>272</v>
      </c>
    </row>
    <row r="64" spans="1:29">
      <c r="A64" s="2">
        <v>11079</v>
      </c>
      <c r="B64" t="s">
        <v>259</v>
      </c>
      <c r="C64" t="s">
        <v>276</v>
      </c>
      <c r="D64" s="2" t="s">
        <v>47</v>
      </c>
      <c r="E64" s="23">
        <v>40</v>
      </c>
      <c r="F64" s="23">
        <v>39</v>
      </c>
      <c r="G64" s="23">
        <v>79</v>
      </c>
      <c r="H64" s="23">
        <v>37</v>
      </c>
      <c r="I64" s="23">
        <v>53</v>
      </c>
      <c r="J64" s="23">
        <v>69</v>
      </c>
      <c r="K64" s="30">
        <v>93</v>
      </c>
      <c r="L64" s="23">
        <v>90</v>
      </c>
      <c r="M64" s="23">
        <v>41</v>
      </c>
      <c r="N64" s="23">
        <v>36</v>
      </c>
      <c r="O64" s="23">
        <v>1</v>
      </c>
      <c r="P64" s="23">
        <v>10</v>
      </c>
      <c r="Q64" s="23">
        <v>3</v>
      </c>
      <c r="R64">
        <f t="shared" si="0"/>
        <v>0</v>
      </c>
      <c r="S64" s="23">
        <v>0</v>
      </c>
      <c r="T64" s="23">
        <v>0</v>
      </c>
      <c r="U64" s="23">
        <v>0</v>
      </c>
      <c r="V64" s="23">
        <v>0</v>
      </c>
      <c r="W64" s="23">
        <v>15</v>
      </c>
      <c r="X64" s="23">
        <v>20</v>
      </c>
      <c r="Y64" s="23">
        <v>0.48</v>
      </c>
      <c r="Z64" s="23">
        <v>0.99</v>
      </c>
      <c r="AA64" s="23">
        <v>110791</v>
      </c>
      <c r="AB64" s="23"/>
      <c r="AC64" s="2" t="s">
        <v>272</v>
      </c>
    </row>
    <row r="65" spans="1:29">
      <c r="A65" s="2">
        <v>11080</v>
      </c>
      <c r="B65" t="s">
        <v>259</v>
      </c>
      <c r="C65" t="s">
        <v>277</v>
      </c>
      <c r="D65" s="2" t="s">
        <v>47</v>
      </c>
      <c r="E65" s="23">
        <v>42</v>
      </c>
      <c r="F65" s="23">
        <v>40</v>
      </c>
      <c r="G65" s="23">
        <v>79</v>
      </c>
      <c r="H65" s="23">
        <v>43</v>
      </c>
      <c r="I65" s="23">
        <v>46</v>
      </c>
      <c r="J65" s="23">
        <v>66</v>
      </c>
      <c r="K65" s="23">
        <v>93</v>
      </c>
      <c r="L65" s="23">
        <v>90</v>
      </c>
      <c r="M65" s="23">
        <v>33</v>
      </c>
      <c r="N65" s="23">
        <v>36</v>
      </c>
      <c r="O65" s="23">
        <v>1</v>
      </c>
      <c r="P65" s="23">
        <v>10</v>
      </c>
      <c r="Q65" s="23">
        <v>3</v>
      </c>
      <c r="R65">
        <f t="shared" si="0"/>
        <v>0</v>
      </c>
      <c r="S65" s="23">
        <v>0</v>
      </c>
      <c r="T65" s="23">
        <v>0</v>
      </c>
      <c r="U65" s="23">
        <v>0</v>
      </c>
      <c r="V65" s="23">
        <v>0</v>
      </c>
      <c r="W65" s="23">
        <v>10</v>
      </c>
      <c r="X65" s="23">
        <v>20</v>
      </c>
      <c r="Y65" s="23">
        <v>0.48</v>
      </c>
      <c r="Z65" s="23">
        <v>0.99</v>
      </c>
      <c r="AA65" s="23">
        <v>110801</v>
      </c>
      <c r="AB65" s="23"/>
      <c r="AC65" s="2" t="s">
        <v>272</v>
      </c>
    </row>
    <row r="66" spans="1:28">
      <c r="A66" s="2">
        <v>11081</v>
      </c>
      <c r="B66" t="s">
        <v>259</v>
      </c>
      <c r="C66" t="s">
        <v>278</v>
      </c>
      <c r="D66" s="2" t="s">
        <v>39</v>
      </c>
      <c r="E66" s="23">
        <v>28</v>
      </c>
      <c r="F66" s="23">
        <v>37</v>
      </c>
      <c r="G66" s="23">
        <v>65</v>
      </c>
      <c r="H66" s="23">
        <v>33</v>
      </c>
      <c r="I66" s="23">
        <v>60</v>
      </c>
      <c r="J66" s="23">
        <v>94</v>
      </c>
      <c r="K66" s="23">
        <v>93</v>
      </c>
      <c r="L66" s="23">
        <v>87</v>
      </c>
      <c r="M66" s="23">
        <v>34</v>
      </c>
      <c r="N66" s="23">
        <v>20</v>
      </c>
      <c r="O66" s="23">
        <v>1</v>
      </c>
      <c r="P66" s="23">
        <v>13</v>
      </c>
      <c r="Q66" s="23">
        <v>3</v>
      </c>
      <c r="R66">
        <f t="shared" ref="R66:R129" si="1">SUM($S66:$V66)</f>
        <v>0</v>
      </c>
      <c r="S66" s="23">
        <v>0</v>
      </c>
      <c r="T66" s="23">
        <v>0</v>
      </c>
      <c r="U66" s="23">
        <v>0</v>
      </c>
      <c r="V66" s="23">
        <v>0</v>
      </c>
      <c r="W66" s="23">
        <v>10</v>
      </c>
      <c r="X66" s="23">
        <v>25</v>
      </c>
      <c r="Y66" s="23">
        <v>0.48</v>
      </c>
      <c r="Z66" s="23">
        <v>0.9</v>
      </c>
      <c r="AA66" s="23">
        <v>110811</v>
      </c>
      <c r="AB66" s="23"/>
    </row>
    <row r="67" spans="1:28">
      <c r="A67" s="2">
        <v>11082</v>
      </c>
      <c r="B67" t="s">
        <v>259</v>
      </c>
      <c r="C67" t="s">
        <v>279</v>
      </c>
      <c r="D67" s="2" t="s">
        <v>39</v>
      </c>
      <c r="E67" s="23">
        <v>29</v>
      </c>
      <c r="F67" s="23">
        <v>38</v>
      </c>
      <c r="G67" s="23">
        <v>79</v>
      </c>
      <c r="H67" s="23">
        <v>47</v>
      </c>
      <c r="I67" s="23">
        <v>50</v>
      </c>
      <c r="J67" s="23">
        <v>77</v>
      </c>
      <c r="K67" s="23">
        <v>93</v>
      </c>
      <c r="L67" s="23">
        <v>90</v>
      </c>
      <c r="M67" s="23">
        <v>34</v>
      </c>
      <c r="N67" s="23">
        <v>36</v>
      </c>
      <c r="O67" s="23">
        <v>1</v>
      </c>
      <c r="P67" s="23">
        <v>8</v>
      </c>
      <c r="Q67" s="23">
        <v>3</v>
      </c>
      <c r="R67">
        <f t="shared" si="1"/>
        <v>0</v>
      </c>
      <c r="S67" s="23">
        <v>0</v>
      </c>
      <c r="T67" s="23">
        <v>0</v>
      </c>
      <c r="U67" s="23">
        <v>0</v>
      </c>
      <c r="V67" s="23">
        <v>0</v>
      </c>
      <c r="W67" s="23">
        <v>10</v>
      </c>
      <c r="X67" s="23">
        <v>25</v>
      </c>
      <c r="Y67" s="23">
        <v>0.48</v>
      </c>
      <c r="Z67" s="23">
        <v>0.9</v>
      </c>
      <c r="AA67" s="23">
        <v>110821</v>
      </c>
      <c r="AB67" s="23">
        <v>110822</v>
      </c>
    </row>
    <row r="68" spans="1:28">
      <c r="A68" s="2">
        <v>11083</v>
      </c>
      <c r="B68" t="s">
        <v>259</v>
      </c>
      <c r="C68" t="s">
        <v>280</v>
      </c>
      <c r="D68" s="2" t="s">
        <v>39</v>
      </c>
      <c r="E68" s="23">
        <v>29</v>
      </c>
      <c r="F68" s="23">
        <v>40</v>
      </c>
      <c r="G68" s="23">
        <v>79</v>
      </c>
      <c r="H68" s="23">
        <v>37</v>
      </c>
      <c r="I68" s="23">
        <v>55</v>
      </c>
      <c r="J68" s="23">
        <v>77</v>
      </c>
      <c r="K68" s="23">
        <v>92</v>
      </c>
      <c r="L68" s="23">
        <v>90</v>
      </c>
      <c r="M68" s="23">
        <v>34</v>
      </c>
      <c r="N68" s="23">
        <v>36</v>
      </c>
      <c r="O68" s="23">
        <v>1</v>
      </c>
      <c r="P68" s="23">
        <v>15</v>
      </c>
      <c r="Q68" s="23">
        <v>3</v>
      </c>
      <c r="R68">
        <f t="shared" si="1"/>
        <v>0</v>
      </c>
      <c r="S68" s="23">
        <v>0</v>
      </c>
      <c r="T68" s="23">
        <v>0</v>
      </c>
      <c r="U68" s="23">
        <v>0</v>
      </c>
      <c r="V68" s="23">
        <v>0</v>
      </c>
      <c r="W68" s="23">
        <v>10</v>
      </c>
      <c r="X68" s="23">
        <v>25</v>
      </c>
      <c r="Y68" s="23">
        <v>0.48</v>
      </c>
      <c r="Z68" s="23">
        <v>0.9</v>
      </c>
      <c r="AA68" s="23">
        <v>110831</v>
      </c>
      <c r="AB68" s="23"/>
    </row>
    <row r="69" spans="1:28">
      <c r="A69" s="2">
        <v>11084</v>
      </c>
      <c r="B69" t="s">
        <v>259</v>
      </c>
      <c r="C69" t="s">
        <v>281</v>
      </c>
      <c r="D69" s="2" t="s">
        <v>39</v>
      </c>
      <c r="E69" s="23">
        <v>29</v>
      </c>
      <c r="F69" s="23">
        <v>40</v>
      </c>
      <c r="G69" s="23">
        <v>79</v>
      </c>
      <c r="H69" s="23">
        <v>37</v>
      </c>
      <c r="I69" s="23">
        <v>55</v>
      </c>
      <c r="J69" s="23">
        <v>77</v>
      </c>
      <c r="K69" s="23">
        <v>92</v>
      </c>
      <c r="L69" s="23">
        <v>91</v>
      </c>
      <c r="M69" s="23">
        <v>34</v>
      </c>
      <c r="N69" s="23">
        <v>36</v>
      </c>
      <c r="O69" s="23">
        <v>1</v>
      </c>
      <c r="P69" s="23">
        <v>10</v>
      </c>
      <c r="Q69" s="23">
        <v>3</v>
      </c>
      <c r="R69">
        <f t="shared" si="1"/>
        <v>0</v>
      </c>
      <c r="S69" s="23">
        <v>0</v>
      </c>
      <c r="T69" s="23">
        <v>0</v>
      </c>
      <c r="U69" s="23">
        <v>0</v>
      </c>
      <c r="V69" s="23">
        <v>0</v>
      </c>
      <c r="W69" s="23">
        <v>10</v>
      </c>
      <c r="X69" s="23">
        <v>25</v>
      </c>
      <c r="Y69" s="23">
        <v>0.48</v>
      </c>
      <c r="Z69" s="23">
        <v>0.9</v>
      </c>
      <c r="AA69" s="23">
        <v>110841</v>
      </c>
      <c r="AB69" s="23"/>
    </row>
    <row r="70" spans="1:28">
      <c r="A70" s="2">
        <v>11085</v>
      </c>
      <c r="B70" t="s">
        <v>259</v>
      </c>
      <c r="C70" t="s">
        <v>282</v>
      </c>
      <c r="D70" s="2" t="s">
        <v>39</v>
      </c>
      <c r="E70" s="23">
        <v>29</v>
      </c>
      <c r="F70" s="23">
        <v>40</v>
      </c>
      <c r="G70" s="23">
        <v>79</v>
      </c>
      <c r="H70" s="23">
        <v>38</v>
      </c>
      <c r="I70" s="23">
        <v>55</v>
      </c>
      <c r="J70" s="23">
        <v>77</v>
      </c>
      <c r="K70" s="23">
        <v>93</v>
      </c>
      <c r="L70" s="23">
        <v>90</v>
      </c>
      <c r="M70" s="23">
        <v>34</v>
      </c>
      <c r="N70" s="23">
        <v>36</v>
      </c>
      <c r="O70" s="23">
        <v>1</v>
      </c>
      <c r="P70" s="23">
        <v>10</v>
      </c>
      <c r="Q70" s="23">
        <v>3</v>
      </c>
      <c r="R70">
        <f t="shared" si="1"/>
        <v>0</v>
      </c>
      <c r="S70" s="23">
        <v>0</v>
      </c>
      <c r="T70" s="23">
        <v>0</v>
      </c>
      <c r="U70" s="23">
        <v>0</v>
      </c>
      <c r="V70" s="23">
        <v>0</v>
      </c>
      <c r="W70" s="23">
        <v>10</v>
      </c>
      <c r="X70" s="23">
        <v>25</v>
      </c>
      <c r="Y70" s="23">
        <v>0.48</v>
      </c>
      <c r="Z70" s="23">
        <v>0.9</v>
      </c>
      <c r="AA70" s="23">
        <v>110851</v>
      </c>
      <c r="AB70" s="23"/>
    </row>
    <row r="71" spans="1:28">
      <c r="A71" s="2">
        <v>11086</v>
      </c>
      <c r="B71" t="s">
        <v>259</v>
      </c>
      <c r="C71" t="s">
        <v>283</v>
      </c>
      <c r="D71" s="2" t="s">
        <v>39</v>
      </c>
      <c r="E71" s="23">
        <v>32</v>
      </c>
      <c r="F71" s="23">
        <v>46</v>
      </c>
      <c r="G71" s="23">
        <v>77</v>
      </c>
      <c r="H71" s="23">
        <v>40</v>
      </c>
      <c r="I71" s="23">
        <v>60</v>
      </c>
      <c r="J71" s="23">
        <v>89</v>
      </c>
      <c r="K71" s="23">
        <v>92</v>
      </c>
      <c r="L71" s="23">
        <v>89</v>
      </c>
      <c r="M71" s="23">
        <v>37</v>
      </c>
      <c r="N71" s="23">
        <v>35.5</v>
      </c>
      <c r="O71" s="23">
        <v>1</v>
      </c>
      <c r="P71" s="23">
        <v>15</v>
      </c>
      <c r="Q71" s="23">
        <v>3</v>
      </c>
      <c r="R71">
        <f t="shared" si="1"/>
        <v>0</v>
      </c>
      <c r="S71" s="23">
        <v>0</v>
      </c>
      <c r="T71" s="23">
        <v>0</v>
      </c>
      <c r="U71" s="23">
        <v>0</v>
      </c>
      <c r="V71" s="23">
        <v>0</v>
      </c>
      <c r="W71" s="23">
        <v>10</v>
      </c>
      <c r="X71" s="23">
        <v>25</v>
      </c>
      <c r="Y71" s="23">
        <v>0.48</v>
      </c>
      <c r="Z71" s="23">
        <v>0.9</v>
      </c>
      <c r="AA71" s="23">
        <v>110861</v>
      </c>
      <c r="AB71" s="23"/>
    </row>
    <row r="72" spans="1:28">
      <c r="A72" s="2">
        <v>11087</v>
      </c>
      <c r="B72" t="s">
        <v>259</v>
      </c>
      <c r="C72" t="s">
        <v>284</v>
      </c>
      <c r="D72" s="2" t="s">
        <v>39</v>
      </c>
      <c r="E72" s="23">
        <v>32</v>
      </c>
      <c r="F72" s="23">
        <v>46</v>
      </c>
      <c r="G72" s="23">
        <v>79</v>
      </c>
      <c r="H72" s="23">
        <v>41</v>
      </c>
      <c r="I72" s="23">
        <v>65</v>
      </c>
      <c r="J72" s="23">
        <v>89</v>
      </c>
      <c r="K72" s="23">
        <v>92</v>
      </c>
      <c r="L72" s="23">
        <v>89</v>
      </c>
      <c r="M72" s="23">
        <v>37</v>
      </c>
      <c r="N72" s="23">
        <v>35.5</v>
      </c>
      <c r="O72" s="23">
        <v>1</v>
      </c>
      <c r="P72" s="23">
        <v>22</v>
      </c>
      <c r="Q72" s="23">
        <v>3</v>
      </c>
      <c r="R72">
        <f t="shared" si="1"/>
        <v>0</v>
      </c>
      <c r="S72" s="23">
        <v>0</v>
      </c>
      <c r="T72" s="23">
        <v>0</v>
      </c>
      <c r="U72" s="23">
        <v>0</v>
      </c>
      <c r="V72" s="23">
        <v>0</v>
      </c>
      <c r="W72" s="23">
        <v>10</v>
      </c>
      <c r="X72" s="23">
        <v>25</v>
      </c>
      <c r="Y72" s="23">
        <v>0.48</v>
      </c>
      <c r="Z72" s="23">
        <v>0.9</v>
      </c>
      <c r="AA72" s="23">
        <v>110871</v>
      </c>
      <c r="AB72" s="23"/>
    </row>
    <row r="73" spans="1:28">
      <c r="A73" s="2">
        <v>11088</v>
      </c>
      <c r="B73" t="s">
        <v>259</v>
      </c>
      <c r="C73" t="s">
        <v>285</v>
      </c>
      <c r="D73" s="2" t="s">
        <v>39</v>
      </c>
      <c r="E73" s="23">
        <v>32</v>
      </c>
      <c r="F73" s="23">
        <v>46</v>
      </c>
      <c r="G73" s="23">
        <v>77</v>
      </c>
      <c r="H73" s="23">
        <v>40</v>
      </c>
      <c r="I73" s="23">
        <v>62</v>
      </c>
      <c r="J73" s="23">
        <v>89</v>
      </c>
      <c r="K73" s="23">
        <v>92</v>
      </c>
      <c r="L73" s="23">
        <v>89</v>
      </c>
      <c r="M73" s="23">
        <v>37</v>
      </c>
      <c r="N73" s="23">
        <v>35.5</v>
      </c>
      <c r="O73" s="23">
        <v>1</v>
      </c>
      <c r="P73" s="23">
        <v>10</v>
      </c>
      <c r="Q73" s="23">
        <v>3</v>
      </c>
      <c r="R73">
        <f t="shared" si="1"/>
        <v>0</v>
      </c>
      <c r="S73" s="23">
        <v>0</v>
      </c>
      <c r="T73" s="23">
        <v>0</v>
      </c>
      <c r="U73" s="23">
        <v>0</v>
      </c>
      <c r="V73" s="23">
        <v>0</v>
      </c>
      <c r="W73" s="23">
        <v>10</v>
      </c>
      <c r="X73" s="23">
        <v>25</v>
      </c>
      <c r="Y73" s="23">
        <v>0.48</v>
      </c>
      <c r="Z73" s="23">
        <v>0.9</v>
      </c>
      <c r="AA73" s="23">
        <v>110881</v>
      </c>
      <c r="AB73" s="23"/>
    </row>
    <row r="74" spans="1:28">
      <c r="A74" s="2">
        <v>11089</v>
      </c>
      <c r="B74" t="s">
        <v>259</v>
      </c>
      <c r="C74" t="s">
        <v>286</v>
      </c>
      <c r="D74" s="2" t="s">
        <v>34</v>
      </c>
      <c r="E74" s="23">
        <v>32</v>
      </c>
      <c r="F74" s="23">
        <v>41</v>
      </c>
      <c r="G74" s="23">
        <v>83</v>
      </c>
      <c r="H74" s="23">
        <v>39</v>
      </c>
      <c r="I74" s="23">
        <v>80</v>
      </c>
      <c r="J74" s="23">
        <v>84</v>
      </c>
      <c r="K74" s="23">
        <v>93</v>
      </c>
      <c r="L74" s="23">
        <v>91</v>
      </c>
      <c r="M74" s="23">
        <v>37</v>
      </c>
      <c r="N74" s="23">
        <v>37</v>
      </c>
      <c r="O74" s="23">
        <v>1</v>
      </c>
      <c r="P74" s="23">
        <v>22</v>
      </c>
      <c r="Q74" s="23">
        <v>3</v>
      </c>
      <c r="R74">
        <f t="shared" si="1"/>
        <v>0</v>
      </c>
      <c r="S74" s="23">
        <v>0</v>
      </c>
      <c r="T74" s="23">
        <v>0</v>
      </c>
      <c r="U74" s="23">
        <v>0</v>
      </c>
      <c r="V74" s="23">
        <v>0</v>
      </c>
      <c r="W74" s="23">
        <v>15</v>
      </c>
      <c r="X74" s="23">
        <v>25</v>
      </c>
      <c r="Y74" s="23">
        <v>0.48</v>
      </c>
      <c r="Z74" s="23">
        <v>0.9</v>
      </c>
      <c r="AA74" s="23">
        <v>110891</v>
      </c>
      <c r="AB74" s="23"/>
    </row>
    <row r="75" spans="1:28">
      <c r="A75" s="2">
        <v>11092</v>
      </c>
      <c r="B75" t="s">
        <v>259</v>
      </c>
      <c r="C75" t="s">
        <v>287</v>
      </c>
      <c r="D75" s="2" t="s">
        <v>34</v>
      </c>
      <c r="E75" s="23">
        <v>32</v>
      </c>
      <c r="F75" s="23">
        <v>41</v>
      </c>
      <c r="G75" s="23">
        <v>83</v>
      </c>
      <c r="H75" s="23">
        <v>39</v>
      </c>
      <c r="I75" s="23">
        <v>85</v>
      </c>
      <c r="J75" s="23">
        <v>115</v>
      </c>
      <c r="K75" s="23">
        <v>92</v>
      </c>
      <c r="L75" s="23">
        <v>91</v>
      </c>
      <c r="M75" s="23">
        <v>43</v>
      </c>
      <c r="N75" s="23">
        <v>37</v>
      </c>
      <c r="O75" s="23">
        <v>1</v>
      </c>
      <c r="P75" s="23">
        <v>20</v>
      </c>
      <c r="Q75" s="23">
        <v>3</v>
      </c>
      <c r="R75">
        <f t="shared" si="1"/>
        <v>0</v>
      </c>
      <c r="S75" s="23">
        <v>0</v>
      </c>
      <c r="T75" s="23">
        <v>0</v>
      </c>
      <c r="U75" s="23">
        <v>0</v>
      </c>
      <c r="V75" s="23">
        <v>0</v>
      </c>
      <c r="W75" s="23">
        <v>15</v>
      </c>
      <c r="X75" s="23">
        <v>25</v>
      </c>
      <c r="Y75" s="23">
        <v>0.48</v>
      </c>
      <c r="Z75" s="23">
        <v>0.9</v>
      </c>
      <c r="AA75" s="23">
        <v>110921</v>
      </c>
      <c r="AB75" s="23"/>
    </row>
    <row r="76" spans="1:28">
      <c r="A76" s="2">
        <v>11093</v>
      </c>
      <c r="B76" t="s">
        <v>259</v>
      </c>
      <c r="C76" t="s">
        <v>288</v>
      </c>
      <c r="D76" s="2" t="s">
        <v>34</v>
      </c>
      <c r="E76" s="23">
        <v>35</v>
      </c>
      <c r="F76" s="23">
        <v>43</v>
      </c>
      <c r="G76" s="23">
        <v>83</v>
      </c>
      <c r="H76" s="23">
        <v>40</v>
      </c>
      <c r="I76" s="23">
        <v>75</v>
      </c>
      <c r="J76" s="23">
        <v>84</v>
      </c>
      <c r="K76" s="23">
        <v>93</v>
      </c>
      <c r="L76" s="23">
        <v>86</v>
      </c>
      <c r="M76" s="23">
        <v>43</v>
      </c>
      <c r="N76" s="23">
        <v>35</v>
      </c>
      <c r="O76" s="23">
        <v>1</v>
      </c>
      <c r="P76" s="23">
        <v>20</v>
      </c>
      <c r="Q76" s="23">
        <v>3</v>
      </c>
      <c r="R76">
        <f t="shared" si="1"/>
        <v>0</v>
      </c>
      <c r="S76" s="23">
        <v>0</v>
      </c>
      <c r="T76" s="23">
        <v>0</v>
      </c>
      <c r="U76" s="23">
        <v>0</v>
      </c>
      <c r="V76" s="23">
        <v>0</v>
      </c>
      <c r="W76" s="23">
        <v>15</v>
      </c>
      <c r="X76" s="23">
        <v>25</v>
      </c>
      <c r="Y76" s="23">
        <v>0.48</v>
      </c>
      <c r="Z76" s="23">
        <v>0.9</v>
      </c>
      <c r="AA76" s="23">
        <v>110921</v>
      </c>
      <c r="AB76" s="23">
        <v>110932</v>
      </c>
    </row>
    <row r="77" spans="1:28">
      <c r="A77" s="2">
        <v>11094</v>
      </c>
      <c r="B77" t="s">
        <v>92</v>
      </c>
      <c r="C77" t="s">
        <v>289</v>
      </c>
      <c r="D77" t="s">
        <v>34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5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23">
        <v>110941</v>
      </c>
      <c r="AB77" s="23"/>
    </row>
    <row r="78" spans="1:29">
      <c r="A78" s="2">
        <v>11097</v>
      </c>
      <c r="B78" t="s">
        <v>105</v>
      </c>
      <c r="C78" t="s">
        <v>290</v>
      </c>
      <c r="D78" t="s">
        <v>89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23">
        <v>110971</v>
      </c>
      <c r="AB78" s="23"/>
      <c r="AC78" s="2" t="s">
        <v>153</v>
      </c>
    </row>
    <row r="79" spans="1:28">
      <c r="A79" s="2">
        <v>11098</v>
      </c>
      <c r="B79" t="s">
        <v>259</v>
      </c>
      <c r="C79" t="s">
        <v>291</v>
      </c>
      <c r="D79" s="2" t="s">
        <v>43</v>
      </c>
      <c r="E79" s="23">
        <v>35</v>
      </c>
      <c r="F79" s="23">
        <v>40</v>
      </c>
      <c r="G79" s="23">
        <v>77</v>
      </c>
      <c r="H79" s="23">
        <v>32</v>
      </c>
      <c r="I79" s="23">
        <v>45</v>
      </c>
      <c r="J79" s="23">
        <v>76</v>
      </c>
      <c r="K79" s="23">
        <v>92</v>
      </c>
      <c r="L79" s="23">
        <v>94</v>
      </c>
      <c r="M79" s="23">
        <v>37</v>
      </c>
      <c r="N79" s="23">
        <v>40</v>
      </c>
      <c r="O79" s="23">
        <v>1</v>
      </c>
      <c r="P79" s="23">
        <v>10</v>
      </c>
      <c r="Q79" s="23">
        <v>3</v>
      </c>
      <c r="R79">
        <f t="shared" si="1"/>
        <v>0</v>
      </c>
      <c r="S79" s="23">
        <v>0</v>
      </c>
      <c r="T79" s="23">
        <v>0</v>
      </c>
      <c r="U79" s="23">
        <v>0</v>
      </c>
      <c r="V79" s="23">
        <v>0</v>
      </c>
      <c r="W79" s="23">
        <v>10</v>
      </c>
      <c r="X79" s="23">
        <v>20</v>
      </c>
      <c r="Y79" s="23">
        <v>0.48</v>
      </c>
      <c r="Z79" s="23">
        <v>0.9</v>
      </c>
      <c r="AA79" s="23">
        <v>110981</v>
      </c>
      <c r="AB79" s="23"/>
    </row>
    <row r="80" spans="1:28">
      <c r="A80" s="2">
        <v>11099</v>
      </c>
      <c r="B80" t="s">
        <v>259</v>
      </c>
      <c r="C80" t="s">
        <v>292</v>
      </c>
      <c r="D80" s="2" t="s">
        <v>43</v>
      </c>
      <c r="E80" s="23">
        <v>37</v>
      </c>
      <c r="F80" s="23">
        <v>40</v>
      </c>
      <c r="G80" s="23">
        <v>80</v>
      </c>
      <c r="H80" s="23">
        <v>34</v>
      </c>
      <c r="I80" s="23">
        <v>60</v>
      </c>
      <c r="J80" s="23">
        <v>84</v>
      </c>
      <c r="K80" s="23">
        <v>95</v>
      </c>
      <c r="L80" s="23">
        <v>125</v>
      </c>
      <c r="M80" s="23">
        <v>39</v>
      </c>
      <c r="N80" s="23">
        <v>45</v>
      </c>
      <c r="O80" s="23">
        <v>2</v>
      </c>
      <c r="P80" s="23">
        <v>10</v>
      </c>
      <c r="Q80" s="23">
        <v>3</v>
      </c>
      <c r="R80">
        <f t="shared" si="1"/>
        <v>0</v>
      </c>
      <c r="S80" s="23">
        <v>0</v>
      </c>
      <c r="T80" s="23">
        <v>0</v>
      </c>
      <c r="U80" s="23">
        <v>0</v>
      </c>
      <c r="V80" s="23">
        <v>0</v>
      </c>
      <c r="W80" s="23">
        <v>40</v>
      </c>
      <c r="X80" s="23">
        <v>25</v>
      </c>
      <c r="Y80" s="23">
        <v>0.64</v>
      </c>
      <c r="Z80" s="23">
        <v>1.2</v>
      </c>
      <c r="AA80" s="23">
        <v>110991</v>
      </c>
      <c r="AB80" s="23"/>
    </row>
    <row r="81" spans="1:29">
      <c r="A81" s="2">
        <v>11100</v>
      </c>
      <c r="B81" t="s">
        <v>37</v>
      </c>
      <c r="C81" s="13" t="s">
        <v>38</v>
      </c>
      <c r="D81" s="2" t="s">
        <v>39</v>
      </c>
      <c r="E81" s="29">
        <v>88</v>
      </c>
      <c r="F81" s="29">
        <v>115</v>
      </c>
      <c r="G81" s="29">
        <v>0</v>
      </c>
      <c r="H81" s="29">
        <v>106</v>
      </c>
      <c r="I81" s="29">
        <v>108</v>
      </c>
      <c r="J81" s="23">
        <v>0</v>
      </c>
      <c r="K81" s="30">
        <v>103</v>
      </c>
      <c r="L81" s="23">
        <v>60</v>
      </c>
      <c r="M81" s="23">
        <v>55</v>
      </c>
      <c r="N81" s="29">
        <v>28</v>
      </c>
      <c r="O81" s="23">
        <v>3</v>
      </c>
      <c r="P81" s="29">
        <v>10</v>
      </c>
      <c r="Q81" s="23">
        <v>4</v>
      </c>
      <c r="R81">
        <f t="shared" si="1"/>
        <v>0</v>
      </c>
      <c r="S81" s="29">
        <v>0</v>
      </c>
      <c r="T81" s="29">
        <v>0</v>
      </c>
      <c r="U81" s="29">
        <v>0</v>
      </c>
      <c r="V81" s="29">
        <v>0</v>
      </c>
      <c r="W81" s="23">
        <v>140</v>
      </c>
      <c r="X81" s="23">
        <v>180</v>
      </c>
      <c r="Y81" s="23">
        <v>4.8</v>
      </c>
      <c r="Z81" s="23">
        <v>9</v>
      </c>
      <c r="AA81" s="23">
        <v>111001</v>
      </c>
      <c r="AB81" s="23">
        <v>111002</v>
      </c>
      <c r="AC81" s="2" t="s">
        <v>40</v>
      </c>
    </row>
    <row r="82" spans="1:29">
      <c r="A82" s="2">
        <v>11101</v>
      </c>
      <c r="B82" t="s">
        <v>37</v>
      </c>
      <c r="C82" s="13" t="s">
        <v>293</v>
      </c>
      <c r="D82" s="2" t="s">
        <v>31</v>
      </c>
      <c r="E82" s="29">
        <v>80</v>
      </c>
      <c r="F82" s="29">
        <v>112</v>
      </c>
      <c r="G82" s="29">
        <v>0</v>
      </c>
      <c r="H82" s="29">
        <v>99</v>
      </c>
      <c r="I82" s="29">
        <v>63</v>
      </c>
      <c r="J82" s="23">
        <v>0</v>
      </c>
      <c r="K82" s="23">
        <v>101</v>
      </c>
      <c r="L82" s="23">
        <v>54</v>
      </c>
      <c r="M82" s="23">
        <v>49</v>
      </c>
      <c r="N82" s="29">
        <v>25</v>
      </c>
      <c r="O82" s="23">
        <v>3</v>
      </c>
      <c r="P82" s="29">
        <v>22</v>
      </c>
      <c r="Q82" s="23">
        <v>4</v>
      </c>
      <c r="R82">
        <f t="shared" si="1"/>
        <v>12</v>
      </c>
      <c r="S82" s="29">
        <v>3</v>
      </c>
      <c r="T82" s="29">
        <v>3</v>
      </c>
      <c r="U82" s="29">
        <v>3</v>
      </c>
      <c r="V82" s="29">
        <v>3</v>
      </c>
      <c r="W82" s="23">
        <v>95</v>
      </c>
      <c r="X82" s="23">
        <v>130</v>
      </c>
      <c r="Y82" s="23">
        <v>3.2</v>
      </c>
      <c r="Z82" s="23">
        <v>6</v>
      </c>
      <c r="AA82" s="23">
        <v>110081</v>
      </c>
      <c r="AB82" s="23">
        <v>110021</v>
      </c>
      <c r="AC82" s="2" t="s">
        <v>219</v>
      </c>
    </row>
    <row r="83" spans="1:29">
      <c r="A83" s="2">
        <v>11102</v>
      </c>
      <c r="B83" t="s">
        <v>37</v>
      </c>
      <c r="C83" s="13" t="s">
        <v>294</v>
      </c>
      <c r="D83" s="2" t="s">
        <v>31</v>
      </c>
      <c r="E83" s="29">
        <v>80</v>
      </c>
      <c r="F83" s="29">
        <v>117</v>
      </c>
      <c r="G83" s="29">
        <v>0</v>
      </c>
      <c r="H83" s="29">
        <v>102</v>
      </c>
      <c r="I83" s="29">
        <v>60</v>
      </c>
      <c r="J83" s="23">
        <v>0</v>
      </c>
      <c r="K83" s="30">
        <v>101</v>
      </c>
      <c r="L83" s="23">
        <v>53</v>
      </c>
      <c r="M83" s="23">
        <v>48</v>
      </c>
      <c r="N83" s="29">
        <v>25</v>
      </c>
      <c r="O83" s="23">
        <v>3</v>
      </c>
      <c r="P83" s="29">
        <v>7</v>
      </c>
      <c r="Q83" s="23">
        <v>4</v>
      </c>
      <c r="R83">
        <f t="shared" si="1"/>
        <v>12</v>
      </c>
      <c r="S83" s="29">
        <v>3</v>
      </c>
      <c r="T83" s="29">
        <v>3</v>
      </c>
      <c r="U83" s="29">
        <v>3</v>
      </c>
      <c r="V83" s="29">
        <v>3</v>
      </c>
      <c r="W83" s="23">
        <v>95</v>
      </c>
      <c r="X83" s="23">
        <v>135</v>
      </c>
      <c r="Y83" s="23">
        <v>3.2</v>
      </c>
      <c r="Z83" s="23">
        <v>6</v>
      </c>
      <c r="AA83" s="23">
        <v>110081</v>
      </c>
      <c r="AB83" s="23">
        <v>111022</v>
      </c>
      <c r="AC83" s="2" t="s">
        <v>219</v>
      </c>
    </row>
    <row r="84" spans="1:28">
      <c r="A84" s="2">
        <v>11105</v>
      </c>
      <c r="B84" t="s">
        <v>37</v>
      </c>
      <c r="C84" s="13" t="s">
        <v>41</v>
      </c>
      <c r="D84" s="2" t="s">
        <v>39</v>
      </c>
      <c r="E84" s="29">
        <v>90</v>
      </c>
      <c r="F84" s="29">
        <v>96</v>
      </c>
      <c r="G84" s="29">
        <v>0</v>
      </c>
      <c r="H84" s="29">
        <v>101</v>
      </c>
      <c r="I84" s="29">
        <v>115</v>
      </c>
      <c r="J84" s="23">
        <v>0</v>
      </c>
      <c r="K84" s="23">
        <v>102</v>
      </c>
      <c r="L84" s="23">
        <v>56</v>
      </c>
      <c r="M84" s="23">
        <v>50</v>
      </c>
      <c r="N84" s="29">
        <v>30</v>
      </c>
      <c r="O84" s="23">
        <v>3</v>
      </c>
      <c r="P84" s="29">
        <v>15</v>
      </c>
      <c r="Q84" s="23">
        <v>4</v>
      </c>
      <c r="R84">
        <f t="shared" si="1"/>
        <v>12</v>
      </c>
      <c r="S84" s="29">
        <v>3</v>
      </c>
      <c r="T84" s="29">
        <v>3</v>
      </c>
      <c r="U84" s="29">
        <v>3</v>
      </c>
      <c r="V84" s="29">
        <v>3</v>
      </c>
      <c r="W84" s="23">
        <v>90</v>
      </c>
      <c r="X84" s="23">
        <v>140</v>
      </c>
      <c r="Y84" s="23">
        <v>4.2</v>
      </c>
      <c r="Z84" s="23">
        <v>8</v>
      </c>
      <c r="AA84" s="23">
        <v>111051</v>
      </c>
      <c r="AB84" s="23">
        <v>111052</v>
      </c>
    </row>
    <row r="85" spans="1:28">
      <c r="A85" s="2">
        <v>11106</v>
      </c>
      <c r="B85" t="s">
        <v>37</v>
      </c>
      <c r="C85" s="13" t="s">
        <v>295</v>
      </c>
      <c r="D85" s="2" t="s">
        <v>34</v>
      </c>
      <c r="E85" s="29">
        <v>75</v>
      </c>
      <c r="F85" s="29">
        <v>100</v>
      </c>
      <c r="G85" s="29">
        <v>0</v>
      </c>
      <c r="H85" s="29">
        <v>96</v>
      </c>
      <c r="I85" s="29">
        <v>96</v>
      </c>
      <c r="J85" s="23">
        <v>0</v>
      </c>
      <c r="K85" s="23">
        <v>100</v>
      </c>
      <c r="L85" s="23">
        <v>44</v>
      </c>
      <c r="M85" s="23">
        <v>47</v>
      </c>
      <c r="N85" s="29">
        <v>21</v>
      </c>
      <c r="O85" s="23">
        <v>3</v>
      </c>
      <c r="P85" s="29">
        <v>20</v>
      </c>
      <c r="Q85" s="23">
        <v>4</v>
      </c>
      <c r="R85">
        <f t="shared" si="1"/>
        <v>16</v>
      </c>
      <c r="S85" s="29">
        <v>4</v>
      </c>
      <c r="T85" s="29">
        <v>4</v>
      </c>
      <c r="U85" s="29">
        <v>4</v>
      </c>
      <c r="V85" s="29">
        <v>4</v>
      </c>
      <c r="W85" s="23">
        <v>85</v>
      </c>
      <c r="X85" s="23">
        <v>125</v>
      </c>
      <c r="Y85" s="23">
        <v>2.5</v>
      </c>
      <c r="Z85" s="23">
        <v>5.1</v>
      </c>
      <c r="AA85" s="23">
        <v>111061</v>
      </c>
      <c r="AB85" s="23"/>
    </row>
    <row r="86" spans="1:28">
      <c r="A86" s="2">
        <v>11107</v>
      </c>
      <c r="B86" t="s">
        <v>37</v>
      </c>
      <c r="C86" s="13" t="s">
        <v>296</v>
      </c>
      <c r="D86" s="2" t="s">
        <v>34</v>
      </c>
      <c r="E86" s="29">
        <v>75</v>
      </c>
      <c r="F86" s="29">
        <v>100</v>
      </c>
      <c r="G86" s="29">
        <v>0</v>
      </c>
      <c r="H86" s="29">
        <v>96</v>
      </c>
      <c r="I86" s="29">
        <v>98</v>
      </c>
      <c r="J86" s="23">
        <v>0</v>
      </c>
      <c r="K86" s="23">
        <v>100</v>
      </c>
      <c r="L86" s="23">
        <v>44</v>
      </c>
      <c r="M86" s="23">
        <v>47</v>
      </c>
      <c r="N86" s="29">
        <v>21</v>
      </c>
      <c r="O86" s="23">
        <v>3</v>
      </c>
      <c r="P86" s="29">
        <v>21</v>
      </c>
      <c r="Q86" s="23">
        <v>4</v>
      </c>
      <c r="R86">
        <f t="shared" si="1"/>
        <v>16</v>
      </c>
      <c r="S86" s="29">
        <v>4</v>
      </c>
      <c r="T86" s="29">
        <v>4</v>
      </c>
      <c r="U86" s="29">
        <v>4</v>
      </c>
      <c r="V86" s="29">
        <v>4</v>
      </c>
      <c r="W86" s="23">
        <v>85</v>
      </c>
      <c r="X86" s="23">
        <v>125</v>
      </c>
      <c r="Y86" s="23">
        <v>2.5</v>
      </c>
      <c r="Z86" s="23">
        <v>5.1</v>
      </c>
      <c r="AA86" s="23">
        <v>111071</v>
      </c>
      <c r="AB86" s="23"/>
    </row>
    <row r="87" spans="1:29">
      <c r="A87" s="2">
        <v>11108</v>
      </c>
      <c r="B87" t="s">
        <v>37</v>
      </c>
      <c r="C87" s="13" t="s">
        <v>297</v>
      </c>
      <c r="D87" s="2" t="s">
        <v>34</v>
      </c>
      <c r="E87" s="29">
        <v>82</v>
      </c>
      <c r="F87" s="29">
        <v>105</v>
      </c>
      <c r="G87" s="29">
        <v>0</v>
      </c>
      <c r="H87" s="29">
        <v>96</v>
      </c>
      <c r="I87" s="29">
        <v>92</v>
      </c>
      <c r="J87" s="23">
        <v>0</v>
      </c>
      <c r="K87" s="23">
        <v>101</v>
      </c>
      <c r="L87" s="23">
        <v>45</v>
      </c>
      <c r="M87" s="23">
        <v>45</v>
      </c>
      <c r="N87" s="29">
        <v>21</v>
      </c>
      <c r="O87" s="23">
        <v>3</v>
      </c>
      <c r="P87" s="29">
        <v>22</v>
      </c>
      <c r="Q87" s="23">
        <v>4</v>
      </c>
      <c r="R87">
        <f t="shared" si="1"/>
        <v>16</v>
      </c>
      <c r="S87" s="29">
        <v>4</v>
      </c>
      <c r="T87" s="29">
        <v>4</v>
      </c>
      <c r="U87" s="29">
        <v>4</v>
      </c>
      <c r="V87" s="29">
        <v>4</v>
      </c>
      <c r="W87" s="23">
        <v>95</v>
      </c>
      <c r="X87" s="23">
        <v>140</v>
      </c>
      <c r="Y87" s="23">
        <v>3.2</v>
      </c>
      <c r="Z87" s="23">
        <v>6</v>
      </c>
      <c r="AA87" s="23">
        <v>111081</v>
      </c>
      <c r="AB87" s="23"/>
      <c r="AC87" s="2" t="s">
        <v>219</v>
      </c>
    </row>
    <row r="88" spans="1:29">
      <c r="A88" s="2">
        <v>11109</v>
      </c>
      <c r="B88" t="s">
        <v>37</v>
      </c>
      <c r="C88" s="13" t="s">
        <v>298</v>
      </c>
      <c r="D88" s="2" t="s">
        <v>34</v>
      </c>
      <c r="E88" s="29">
        <v>82</v>
      </c>
      <c r="F88" s="29">
        <v>105</v>
      </c>
      <c r="G88" s="29">
        <v>0</v>
      </c>
      <c r="H88" s="29">
        <v>96</v>
      </c>
      <c r="I88" s="29">
        <v>98</v>
      </c>
      <c r="J88" s="23">
        <v>0</v>
      </c>
      <c r="K88" s="23">
        <v>101</v>
      </c>
      <c r="L88" s="23">
        <v>45</v>
      </c>
      <c r="M88" s="23">
        <v>45</v>
      </c>
      <c r="N88" s="29">
        <v>21</v>
      </c>
      <c r="O88" s="23">
        <v>3</v>
      </c>
      <c r="P88" s="29">
        <v>20</v>
      </c>
      <c r="Q88" s="23">
        <v>4</v>
      </c>
      <c r="R88">
        <f t="shared" si="1"/>
        <v>16</v>
      </c>
      <c r="S88" s="29">
        <v>4</v>
      </c>
      <c r="T88" s="29">
        <v>4</v>
      </c>
      <c r="U88" s="29">
        <v>4</v>
      </c>
      <c r="V88" s="29">
        <v>4</v>
      </c>
      <c r="W88" s="23">
        <v>95</v>
      </c>
      <c r="X88" s="23">
        <v>140</v>
      </c>
      <c r="Y88" s="23">
        <v>3.2</v>
      </c>
      <c r="Z88" s="23">
        <v>6</v>
      </c>
      <c r="AA88" s="23">
        <v>111091</v>
      </c>
      <c r="AB88" s="23">
        <v>110081</v>
      </c>
      <c r="AC88" s="2" t="s">
        <v>219</v>
      </c>
    </row>
    <row r="89" spans="1:29">
      <c r="A89" s="2">
        <v>11110</v>
      </c>
      <c r="B89" t="s">
        <v>37</v>
      </c>
      <c r="C89" s="13" t="s">
        <v>299</v>
      </c>
      <c r="D89" s="2" t="s">
        <v>34</v>
      </c>
      <c r="E89" s="29">
        <v>82</v>
      </c>
      <c r="F89" s="29">
        <v>107</v>
      </c>
      <c r="G89" s="29">
        <v>0</v>
      </c>
      <c r="H89" s="29">
        <v>100</v>
      </c>
      <c r="I89" s="29">
        <v>102</v>
      </c>
      <c r="J89" s="23">
        <v>0</v>
      </c>
      <c r="K89" s="23">
        <v>101</v>
      </c>
      <c r="L89" s="23">
        <v>45</v>
      </c>
      <c r="M89" s="23">
        <v>47</v>
      </c>
      <c r="N89" s="29">
        <v>21</v>
      </c>
      <c r="O89" s="23">
        <v>3</v>
      </c>
      <c r="P89" s="29">
        <v>22</v>
      </c>
      <c r="Q89" s="23">
        <v>4</v>
      </c>
      <c r="R89">
        <f t="shared" si="1"/>
        <v>12</v>
      </c>
      <c r="S89" s="29">
        <v>3</v>
      </c>
      <c r="T89" s="29">
        <v>3</v>
      </c>
      <c r="U89" s="29">
        <v>3</v>
      </c>
      <c r="V89" s="29">
        <v>3</v>
      </c>
      <c r="W89" s="23">
        <v>95</v>
      </c>
      <c r="X89" s="23">
        <v>140</v>
      </c>
      <c r="Y89" s="23">
        <v>3.2</v>
      </c>
      <c r="Z89" s="23">
        <v>6</v>
      </c>
      <c r="AA89" s="23">
        <v>111101</v>
      </c>
      <c r="AB89" s="23">
        <v>111102</v>
      </c>
      <c r="AC89" s="2" t="s">
        <v>219</v>
      </c>
    </row>
    <row r="90" spans="1:28">
      <c r="A90" s="2">
        <v>11111</v>
      </c>
      <c r="B90" t="s">
        <v>37</v>
      </c>
      <c r="C90" s="13" t="s">
        <v>300</v>
      </c>
      <c r="D90" s="2" t="s">
        <v>34</v>
      </c>
      <c r="E90" s="29">
        <v>79</v>
      </c>
      <c r="F90" s="29">
        <v>115</v>
      </c>
      <c r="G90" s="29">
        <v>0</v>
      </c>
      <c r="H90" s="29">
        <v>97</v>
      </c>
      <c r="I90" s="29">
        <v>105</v>
      </c>
      <c r="J90" s="23">
        <v>0</v>
      </c>
      <c r="K90" s="23">
        <v>102</v>
      </c>
      <c r="L90" s="23">
        <v>60</v>
      </c>
      <c r="M90" s="23">
        <v>51</v>
      </c>
      <c r="N90" s="29">
        <v>28</v>
      </c>
      <c r="O90" s="23">
        <v>3</v>
      </c>
      <c r="P90" s="29">
        <v>20</v>
      </c>
      <c r="Q90" s="23">
        <v>4</v>
      </c>
      <c r="R90">
        <f t="shared" si="1"/>
        <v>12</v>
      </c>
      <c r="S90" s="29">
        <v>3</v>
      </c>
      <c r="T90" s="29">
        <v>3</v>
      </c>
      <c r="U90" s="29">
        <v>3</v>
      </c>
      <c r="V90" s="29">
        <v>3</v>
      </c>
      <c r="W90" s="23">
        <v>95</v>
      </c>
      <c r="X90" s="23">
        <v>140</v>
      </c>
      <c r="Y90" s="23">
        <v>4.2</v>
      </c>
      <c r="Z90" s="23">
        <v>8</v>
      </c>
      <c r="AA90" s="23">
        <v>111111</v>
      </c>
      <c r="AB90" s="23">
        <v>111112</v>
      </c>
    </row>
    <row r="91" spans="1:29">
      <c r="A91" s="2">
        <v>11112</v>
      </c>
      <c r="B91" t="s">
        <v>37</v>
      </c>
      <c r="C91" s="13" t="s">
        <v>301</v>
      </c>
      <c r="D91" s="2" t="s">
        <v>68</v>
      </c>
      <c r="E91" s="29">
        <v>80</v>
      </c>
      <c r="F91" s="29">
        <v>113</v>
      </c>
      <c r="G91" s="29">
        <v>0</v>
      </c>
      <c r="H91" s="29">
        <v>104</v>
      </c>
      <c r="I91" s="29">
        <v>70</v>
      </c>
      <c r="J91" s="23">
        <v>0</v>
      </c>
      <c r="K91" s="23">
        <v>102</v>
      </c>
      <c r="L91" s="23">
        <v>63</v>
      </c>
      <c r="M91" s="23">
        <v>41</v>
      </c>
      <c r="N91" s="29">
        <v>31</v>
      </c>
      <c r="O91" s="23">
        <v>3</v>
      </c>
      <c r="P91" s="29">
        <v>20</v>
      </c>
      <c r="Q91" s="23">
        <v>4</v>
      </c>
      <c r="R91">
        <f t="shared" si="1"/>
        <v>12</v>
      </c>
      <c r="S91" s="29">
        <v>3</v>
      </c>
      <c r="T91" s="29">
        <v>3</v>
      </c>
      <c r="U91" s="29">
        <v>3</v>
      </c>
      <c r="V91" s="29">
        <v>3</v>
      </c>
      <c r="W91" s="23">
        <v>90</v>
      </c>
      <c r="X91" s="23">
        <v>130</v>
      </c>
      <c r="Y91" s="23">
        <v>4.2</v>
      </c>
      <c r="Z91" s="23">
        <v>8</v>
      </c>
      <c r="AA91" s="23">
        <v>111121</v>
      </c>
      <c r="AB91" s="23"/>
      <c r="AC91" s="2" t="s">
        <v>69</v>
      </c>
    </row>
    <row r="92" spans="1:28">
      <c r="A92" s="2">
        <v>11113</v>
      </c>
      <c r="B92" t="s">
        <v>37</v>
      </c>
      <c r="C92" s="13" t="s">
        <v>42</v>
      </c>
      <c r="D92" s="2" t="s">
        <v>43</v>
      </c>
      <c r="E92" s="29">
        <v>83</v>
      </c>
      <c r="F92" s="29">
        <v>110</v>
      </c>
      <c r="G92" s="29">
        <v>0</v>
      </c>
      <c r="H92" s="29">
        <v>108</v>
      </c>
      <c r="I92" s="29">
        <v>102</v>
      </c>
      <c r="J92" s="23">
        <v>0</v>
      </c>
      <c r="K92" s="23">
        <v>102</v>
      </c>
      <c r="L92" s="23">
        <v>58</v>
      </c>
      <c r="M92" s="23">
        <v>46</v>
      </c>
      <c r="N92" s="29">
        <v>32</v>
      </c>
      <c r="O92" s="23">
        <v>3</v>
      </c>
      <c r="P92" s="29">
        <v>30</v>
      </c>
      <c r="Q92" s="23">
        <v>4</v>
      </c>
      <c r="R92">
        <f t="shared" si="1"/>
        <v>0</v>
      </c>
      <c r="S92" s="29">
        <v>0</v>
      </c>
      <c r="T92" s="29">
        <v>0</v>
      </c>
      <c r="U92" s="29">
        <v>0</v>
      </c>
      <c r="V92" s="29">
        <v>0</v>
      </c>
      <c r="W92" s="23">
        <v>90</v>
      </c>
      <c r="X92" s="23">
        <v>130</v>
      </c>
      <c r="Y92" s="23">
        <v>4.2</v>
      </c>
      <c r="Z92" s="23">
        <v>8</v>
      </c>
      <c r="AA92" s="23">
        <v>111131</v>
      </c>
      <c r="AB92" s="23">
        <v>111132</v>
      </c>
    </row>
    <row r="93" spans="1:28">
      <c r="A93" s="2">
        <v>11117</v>
      </c>
      <c r="B93" t="s">
        <v>44</v>
      </c>
      <c r="C93" s="13" t="s">
        <v>45</v>
      </c>
      <c r="D93" t="s">
        <v>31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23">
        <v>70</v>
      </c>
      <c r="X93" s="23">
        <v>65</v>
      </c>
      <c r="Y93" s="23">
        <v>2.88</v>
      </c>
      <c r="Z93" s="23">
        <v>5.4</v>
      </c>
      <c r="AA93" s="23">
        <v>111171</v>
      </c>
      <c r="AB93" s="23">
        <v>111172</v>
      </c>
    </row>
    <row r="94" spans="1:28">
      <c r="A94" s="2">
        <v>11118</v>
      </c>
      <c r="B94" t="s">
        <v>44</v>
      </c>
      <c r="C94" s="13" t="s">
        <v>46</v>
      </c>
      <c r="D94" t="s">
        <v>47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23">
        <v>70</v>
      </c>
      <c r="X94" s="23">
        <v>65</v>
      </c>
      <c r="Y94" s="23">
        <v>2.1</v>
      </c>
      <c r="Z94" s="23">
        <v>5.2</v>
      </c>
      <c r="AA94" s="23">
        <v>111181</v>
      </c>
      <c r="AB94" s="23"/>
    </row>
    <row r="95" spans="1:28">
      <c r="A95" s="2">
        <v>11120</v>
      </c>
      <c r="B95" t="s">
        <v>29</v>
      </c>
      <c r="C95" s="13" t="s">
        <v>49</v>
      </c>
      <c r="D95" t="s">
        <v>34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23">
        <v>55</v>
      </c>
      <c r="X95" s="23">
        <v>65</v>
      </c>
      <c r="Y95" s="23">
        <v>2.08</v>
      </c>
      <c r="Z95" s="23">
        <v>4</v>
      </c>
      <c r="AA95" s="23">
        <v>111201</v>
      </c>
      <c r="AB95" s="23"/>
    </row>
    <row r="96" spans="1:28">
      <c r="A96" s="2">
        <v>11121</v>
      </c>
      <c r="B96" t="s">
        <v>29</v>
      </c>
      <c r="C96" s="13" t="s">
        <v>50</v>
      </c>
      <c r="D96" t="s">
        <v>34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23">
        <v>60</v>
      </c>
      <c r="X96" s="23">
        <v>70</v>
      </c>
      <c r="Y96" s="23">
        <v>2.1</v>
      </c>
      <c r="Z96" s="23">
        <v>4</v>
      </c>
      <c r="AA96" s="23">
        <v>111211</v>
      </c>
      <c r="AB96" s="23">
        <v>111212</v>
      </c>
    </row>
    <row r="97" spans="1:28">
      <c r="A97" s="2">
        <v>11123</v>
      </c>
      <c r="B97" t="s">
        <v>231</v>
      </c>
      <c r="C97" s="13" t="s">
        <v>302</v>
      </c>
      <c r="D97" t="s">
        <v>34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23">
        <v>30</v>
      </c>
      <c r="X97" s="23">
        <v>35</v>
      </c>
      <c r="Y97" s="23">
        <v>1.12</v>
      </c>
      <c r="Z97" s="23">
        <v>2.1</v>
      </c>
      <c r="AA97" s="23">
        <v>111231</v>
      </c>
      <c r="AB97" s="23"/>
    </row>
    <row r="98" spans="1:28">
      <c r="A98" s="2">
        <v>11124</v>
      </c>
      <c r="B98" t="s">
        <v>231</v>
      </c>
      <c r="C98" s="13" t="s">
        <v>303</v>
      </c>
      <c r="D98" t="s">
        <v>39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23">
        <v>30</v>
      </c>
      <c r="X98" s="23">
        <v>35</v>
      </c>
      <c r="Y98" s="23">
        <v>1.28</v>
      </c>
      <c r="Z98" s="23">
        <v>2.4</v>
      </c>
      <c r="AA98" s="23">
        <v>111231</v>
      </c>
      <c r="AB98" s="23"/>
    </row>
    <row r="99" spans="1:28">
      <c r="A99" s="2">
        <v>11125</v>
      </c>
      <c r="B99" t="s">
        <v>231</v>
      </c>
      <c r="C99" s="13" t="s">
        <v>304</v>
      </c>
      <c r="D99" t="s">
        <v>43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23">
        <v>50</v>
      </c>
      <c r="X99" s="23">
        <v>50</v>
      </c>
      <c r="Y99" s="23">
        <v>1.15</v>
      </c>
      <c r="Z99" s="23">
        <v>2.2</v>
      </c>
      <c r="AA99" s="23">
        <v>111251</v>
      </c>
      <c r="AB99" s="23"/>
    </row>
    <row r="100" spans="1:28">
      <c r="A100" s="2">
        <v>11126</v>
      </c>
      <c r="B100" t="s">
        <v>231</v>
      </c>
      <c r="C100" s="13" t="s">
        <v>305</v>
      </c>
      <c r="D100" t="s">
        <v>34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23">
        <v>30</v>
      </c>
      <c r="X100" s="23">
        <v>35</v>
      </c>
      <c r="Y100" s="23">
        <v>1.12</v>
      </c>
      <c r="Z100" s="23">
        <v>2.1</v>
      </c>
      <c r="AA100" s="23">
        <v>111261</v>
      </c>
      <c r="AB100" s="23"/>
    </row>
    <row r="101" spans="1:28">
      <c r="A101" s="2">
        <v>11130</v>
      </c>
      <c r="B101" t="s">
        <v>51</v>
      </c>
      <c r="C101" s="13" t="s">
        <v>306</v>
      </c>
      <c r="D101" s="2" t="s">
        <v>47</v>
      </c>
      <c r="E101" s="23">
        <v>62</v>
      </c>
      <c r="F101" s="23">
        <v>77</v>
      </c>
      <c r="G101" s="23">
        <v>48</v>
      </c>
      <c r="H101" s="23">
        <v>58</v>
      </c>
      <c r="I101" s="23">
        <v>59</v>
      </c>
      <c r="J101" s="23">
        <v>0</v>
      </c>
      <c r="K101" s="23">
        <v>95</v>
      </c>
      <c r="L101" s="23">
        <v>66</v>
      </c>
      <c r="M101" s="23">
        <v>47</v>
      </c>
      <c r="N101" s="23">
        <v>27.5</v>
      </c>
      <c r="O101" s="23">
        <v>3</v>
      </c>
      <c r="P101" s="23">
        <v>10</v>
      </c>
      <c r="Q101" s="23">
        <v>4</v>
      </c>
      <c r="R101">
        <f t="shared" si="1"/>
        <v>6</v>
      </c>
      <c r="S101" s="23">
        <v>2</v>
      </c>
      <c r="T101" s="23">
        <v>2</v>
      </c>
      <c r="U101" s="23">
        <v>2</v>
      </c>
      <c r="V101" s="23">
        <v>0</v>
      </c>
      <c r="W101" s="23">
        <v>35</v>
      </c>
      <c r="X101" s="23">
        <v>80</v>
      </c>
      <c r="Y101" s="23">
        <v>1.28</v>
      </c>
      <c r="Z101" s="23">
        <v>2.64</v>
      </c>
      <c r="AA101" s="23">
        <v>111301</v>
      </c>
      <c r="AB101" s="23">
        <v>111302</v>
      </c>
    </row>
    <row r="102" spans="1:28">
      <c r="A102" s="2">
        <v>11131</v>
      </c>
      <c r="B102" t="s">
        <v>84</v>
      </c>
      <c r="C102" t="s">
        <v>307</v>
      </c>
      <c r="D102" s="2" t="s">
        <v>31</v>
      </c>
      <c r="E102" s="23">
        <v>46</v>
      </c>
      <c r="F102" s="23">
        <v>57</v>
      </c>
      <c r="G102" s="23">
        <v>68</v>
      </c>
      <c r="H102" s="23">
        <v>49</v>
      </c>
      <c r="I102" s="23">
        <v>57</v>
      </c>
      <c r="J102" s="23">
        <v>0</v>
      </c>
      <c r="K102" s="23">
        <v>97</v>
      </c>
      <c r="L102" s="23">
        <v>87</v>
      </c>
      <c r="M102" s="23">
        <v>53</v>
      </c>
      <c r="N102" s="23">
        <v>35</v>
      </c>
      <c r="O102" s="23">
        <v>2</v>
      </c>
      <c r="P102" s="23">
        <v>13</v>
      </c>
      <c r="Q102" s="23">
        <v>4</v>
      </c>
      <c r="R102">
        <f t="shared" si="1"/>
        <v>6</v>
      </c>
      <c r="S102" s="23">
        <v>2</v>
      </c>
      <c r="T102" s="23">
        <v>2</v>
      </c>
      <c r="U102" s="23">
        <v>2</v>
      </c>
      <c r="V102" s="23">
        <v>0</v>
      </c>
      <c r="W102" s="23">
        <v>40</v>
      </c>
      <c r="X102" s="23">
        <v>65</v>
      </c>
      <c r="Y102" s="23">
        <v>1.28</v>
      </c>
      <c r="Z102" s="23">
        <v>2.4</v>
      </c>
      <c r="AA102" s="23">
        <v>111311</v>
      </c>
      <c r="AB102" s="23"/>
    </row>
    <row r="103" spans="1:28">
      <c r="A103" s="2">
        <v>11132</v>
      </c>
      <c r="B103" t="s">
        <v>84</v>
      </c>
      <c r="C103" t="s">
        <v>308</v>
      </c>
      <c r="D103" s="2" t="s">
        <v>31</v>
      </c>
      <c r="E103" s="23">
        <v>46</v>
      </c>
      <c r="F103" s="23">
        <v>57</v>
      </c>
      <c r="G103" s="23">
        <v>68</v>
      </c>
      <c r="H103" s="23">
        <v>49</v>
      </c>
      <c r="I103" s="23">
        <v>57</v>
      </c>
      <c r="J103" s="23">
        <v>0</v>
      </c>
      <c r="K103" s="23">
        <v>97</v>
      </c>
      <c r="L103" s="23">
        <v>87</v>
      </c>
      <c r="M103" s="23">
        <v>49</v>
      </c>
      <c r="N103" s="23">
        <v>35</v>
      </c>
      <c r="O103" s="23">
        <v>2</v>
      </c>
      <c r="P103" s="23">
        <v>15</v>
      </c>
      <c r="Q103" s="23">
        <v>4</v>
      </c>
      <c r="R103">
        <f t="shared" si="1"/>
        <v>8</v>
      </c>
      <c r="S103" s="23">
        <v>2</v>
      </c>
      <c r="T103" s="23">
        <v>2</v>
      </c>
      <c r="U103" s="23">
        <v>2</v>
      </c>
      <c r="V103" s="23">
        <v>2</v>
      </c>
      <c r="W103" s="23">
        <v>40</v>
      </c>
      <c r="X103" s="23">
        <v>65</v>
      </c>
      <c r="Y103" s="23">
        <v>1.28</v>
      </c>
      <c r="Z103" s="23">
        <v>2.4</v>
      </c>
      <c r="AA103" s="23">
        <v>111321</v>
      </c>
      <c r="AB103" s="23"/>
    </row>
    <row r="104" spans="1:28">
      <c r="A104" s="2">
        <v>11133</v>
      </c>
      <c r="B104" t="s">
        <v>84</v>
      </c>
      <c r="C104" t="s">
        <v>309</v>
      </c>
      <c r="D104" s="2" t="s">
        <v>31</v>
      </c>
      <c r="E104" s="23">
        <v>47</v>
      </c>
      <c r="F104" s="23">
        <v>57</v>
      </c>
      <c r="G104" s="23">
        <v>68</v>
      </c>
      <c r="H104" s="23">
        <v>49</v>
      </c>
      <c r="I104" s="23">
        <v>59</v>
      </c>
      <c r="J104" s="23">
        <v>0</v>
      </c>
      <c r="K104" s="23">
        <v>97</v>
      </c>
      <c r="L104" s="23">
        <v>86</v>
      </c>
      <c r="M104" s="23">
        <v>49</v>
      </c>
      <c r="N104" s="23">
        <v>35</v>
      </c>
      <c r="O104" s="23">
        <v>2</v>
      </c>
      <c r="P104" s="23">
        <v>20</v>
      </c>
      <c r="Q104" s="23">
        <v>4</v>
      </c>
      <c r="R104">
        <f t="shared" si="1"/>
        <v>6</v>
      </c>
      <c r="S104" s="23">
        <v>2</v>
      </c>
      <c r="T104" s="23">
        <v>2</v>
      </c>
      <c r="U104" s="23">
        <v>2</v>
      </c>
      <c r="V104" s="23">
        <v>0</v>
      </c>
      <c r="W104" s="23">
        <v>40</v>
      </c>
      <c r="X104" s="23">
        <v>65</v>
      </c>
      <c r="Y104" s="23">
        <v>1.28</v>
      </c>
      <c r="Z104" s="23">
        <v>2.4</v>
      </c>
      <c r="AA104" s="23">
        <v>111331</v>
      </c>
      <c r="AB104" s="23"/>
    </row>
    <row r="105" spans="1:28">
      <c r="A105" s="2">
        <v>11135</v>
      </c>
      <c r="B105" t="s">
        <v>84</v>
      </c>
      <c r="C105" t="s">
        <v>310</v>
      </c>
      <c r="D105" s="2" t="s">
        <v>39</v>
      </c>
      <c r="E105" s="23">
        <v>60</v>
      </c>
      <c r="F105" s="23">
        <v>65</v>
      </c>
      <c r="G105" s="23">
        <v>60</v>
      </c>
      <c r="H105" s="23">
        <v>50</v>
      </c>
      <c r="I105" s="23">
        <v>79</v>
      </c>
      <c r="J105" s="23">
        <v>0</v>
      </c>
      <c r="K105" s="23">
        <v>97</v>
      </c>
      <c r="L105" s="23">
        <v>83</v>
      </c>
      <c r="M105" s="23">
        <v>63</v>
      </c>
      <c r="N105" s="23">
        <v>32.5</v>
      </c>
      <c r="O105" s="23">
        <v>2</v>
      </c>
      <c r="P105" s="23">
        <v>13</v>
      </c>
      <c r="Q105" s="23">
        <v>4</v>
      </c>
      <c r="R105">
        <f t="shared" si="1"/>
        <v>0</v>
      </c>
      <c r="S105" s="23">
        <v>0</v>
      </c>
      <c r="T105" s="23">
        <v>0</v>
      </c>
      <c r="U105" s="23">
        <v>0</v>
      </c>
      <c r="V105" s="23">
        <v>0</v>
      </c>
      <c r="W105" s="23">
        <v>35</v>
      </c>
      <c r="X105" s="23">
        <v>70</v>
      </c>
      <c r="Y105" s="23">
        <v>1.28</v>
      </c>
      <c r="Z105" s="23">
        <v>2.4</v>
      </c>
      <c r="AA105" s="23">
        <v>111351</v>
      </c>
      <c r="AB105" s="23"/>
    </row>
    <row r="106" spans="1:28">
      <c r="A106" s="2">
        <v>11136</v>
      </c>
      <c r="B106" t="s">
        <v>84</v>
      </c>
      <c r="C106" t="s">
        <v>311</v>
      </c>
      <c r="D106" s="2" t="s">
        <v>39</v>
      </c>
      <c r="E106" s="23">
        <v>59</v>
      </c>
      <c r="F106" s="23">
        <v>64</v>
      </c>
      <c r="G106" s="23">
        <v>60</v>
      </c>
      <c r="H106" s="23">
        <v>45</v>
      </c>
      <c r="I106" s="23">
        <v>75</v>
      </c>
      <c r="J106" s="23">
        <v>0</v>
      </c>
      <c r="K106" s="23">
        <v>97</v>
      </c>
      <c r="L106" s="23">
        <v>82</v>
      </c>
      <c r="M106" s="23">
        <v>62</v>
      </c>
      <c r="N106" s="23">
        <v>32.5</v>
      </c>
      <c r="O106" s="23">
        <v>2</v>
      </c>
      <c r="P106" s="23">
        <v>15</v>
      </c>
      <c r="Q106" s="23">
        <v>4</v>
      </c>
      <c r="R106">
        <f t="shared" si="1"/>
        <v>0</v>
      </c>
      <c r="S106" s="23">
        <v>0</v>
      </c>
      <c r="T106" s="23">
        <v>0</v>
      </c>
      <c r="U106" s="23">
        <v>0</v>
      </c>
      <c r="V106" s="23">
        <v>0</v>
      </c>
      <c r="W106" s="23">
        <v>35</v>
      </c>
      <c r="X106" s="23">
        <v>70</v>
      </c>
      <c r="Y106" s="23">
        <v>1.28</v>
      </c>
      <c r="Z106" s="23">
        <v>2.4</v>
      </c>
      <c r="AA106" s="23">
        <v>111351</v>
      </c>
      <c r="AB106" s="23"/>
    </row>
    <row r="107" spans="1:28">
      <c r="A107" s="2">
        <v>11137</v>
      </c>
      <c r="B107" t="s">
        <v>84</v>
      </c>
      <c r="C107" t="s">
        <v>312</v>
      </c>
      <c r="D107" s="2" t="s">
        <v>34</v>
      </c>
      <c r="E107" s="23">
        <v>52</v>
      </c>
      <c r="F107" s="23">
        <v>73</v>
      </c>
      <c r="G107" s="23">
        <v>0</v>
      </c>
      <c r="H107" s="23">
        <v>55</v>
      </c>
      <c r="I107" s="23">
        <v>86</v>
      </c>
      <c r="J107" s="23">
        <v>0</v>
      </c>
      <c r="K107" s="23">
        <v>97</v>
      </c>
      <c r="L107" s="23">
        <v>83</v>
      </c>
      <c r="M107" s="23">
        <v>53</v>
      </c>
      <c r="N107" s="23">
        <v>32.7</v>
      </c>
      <c r="O107" s="23">
        <v>2</v>
      </c>
      <c r="P107" s="23">
        <v>23</v>
      </c>
      <c r="Q107" s="23">
        <v>4</v>
      </c>
      <c r="R107">
        <f t="shared" si="1"/>
        <v>0</v>
      </c>
      <c r="S107" s="23">
        <v>0</v>
      </c>
      <c r="T107" s="23">
        <v>0</v>
      </c>
      <c r="U107" s="23">
        <v>0</v>
      </c>
      <c r="V107" s="23">
        <v>0</v>
      </c>
      <c r="W107" s="23">
        <v>40</v>
      </c>
      <c r="X107" s="23">
        <v>70</v>
      </c>
      <c r="Y107" s="23">
        <v>1.28</v>
      </c>
      <c r="Z107" s="23">
        <v>2.4</v>
      </c>
      <c r="AA107" s="23">
        <v>111371</v>
      </c>
      <c r="AB107" s="23"/>
    </row>
    <row r="108" spans="1:28">
      <c r="A108" s="2">
        <v>11139</v>
      </c>
      <c r="B108" t="s">
        <v>84</v>
      </c>
      <c r="C108" t="s">
        <v>313</v>
      </c>
      <c r="D108" s="2" t="s">
        <v>34</v>
      </c>
      <c r="E108" s="23">
        <v>52</v>
      </c>
      <c r="F108" s="23">
        <v>75</v>
      </c>
      <c r="G108" s="23">
        <v>0</v>
      </c>
      <c r="H108" s="23">
        <v>55</v>
      </c>
      <c r="I108" s="23">
        <v>88</v>
      </c>
      <c r="J108" s="23">
        <v>0</v>
      </c>
      <c r="K108" s="23">
        <v>97</v>
      </c>
      <c r="L108" s="23">
        <v>82</v>
      </c>
      <c r="M108" s="23">
        <v>53</v>
      </c>
      <c r="N108" s="23">
        <v>32.5</v>
      </c>
      <c r="O108" s="23">
        <v>2</v>
      </c>
      <c r="P108" s="23">
        <v>27</v>
      </c>
      <c r="Q108" s="23">
        <v>4</v>
      </c>
      <c r="R108">
        <f t="shared" si="1"/>
        <v>8</v>
      </c>
      <c r="S108" s="23">
        <v>2</v>
      </c>
      <c r="T108" s="23">
        <v>2</v>
      </c>
      <c r="U108" s="23">
        <v>2</v>
      </c>
      <c r="V108" s="23">
        <v>2</v>
      </c>
      <c r="W108" s="23">
        <v>40</v>
      </c>
      <c r="X108" s="23">
        <v>70</v>
      </c>
      <c r="Y108" s="23">
        <v>1.28</v>
      </c>
      <c r="Z108" s="23">
        <v>2.4</v>
      </c>
      <c r="AA108" s="23">
        <v>111391</v>
      </c>
      <c r="AB108" s="23"/>
    </row>
    <row r="109" spans="1:28">
      <c r="A109" s="2">
        <v>11141</v>
      </c>
      <c r="B109" t="s">
        <v>84</v>
      </c>
      <c r="C109" t="s">
        <v>314</v>
      </c>
      <c r="D109" s="2" t="s">
        <v>34</v>
      </c>
      <c r="E109" s="23">
        <v>55</v>
      </c>
      <c r="F109" s="23">
        <v>73</v>
      </c>
      <c r="G109" s="23">
        <v>0</v>
      </c>
      <c r="H109" s="23">
        <v>57</v>
      </c>
      <c r="I109" s="23">
        <v>80</v>
      </c>
      <c r="J109" s="23">
        <v>0</v>
      </c>
      <c r="K109" s="23">
        <v>97</v>
      </c>
      <c r="L109" s="23">
        <v>83</v>
      </c>
      <c r="M109" s="23">
        <v>64</v>
      </c>
      <c r="N109" s="23">
        <v>32.5</v>
      </c>
      <c r="O109" s="23">
        <v>2</v>
      </c>
      <c r="P109" s="23">
        <v>15</v>
      </c>
      <c r="Q109" s="23">
        <v>4</v>
      </c>
      <c r="R109">
        <f t="shared" si="1"/>
        <v>0</v>
      </c>
      <c r="S109" s="23">
        <v>0</v>
      </c>
      <c r="T109" s="23">
        <v>0</v>
      </c>
      <c r="U109" s="23">
        <v>0</v>
      </c>
      <c r="V109" s="23">
        <v>0</v>
      </c>
      <c r="W109" s="23">
        <v>40</v>
      </c>
      <c r="X109" s="23">
        <v>70</v>
      </c>
      <c r="Y109" s="23">
        <v>1.28</v>
      </c>
      <c r="Z109" s="23">
        <v>2.4</v>
      </c>
      <c r="AA109" s="23">
        <v>111411</v>
      </c>
      <c r="AB109" s="23"/>
    </row>
    <row r="110" spans="1:28">
      <c r="A110" s="2">
        <v>11142</v>
      </c>
      <c r="B110" t="s">
        <v>84</v>
      </c>
      <c r="C110" t="s">
        <v>315</v>
      </c>
      <c r="D110" s="2" t="s">
        <v>34</v>
      </c>
      <c r="E110" s="23">
        <v>55</v>
      </c>
      <c r="F110" s="23">
        <v>73</v>
      </c>
      <c r="G110" s="23">
        <v>0</v>
      </c>
      <c r="H110" s="23">
        <v>57</v>
      </c>
      <c r="I110" s="23">
        <v>75</v>
      </c>
      <c r="J110" s="23">
        <v>0</v>
      </c>
      <c r="K110" s="23">
        <v>97</v>
      </c>
      <c r="L110" s="23">
        <v>83</v>
      </c>
      <c r="M110" s="23">
        <v>64</v>
      </c>
      <c r="N110" s="23">
        <v>32.5</v>
      </c>
      <c r="O110" s="23">
        <v>2</v>
      </c>
      <c r="P110" s="23">
        <v>15</v>
      </c>
      <c r="Q110" s="23">
        <v>4</v>
      </c>
      <c r="R110">
        <f t="shared" si="1"/>
        <v>0</v>
      </c>
      <c r="S110" s="23">
        <v>0</v>
      </c>
      <c r="T110" s="23">
        <v>0</v>
      </c>
      <c r="U110" s="23">
        <v>0</v>
      </c>
      <c r="V110" s="23">
        <v>0</v>
      </c>
      <c r="W110" s="23">
        <v>40</v>
      </c>
      <c r="X110" s="23">
        <v>70</v>
      </c>
      <c r="Y110" s="23">
        <v>1.28</v>
      </c>
      <c r="Z110" s="23">
        <v>2.4</v>
      </c>
      <c r="AA110" s="23">
        <v>110581</v>
      </c>
      <c r="AB110" s="23"/>
    </row>
    <row r="111" spans="1:28">
      <c r="A111" s="2">
        <v>11143</v>
      </c>
      <c r="B111" t="s">
        <v>84</v>
      </c>
      <c r="C111" t="s">
        <v>316</v>
      </c>
      <c r="D111" s="2" t="s">
        <v>34</v>
      </c>
      <c r="E111" s="23">
        <v>58</v>
      </c>
      <c r="F111" s="23">
        <v>73</v>
      </c>
      <c r="G111" s="23">
        <v>0</v>
      </c>
      <c r="H111" s="23">
        <v>56</v>
      </c>
      <c r="I111" s="23">
        <v>85</v>
      </c>
      <c r="J111" s="23">
        <v>0</v>
      </c>
      <c r="K111" s="23">
        <v>97</v>
      </c>
      <c r="L111" s="23">
        <v>83</v>
      </c>
      <c r="M111" s="23">
        <v>63</v>
      </c>
      <c r="N111" s="23">
        <v>32.7</v>
      </c>
      <c r="O111" s="23">
        <v>2</v>
      </c>
      <c r="P111" s="23">
        <v>20</v>
      </c>
      <c r="Q111" s="23">
        <v>4</v>
      </c>
      <c r="R111">
        <f t="shared" si="1"/>
        <v>0</v>
      </c>
      <c r="S111" s="23">
        <v>0</v>
      </c>
      <c r="T111" s="23">
        <v>0</v>
      </c>
      <c r="U111" s="23">
        <v>0</v>
      </c>
      <c r="V111" s="23">
        <v>0</v>
      </c>
      <c r="W111" s="23">
        <v>40</v>
      </c>
      <c r="X111" s="23">
        <v>70</v>
      </c>
      <c r="Y111" s="23">
        <v>1.28</v>
      </c>
      <c r="Z111" s="23">
        <v>2.4</v>
      </c>
      <c r="AA111" s="23">
        <v>111431</v>
      </c>
      <c r="AB111" s="23"/>
    </row>
    <row r="112" spans="1:29">
      <c r="A112" s="33">
        <v>11158</v>
      </c>
      <c r="B112" t="s">
        <v>131</v>
      </c>
      <c r="C112" s="33" t="s">
        <v>317</v>
      </c>
      <c r="D112" t="s">
        <v>34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5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31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2" t="s">
        <v>253</v>
      </c>
    </row>
    <row r="113" spans="1:28">
      <c r="A113" s="2">
        <v>11160</v>
      </c>
      <c r="B113" t="s">
        <v>131</v>
      </c>
      <c r="C113" t="s">
        <v>318</v>
      </c>
      <c r="D113" s="2" t="s">
        <v>72</v>
      </c>
      <c r="E113" s="23">
        <v>43</v>
      </c>
      <c r="F113" s="23">
        <v>58</v>
      </c>
      <c r="G113" s="23">
        <v>67</v>
      </c>
      <c r="H113" s="23">
        <v>38</v>
      </c>
      <c r="I113" s="23">
        <v>67</v>
      </c>
      <c r="J113" s="23">
        <v>72</v>
      </c>
      <c r="K113" s="23">
        <v>96</v>
      </c>
      <c r="L113" s="23">
        <v>80</v>
      </c>
      <c r="M113" s="23">
        <v>29</v>
      </c>
      <c r="N113" s="23">
        <v>35</v>
      </c>
      <c r="O113" s="23">
        <v>2</v>
      </c>
      <c r="P113" s="23">
        <v>20</v>
      </c>
      <c r="Q113" s="23">
        <v>3</v>
      </c>
      <c r="R113">
        <f t="shared" si="1"/>
        <v>6</v>
      </c>
      <c r="S113" s="23">
        <v>2</v>
      </c>
      <c r="T113" s="23">
        <v>2</v>
      </c>
      <c r="U113" s="23">
        <v>2</v>
      </c>
      <c r="V113" s="23">
        <v>0</v>
      </c>
      <c r="W113" s="23">
        <v>25</v>
      </c>
      <c r="X113" s="23">
        <v>25</v>
      </c>
      <c r="Y113" s="23">
        <v>0.8</v>
      </c>
      <c r="Z113" s="23">
        <v>1.5</v>
      </c>
      <c r="AA113" s="23">
        <v>111601</v>
      </c>
      <c r="AB113" s="23"/>
    </row>
    <row r="114" spans="1:28">
      <c r="A114" s="2">
        <v>11162</v>
      </c>
      <c r="B114" t="s">
        <v>131</v>
      </c>
      <c r="C114" t="s">
        <v>319</v>
      </c>
      <c r="D114" s="2" t="s">
        <v>89</v>
      </c>
      <c r="E114" s="23">
        <v>33</v>
      </c>
      <c r="F114" s="23">
        <v>47</v>
      </c>
      <c r="G114" s="23">
        <v>58</v>
      </c>
      <c r="H114" s="23">
        <v>33</v>
      </c>
      <c r="I114" s="23">
        <v>65</v>
      </c>
      <c r="J114" s="23">
        <v>80</v>
      </c>
      <c r="K114" s="23">
        <v>97</v>
      </c>
      <c r="L114" s="23">
        <v>68</v>
      </c>
      <c r="M114" s="23">
        <v>38</v>
      </c>
      <c r="N114" s="23">
        <v>20</v>
      </c>
      <c r="O114" s="23">
        <v>2</v>
      </c>
      <c r="P114" s="23">
        <v>35</v>
      </c>
      <c r="Q114" s="23">
        <v>3</v>
      </c>
      <c r="R114">
        <f t="shared" si="1"/>
        <v>0</v>
      </c>
      <c r="S114" s="23">
        <v>0</v>
      </c>
      <c r="T114" s="23">
        <v>0</v>
      </c>
      <c r="U114" s="23">
        <v>0</v>
      </c>
      <c r="V114" s="23">
        <v>0</v>
      </c>
      <c r="W114" s="23">
        <v>30</v>
      </c>
      <c r="X114" s="23">
        <v>35</v>
      </c>
      <c r="Y114" s="23">
        <v>0.8</v>
      </c>
      <c r="Z114" s="23">
        <v>1.5</v>
      </c>
      <c r="AA114" s="23">
        <v>111621</v>
      </c>
      <c r="AB114" s="23"/>
    </row>
    <row r="115" spans="1:28">
      <c r="A115" s="2">
        <v>11164</v>
      </c>
      <c r="B115" t="s">
        <v>259</v>
      </c>
      <c r="C115" t="s">
        <v>320</v>
      </c>
      <c r="D115" s="2" t="s">
        <v>31</v>
      </c>
      <c r="E115" s="23">
        <v>34</v>
      </c>
      <c r="F115" s="23">
        <v>40</v>
      </c>
      <c r="G115" s="23">
        <v>85</v>
      </c>
      <c r="H115" s="23">
        <v>38</v>
      </c>
      <c r="I115" s="23">
        <v>70</v>
      </c>
      <c r="J115" s="23">
        <v>70</v>
      </c>
      <c r="K115" s="23">
        <v>93</v>
      </c>
      <c r="L115" s="23">
        <v>84</v>
      </c>
      <c r="M115" s="23">
        <v>41</v>
      </c>
      <c r="N115" s="23">
        <v>33</v>
      </c>
      <c r="O115" s="23">
        <v>1</v>
      </c>
      <c r="P115" s="23">
        <v>10</v>
      </c>
      <c r="Q115" s="23">
        <v>3</v>
      </c>
      <c r="R115">
        <f t="shared" si="1"/>
        <v>0</v>
      </c>
      <c r="S115" s="23">
        <v>0</v>
      </c>
      <c r="T115" s="23">
        <v>0</v>
      </c>
      <c r="U115" s="23">
        <v>0</v>
      </c>
      <c r="V115" s="23">
        <v>0</v>
      </c>
      <c r="W115" s="23">
        <v>15</v>
      </c>
      <c r="X115" s="23">
        <v>25</v>
      </c>
      <c r="Y115" s="23">
        <v>0.48</v>
      </c>
      <c r="Z115" s="23">
        <v>0.9</v>
      </c>
      <c r="AA115" s="23">
        <v>111641</v>
      </c>
      <c r="AB115" s="23"/>
    </row>
    <row r="116" spans="1:28">
      <c r="A116" s="2">
        <v>11165</v>
      </c>
      <c r="B116" t="s">
        <v>259</v>
      </c>
      <c r="C116" t="s">
        <v>321</v>
      </c>
      <c r="D116" s="2" t="s">
        <v>31</v>
      </c>
      <c r="E116" s="23">
        <v>34</v>
      </c>
      <c r="F116" s="23">
        <v>40</v>
      </c>
      <c r="G116" s="23">
        <v>85</v>
      </c>
      <c r="H116" s="23">
        <v>38</v>
      </c>
      <c r="I116" s="23">
        <v>72</v>
      </c>
      <c r="J116" s="23">
        <v>67</v>
      </c>
      <c r="K116" s="23">
        <v>92</v>
      </c>
      <c r="L116" s="23">
        <v>84</v>
      </c>
      <c r="M116" s="23">
        <v>41</v>
      </c>
      <c r="N116" s="23">
        <v>34</v>
      </c>
      <c r="O116" s="23">
        <v>1</v>
      </c>
      <c r="P116" s="23">
        <v>15</v>
      </c>
      <c r="Q116" s="23">
        <v>3</v>
      </c>
      <c r="R116">
        <f t="shared" si="1"/>
        <v>0</v>
      </c>
      <c r="S116" s="23">
        <v>0</v>
      </c>
      <c r="T116" s="23">
        <v>0</v>
      </c>
      <c r="U116" s="23">
        <v>0</v>
      </c>
      <c r="V116" s="23">
        <v>0</v>
      </c>
      <c r="W116" s="23">
        <v>15</v>
      </c>
      <c r="X116" s="23">
        <v>25</v>
      </c>
      <c r="Y116" s="23">
        <v>0.48</v>
      </c>
      <c r="Z116" s="23">
        <v>0.9</v>
      </c>
      <c r="AA116" s="23">
        <v>111641</v>
      </c>
      <c r="AB116" s="23"/>
    </row>
    <row r="117" spans="1:28">
      <c r="A117" s="2">
        <v>11166</v>
      </c>
      <c r="B117" t="s">
        <v>259</v>
      </c>
      <c r="C117" t="s">
        <v>322</v>
      </c>
      <c r="D117" s="2" t="s">
        <v>31</v>
      </c>
      <c r="E117" s="23">
        <v>31</v>
      </c>
      <c r="F117" s="23">
        <v>38</v>
      </c>
      <c r="G117" s="23">
        <v>97</v>
      </c>
      <c r="H117" s="23">
        <v>38</v>
      </c>
      <c r="I117" s="23">
        <v>55</v>
      </c>
      <c r="J117" s="23">
        <v>69</v>
      </c>
      <c r="K117" s="23">
        <v>93</v>
      </c>
      <c r="L117" s="23">
        <v>94</v>
      </c>
      <c r="M117" s="23">
        <v>39</v>
      </c>
      <c r="N117" s="23">
        <v>34</v>
      </c>
      <c r="O117" s="23">
        <v>1</v>
      </c>
      <c r="P117" s="23">
        <v>10</v>
      </c>
      <c r="Q117" s="23">
        <v>3</v>
      </c>
      <c r="R117">
        <f t="shared" si="1"/>
        <v>0</v>
      </c>
      <c r="S117" s="23">
        <v>0</v>
      </c>
      <c r="T117" s="23">
        <v>0</v>
      </c>
      <c r="U117" s="23">
        <v>0</v>
      </c>
      <c r="V117" s="23">
        <v>0</v>
      </c>
      <c r="W117" s="23">
        <v>15</v>
      </c>
      <c r="X117" s="23">
        <v>20</v>
      </c>
      <c r="Y117" s="23">
        <v>0.48</v>
      </c>
      <c r="Z117" s="23">
        <v>0.9</v>
      </c>
      <c r="AA117" s="23">
        <v>111661</v>
      </c>
      <c r="AB117" s="23"/>
    </row>
    <row r="118" spans="1:28">
      <c r="A118" s="2">
        <v>11167</v>
      </c>
      <c r="B118" t="s">
        <v>259</v>
      </c>
      <c r="C118" t="s">
        <v>323</v>
      </c>
      <c r="D118" s="2" t="s">
        <v>31</v>
      </c>
      <c r="E118" s="23">
        <v>31</v>
      </c>
      <c r="F118" s="23">
        <v>38</v>
      </c>
      <c r="G118" s="23">
        <v>97</v>
      </c>
      <c r="H118" s="23">
        <v>38</v>
      </c>
      <c r="I118" s="23">
        <v>50</v>
      </c>
      <c r="J118" s="23">
        <v>69</v>
      </c>
      <c r="K118" s="23">
        <v>92</v>
      </c>
      <c r="L118" s="23">
        <v>94</v>
      </c>
      <c r="M118" s="23">
        <v>39</v>
      </c>
      <c r="N118" s="23">
        <v>34</v>
      </c>
      <c r="O118" s="23">
        <v>1</v>
      </c>
      <c r="P118" s="23">
        <v>15</v>
      </c>
      <c r="Q118" s="23">
        <v>3</v>
      </c>
      <c r="R118">
        <f t="shared" si="1"/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15</v>
      </c>
      <c r="X118" s="23">
        <v>20</v>
      </c>
      <c r="Y118" s="23">
        <v>0.48</v>
      </c>
      <c r="Z118" s="23">
        <v>0.9</v>
      </c>
      <c r="AA118" s="23">
        <v>111671</v>
      </c>
      <c r="AB118" s="23"/>
    </row>
    <row r="119" spans="1:28">
      <c r="A119" s="2">
        <v>11168</v>
      </c>
      <c r="B119" t="s">
        <v>259</v>
      </c>
      <c r="C119" t="s">
        <v>324</v>
      </c>
      <c r="D119" s="2" t="s">
        <v>31</v>
      </c>
      <c r="E119" s="23">
        <v>31</v>
      </c>
      <c r="F119" s="23">
        <v>38</v>
      </c>
      <c r="G119" s="23">
        <v>97</v>
      </c>
      <c r="H119" s="23">
        <v>38</v>
      </c>
      <c r="I119" s="23">
        <v>52</v>
      </c>
      <c r="J119" s="23">
        <v>74</v>
      </c>
      <c r="K119" s="23">
        <v>92</v>
      </c>
      <c r="L119" s="23">
        <v>94</v>
      </c>
      <c r="M119" s="23">
        <v>40</v>
      </c>
      <c r="N119" s="23">
        <v>34</v>
      </c>
      <c r="O119" s="23">
        <v>1</v>
      </c>
      <c r="P119" s="23">
        <v>10</v>
      </c>
      <c r="Q119" s="23">
        <v>3</v>
      </c>
      <c r="R119">
        <f t="shared" si="1"/>
        <v>0</v>
      </c>
      <c r="S119" s="23">
        <v>0</v>
      </c>
      <c r="T119" s="23">
        <v>0</v>
      </c>
      <c r="U119" s="23">
        <v>0</v>
      </c>
      <c r="V119" s="23">
        <v>0</v>
      </c>
      <c r="W119" s="23">
        <v>15</v>
      </c>
      <c r="X119" s="23">
        <v>20</v>
      </c>
      <c r="Y119" s="23">
        <v>0.48</v>
      </c>
      <c r="Z119" s="23">
        <v>0.9</v>
      </c>
      <c r="AA119" s="23">
        <v>111681</v>
      </c>
      <c r="AB119" s="23"/>
    </row>
    <row r="120" spans="1:28">
      <c r="A120" s="2">
        <v>11169</v>
      </c>
      <c r="B120" t="s">
        <v>259</v>
      </c>
      <c r="C120" t="s">
        <v>325</v>
      </c>
      <c r="D120" s="2" t="s">
        <v>89</v>
      </c>
      <c r="E120" s="23">
        <v>32</v>
      </c>
      <c r="F120" s="23">
        <v>37</v>
      </c>
      <c r="G120" s="23">
        <v>83</v>
      </c>
      <c r="H120" s="23">
        <v>34</v>
      </c>
      <c r="I120" s="23">
        <v>75</v>
      </c>
      <c r="J120" s="23">
        <v>89</v>
      </c>
      <c r="K120" s="23">
        <v>95</v>
      </c>
      <c r="L120" s="23">
        <v>104</v>
      </c>
      <c r="M120" s="23">
        <v>40</v>
      </c>
      <c r="N120" s="23">
        <v>35</v>
      </c>
      <c r="O120" s="23">
        <v>1</v>
      </c>
      <c r="P120" s="23">
        <v>53</v>
      </c>
      <c r="Q120" s="23">
        <v>3</v>
      </c>
      <c r="R120">
        <f t="shared" si="1"/>
        <v>0</v>
      </c>
      <c r="S120" s="23">
        <v>0</v>
      </c>
      <c r="T120" s="23">
        <v>0</v>
      </c>
      <c r="U120" s="23">
        <v>0</v>
      </c>
      <c r="V120" s="23">
        <v>0</v>
      </c>
      <c r="W120" s="23">
        <v>15</v>
      </c>
      <c r="X120" s="23">
        <v>25</v>
      </c>
      <c r="Y120" s="23">
        <v>0.45</v>
      </c>
      <c r="Z120" s="23">
        <v>0.8</v>
      </c>
      <c r="AA120" s="23">
        <v>111691</v>
      </c>
      <c r="AB120" s="23">
        <v>111692</v>
      </c>
    </row>
    <row r="121" spans="1:29">
      <c r="A121" s="2">
        <v>11171</v>
      </c>
      <c r="B121" t="s">
        <v>259</v>
      </c>
      <c r="C121" t="s">
        <v>326</v>
      </c>
      <c r="D121" s="2" t="s">
        <v>47</v>
      </c>
      <c r="E121" s="23">
        <v>36</v>
      </c>
      <c r="F121" s="23">
        <v>40</v>
      </c>
      <c r="G121" s="23">
        <v>83</v>
      </c>
      <c r="H121" s="23">
        <v>38</v>
      </c>
      <c r="I121" s="23">
        <v>68</v>
      </c>
      <c r="J121" s="23">
        <v>68</v>
      </c>
      <c r="K121" s="23">
        <v>95</v>
      </c>
      <c r="L121" s="23">
        <v>92</v>
      </c>
      <c r="M121" s="23">
        <v>21</v>
      </c>
      <c r="N121" s="23">
        <v>36</v>
      </c>
      <c r="O121" s="23">
        <v>1</v>
      </c>
      <c r="P121" s="23">
        <v>8</v>
      </c>
      <c r="Q121" s="23">
        <v>3</v>
      </c>
      <c r="R121">
        <f t="shared" si="1"/>
        <v>0</v>
      </c>
      <c r="S121" s="23">
        <v>0</v>
      </c>
      <c r="T121" s="23">
        <v>0</v>
      </c>
      <c r="U121" s="23">
        <v>0</v>
      </c>
      <c r="V121" s="23">
        <v>0</v>
      </c>
      <c r="W121" s="23">
        <v>10</v>
      </c>
      <c r="X121" s="23">
        <v>20</v>
      </c>
      <c r="Y121" s="23">
        <v>0.48</v>
      </c>
      <c r="Z121" s="23">
        <v>0.9</v>
      </c>
      <c r="AA121" s="23">
        <v>111711</v>
      </c>
      <c r="AB121" s="23"/>
      <c r="AC121" s="2" t="s">
        <v>272</v>
      </c>
    </row>
    <row r="122" spans="1:28">
      <c r="A122" s="2">
        <v>11175</v>
      </c>
      <c r="B122" t="s">
        <v>259</v>
      </c>
      <c r="C122" t="s">
        <v>327</v>
      </c>
      <c r="D122" s="2" t="s">
        <v>39</v>
      </c>
      <c r="E122" s="23">
        <v>29</v>
      </c>
      <c r="F122" s="23">
        <v>40</v>
      </c>
      <c r="G122" s="23">
        <v>87</v>
      </c>
      <c r="H122" s="23">
        <v>39</v>
      </c>
      <c r="I122" s="23">
        <v>57</v>
      </c>
      <c r="J122" s="23">
        <v>89</v>
      </c>
      <c r="K122" s="23">
        <v>93</v>
      </c>
      <c r="L122" s="23">
        <v>92</v>
      </c>
      <c r="M122" s="23">
        <v>37</v>
      </c>
      <c r="N122" s="23">
        <v>37</v>
      </c>
      <c r="O122" s="23">
        <v>1</v>
      </c>
      <c r="P122" s="23">
        <v>20</v>
      </c>
      <c r="Q122" s="23">
        <v>3</v>
      </c>
      <c r="R122">
        <f t="shared" si="1"/>
        <v>0</v>
      </c>
      <c r="S122" s="23">
        <v>0</v>
      </c>
      <c r="T122" s="23">
        <v>0</v>
      </c>
      <c r="U122" s="23">
        <v>0</v>
      </c>
      <c r="V122" s="23">
        <v>0</v>
      </c>
      <c r="W122" s="23">
        <v>15</v>
      </c>
      <c r="X122" s="23">
        <v>25</v>
      </c>
      <c r="Y122" s="23">
        <v>0.48</v>
      </c>
      <c r="Z122" s="23">
        <v>0.9</v>
      </c>
      <c r="AA122" s="23">
        <v>111751</v>
      </c>
      <c r="AB122" s="23"/>
    </row>
    <row r="123" spans="1:28">
      <c r="A123" s="2">
        <v>11178</v>
      </c>
      <c r="B123" t="s">
        <v>259</v>
      </c>
      <c r="C123" t="s">
        <v>328</v>
      </c>
      <c r="D123" s="2" t="s">
        <v>34</v>
      </c>
      <c r="E123" s="23">
        <v>32</v>
      </c>
      <c r="F123" s="23">
        <v>41</v>
      </c>
      <c r="G123" s="23">
        <v>83</v>
      </c>
      <c r="H123" s="23">
        <v>39</v>
      </c>
      <c r="I123" s="23">
        <v>80</v>
      </c>
      <c r="J123" s="23">
        <v>115</v>
      </c>
      <c r="K123" s="23">
        <v>92</v>
      </c>
      <c r="L123" s="23">
        <v>91</v>
      </c>
      <c r="M123" s="23">
        <v>43</v>
      </c>
      <c r="N123" s="23">
        <v>37</v>
      </c>
      <c r="O123" s="23">
        <v>1</v>
      </c>
      <c r="P123" s="23">
        <v>35</v>
      </c>
      <c r="Q123" s="23">
        <v>3</v>
      </c>
      <c r="R123">
        <f t="shared" si="1"/>
        <v>0</v>
      </c>
      <c r="S123" s="23">
        <v>0</v>
      </c>
      <c r="T123" s="23">
        <v>0</v>
      </c>
      <c r="U123" s="23">
        <v>0</v>
      </c>
      <c r="V123" s="23">
        <v>0</v>
      </c>
      <c r="W123" s="23">
        <v>15</v>
      </c>
      <c r="X123" s="23">
        <v>25</v>
      </c>
      <c r="Y123" s="23">
        <v>0.48</v>
      </c>
      <c r="Z123" s="23">
        <v>0.9</v>
      </c>
      <c r="AA123" s="23">
        <v>111781</v>
      </c>
      <c r="AB123" s="23"/>
    </row>
    <row r="124" spans="1:28">
      <c r="A124" s="2">
        <v>11181</v>
      </c>
      <c r="B124" t="s">
        <v>259</v>
      </c>
      <c r="C124" t="s">
        <v>329</v>
      </c>
      <c r="D124" s="2" t="s">
        <v>34</v>
      </c>
      <c r="E124" s="23">
        <v>32</v>
      </c>
      <c r="F124" s="23">
        <v>41</v>
      </c>
      <c r="G124" s="23">
        <v>85</v>
      </c>
      <c r="H124" s="23">
        <v>39</v>
      </c>
      <c r="I124" s="23">
        <v>75</v>
      </c>
      <c r="J124" s="23">
        <v>84</v>
      </c>
      <c r="K124" s="23">
        <v>93</v>
      </c>
      <c r="L124" s="23">
        <v>91</v>
      </c>
      <c r="M124" s="23">
        <v>37</v>
      </c>
      <c r="N124" s="23">
        <v>37</v>
      </c>
      <c r="O124" s="23">
        <v>1</v>
      </c>
      <c r="P124" s="23">
        <v>10</v>
      </c>
      <c r="Q124" s="23">
        <v>3</v>
      </c>
      <c r="R124">
        <f t="shared" si="1"/>
        <v>0</v>
      </c>
      <c r="S124" s="23">
        <v>0</v>
      </c>
      <c r="T124" s="23">
        <v>0</v>
      </c>
      <c r="U124" s="23">
        <v>0</v>
      </c>
      <c r="V124" s="23">
        <v>0</v>
      </c>
      <c r="W124" s="23">
        <v>15</v>
      </c>
      <c r="X124" s="23">
        <v>25</v>
      </c>
      <c r="Y124" s="23">
        <v>0.48</v>
      </c>
      <c r="Z124" s="23">
        <v>0.9</v>
      </c>
      <c r="AA124" s="23">
        <v>111811</v>
      </c>
      <c r="AB124" s="23">
        <v>111812</v>
      </c>
    </row>
    <row r="125" spans="1:28">
      <c r="A125" s="2">
        <v>11182</v>
      </c>
      <c r="B125" t="s">
        <v>259</v>
      </c>
      <c r="C125" t="s">
        <v>330</v>
      </c>
      <c r="D125" s="2" t="s">
        <v>34</v>
      </c>
      <c r="E125" s="23">
        <v>33</v>
      </c>
      <c r="F125" s="23">
        <v>49</v>
      </c>
      <c r="G125" s="23">
        <v>85</v>
      </c>
      <c r="H125" s="23">
        <v>40</v>
      </c>
      <c r="I125" s="23">
        <v>65</v>
      </c>
      <c r="J125" s="23">
        <v>79</v>
      </c>
      <c r="K125" s="23">
        <v>93</v>
      </c>
      <c r="L125" s="23">
        <v>90</v>
      </c>
      <c r="M125" s="23">
        <v>37</v>
      </c>
      <c r="N125" s="23">
        <v>38.5</v>
      </c>
      <c r="O125" s="23">
        <v>1</v>
      </c>
      <c r="P125" s="23">
        <v>9</v>
      </c>
      <c r="Q125" s="23">
        <v>3</v>
      </c>
      <c r="R125">
        <f t="shared" si="1"/>
        <v>0</v>
      </c>
      <c r="S125" s="23">
        <v>0</v>
      </c>
      <c r="T125" s="23">
        <v>0</v>
      </c>
      <c r="U125" s="23">
        <v>0</v>
      </c>
      <c r="V125" s="23">
        <v>0</v>
      </c>
      <c r="W125" s="23">
        <v>15</v>
      </c>
      <c r="X125" s="23">
        <v>25</v>
      </c>
      <c r="Y125" s="23">
        <v>0.48</v>
      </c>
      <c r="Z125" s="23">
        <v>0.9</v>
      </c>
      <c r="AA125" s="23">
        <v>111821</v>
      </c>
      <c r="AB125" s="23"/>
    </row>
    <row r="126" spans="1:28">
      <c r="A126" s="2">
        <v>11183</v>
      </c>
      <c r="B126" t="s">
        <v>259</v>
      </c>
      <c r="C126" t="s">
        <v>331</v>
      </c>
      <c r="D126" s="2" t="s">
        <v>34</v>
      </c>
      <c r="E126" s="23">
        <v>37</v>
      </c>
      <c r="F126" s="23">
        <v>41</v>
      </c>
      <c r="G126" s="23">
        <v>83</v>
      </c>
      <c r="H126" s="23">
        <v>40</v>
      </c>
      <c r="I126" s="23">
        <v>75</v>
      </c>
      <c r="J126" s="23">
        <v>84</v>
      </c>
      <c r="K126" s="23">
        <v>94</v>
      </c>
      <c r="L126" s="23">
        <v>90</v>
      </c>
      <c r="M126" s="23">
        <v>37</v>
      </c>
      <c r="N126" s="23">
        <v>38.5</v>
      </c>
      <c r="O126" s="23">
        <v>1</v>
      </c>
      <c r="P126" s="23">
        <v>45</v>
      </c>
      <c r="Q126" s="23">
        <v>3</v>
      </c>
      <c r="R126">
        <f t="shared" si="1"/>
        <v>0</v>
      </c>
      <c r="S126" s="23">
        <v>0</v>
      </c>
      <c r="T126" s="23">
        <v>0</v>
      </c>
      <c r="U126" s="23">
        <v>0</v>
      </c>
      <c r="V126" s="23">
        <v>0</v>
      </c>
      <c r="W126" s="23">
        <v>15</v>
      </c>
      <c r="X126" s="23">
        <v>25</v>
      </c>
      <c r="Y126" s="23">
        <v>0.48</v>
      </c>
      <c r="Z126" s="23">
        <v>0.9</v>
      </c>
      <c r="AA126" s="23">
        <v>111831</v>
      </c>
      <c r="AB126" s="23"/>
    </row>
    <row r="127" spans="1:28">
      <c r="A127" s="2">
        <v>11185</v>
      </c>
      <c r="B127" t="s">
        <v>259</v>
      </c>
      <c r="C127" t="s">
        <v>332</v>
      </c>
      <c r="D127" s="2" t="s">
        <v>72</v>
      </c>
      <c r="E127" s="23">
        <v>33</v>
      </c>
      <c r="F127" s="23">
        <v>40</v>
      </c>
      <c r="G127" s="23">
        <v>75</v>
      </c>
      <c r="H127" s="23">
        <v>40</v>
      </c>
      <c r="I127" s="23">
        <v>70</v>
      </c>
      <c r="J127" s="23">
        <v>78</v>
      </c>
      <c r="K127" s="23">
        <v>94</v>
      </c>
      <c r="L127" s="23">
        <v>93</v>
      </c>
      <c r="M127" s="23">
        <v>43</v>
      </c>
      <c r="N127" s="23">
        <v>38</v>
      </c>
      <c r="O127" s="23">
        <v>1</v>
      </c>
      <c r="P127" s="23">
        <v>21</v>
      </c>
      <c r="Q127" s="23">
        <v>3</v>
      </c>
      <c r="R127">
        <f t="shared" si="1"/>
        <v>0</v>
      </c>
      <c r="S127" s="23">
        <v>0</v>
      </c>
      <c r="T127" s="23">
        <v>0</v>
      </c>
      <c r="U127" s="23">
        <v>0</v>
      </c>
      <c r="V127" s="23">
        <v>0</v>
      </c>
      <c r="W127" s="23">
        <v>15</v>
      </c>
      <c r="X127" s="23">
        <v>25</v>
      </c>
      <c r="Y127" s="23">
        <v>0.48</v>
      </c>
      <c r="Z127" s="23">
        <v>0.9</v>
      </c>
      <c r="AA127" s="23">
        <v>111851</v>
      </c>
      <c r="AB127" s="23"/>
    </row>
    <row r="128" spans="1:28">
      <c r="A128" s="2">
        <v>11187</v>
      </c>
      <c r="B128" t="s">
        <v>259</v>
      </c>
      <c r="C128" t="s">
        <v>333</v>
      </c>
      <c r="D128" s="2" t="s">
        <v>68</v>
      </c>
      <c r="E128" s="23">
        <v>35</v>
      </c>
      <c r="F128" s="23">
        <v>38</v>
      </c>
      <c r="G128" s="23">
        <v>80</v>
      </c>
      <c r="H128" s="23">
        <v>40</v>
      </c>
      <c r="I128" s="23">
        <v>53</v>
      </c>
      <c r="J128" s="23">
        <v>65</v>
      </c>
      <c r="K128" s="23">
        <v>94</v>
      </c>
      <c r="L128" s="23">
        <v>94</v>
      </c>
      <c r="M128" s="23">
        <v>29</v>
      </c>
      <c r="N128" s="23">
        <v>39</v>
      </c>
      <c r="O128" s="23">
        <v>1</v>
      </c>
      <c r="P128" s="23">
        <v>15</v>
      </c>
      <c r="Q128" s="23">
        <v>3</v>
      </c>
      <c r="R128">
        <f t="shared" si="1"/>
        <v>0</v>
      </c>
      <c r="S128" s="23">
        <v>0</v>
      </c>
      <c r="T128" s="23">
        <v>0</v>
      </c>
      <c r="U128" s="23">
        <v>0</v>
      </c>
      <c r="V128" s="23">
        <v>0</v>
      </c>
      <c r="W128" s="23">
        <v>15</v>
      </c>
      <c r="X128" s="23">
        <v>25</v>
      </c>
      <c r="Y128" s="23">
        <v>0.48</v>
      </c>
      <c r="Z128" s="23">
        <v>0.9</v>
      </c>
      <c r="AA128" s="23">
        <v>111871</v>
      </c>
      <c r="AB128" s="23"/>
    </row>
    <row r="129" spans="1:28">
      <c r="A129" s="2">
        <v>11188</v>
      </c>
      <c r="B129" t="s">
        <v>259</v>
      </c>
      <c r="C129" t="s">
        <v>334</v>
      </c>
      <c r="D129" s="2" t="s">
        <v>68</v>
      </c>
      <c r="E129" s="23">
        <v>35</v>
      </c>
      <c r="F129" s="23">
        <v>38</v>
      </c>
      <c r="G129" s="23">
        <v>82</v>
      </c>
      <c r="H129" s="23">
        <v>40</v>
      </c>
      <c r="I129" s="23">
        <v>51</v>
      </c>
      <c r="J129" s="23">
        <v>65</v>
      </c>
      <c r="K129" s="23">
        <v>94</v>
      </c>
      <c r="L129" s="23">
        <v>94</v>
      </c>
      <c r="M129" s="23">
        <v>40</v>
      </c>
      <c r="N129" s="23">
        <v>39</v>
      </c>
      <c r="O129" s="23">
        <v>1</v>
      </c>
      <c r="P129" s="23">
        <v>20</v>
      </c>
      <c r="Q129" s="23">
        <v>3</v>
      </c>
      <c r="R129">
        <f t="shared" si="1"/>
        <v>0</v>
      </c>
      <c r="S129" s="23">
        <v>0</v>
      </c>
      <c r="T129" s="23">
        <v>0</v>
      </c>
      <c r="U129" s="23">
        <v>0</v>
      </c>
      <c r="V129" s="23">
        <v>0</v>
      </c>
      <c r="W129" s="23">
        <v>15</v>
      </c>
      <c r="X129" s="23">
        <v>25</v>
      </c>
      <c r="Y129" s="23">
        <v>0.48</v>
      </c>
      <c r="Z129" s="23">
        <v>0.9</v>
      </c>
      <c r="AA129" s="23">
        <v>111881</v>
      </c>
      <c r="AB129" s="23"/>
    </row>
    <row r="130" spans="1:28">
      <c r="A130" s="2">
        <v>11192</v>
      </c>
      <c r="B130" t="s">
        <v>259</v>
      </c>
      <c r="C130" t="s">
        <v>335</v>
      </c>
      <c r="D130" s="2" t="s">
        <v>72</v>
      </c>
      <c r="E130" s="23">
        <v>36</v>
      </c>
      <c r="F130" s="23">
        <v>46</v>
      </c>
      <c r="G130" s="23">
        <v>87</v>
      </c>
      <c r="H130" s="23">
        <v>40</v>
      </c>
      <c r="I130" s="23">
        <v>65</v>
      </c>
      <c r="J130" s="23">
        <v>69</v>
      </c>
      <c r="K130" s="23">
        <v>95</v>
      </c>
      <c r="L130" s="23">
        <v>104</v>
      </c>
      <c r="M130" s="23">
        <v>18</v>
      </c>
      <c r="N130" s="23">
        <v>42.7</v>
      </c>
      <c r="O130" s="23">
        <v>1</v>
      </c>
      <c r="P130" s="23">
        <v>17</v>
      </c>
      <c r="Q130" s="23">
        <v>3</v>
      </c>
      <c r="R130">
        <f t="shared" ref="R130:R193" si="2">SUM($S130:$V130)</f>
        <v>0</v>
      </c>
      <c r="S130" s="23">
        <v>0</v>
      </c>
      <c r="T130" s="23">
        <v>0</v>
      </c>
      <c r="U130" s="23">
        <v>0</v>
      </c>
      <c r="V130" s="23">
        <v>0</v>
      </c>
      <c r="W130" s="23">
        <v>15</v>
      </c>
      <c r="X130" s="23">
        <v>20</v>
      </c>
      <c r="Y130" s="23">
        <v>0.65</v>
      </c>
      <c r="Z130" s="23">
        <v>1.1</v>
      </c>
      <c r="AA130" s="23">
        <v>111921</v>
      </c>
      <c r="AB130" s="23"/>
    </row>
    <row r="131" spans="1:28">
      <c r="A131" s="34">
        <v>11194</v>
      </c>
      <c r="B131" t="s">
        <v>87</v>
      </c>
      <c r="C131" s="35" t="s">
        <v>336</v>
      </c>
      <c r="D131" s="12" t="s">
        <v>34</v>
      </c>
      <c r="E131" s="36">
        <v>17</v>
      </c>
      <c r="F131" s="36">
        <v>26</v>
      </c>
      <c r="G131" s="36">
        <v>89</v>
      </c>
      <c r="H131" s="36">
        <v>32</v>
      </c>
      <c r="I131" s="36">
        <v>0</v>
      </c>
      <c r="J131" s="31">
        <v>0</v>
      </c>
      <c r="K131" s="31">
        <v>108</v>
      </c>
      <c r="L131" s="31">
        <v>47</v>
      </c>
      <c r="M131" s="31">
        <v>49</v>
      </c>
      <c r="N131" s="36">
        <v>21</v>
      </c>
      <c r="O131" s="31">
        <v>1</v>
      </c>
      <c r="P131" s="36">
        <v>25</v>
      </c>
      <c r="Q131" s="31">
        <v>3</v>
      </c>
      <c r="R131">
        <f t="shared" si="2"/>
        <v>0</v>
      </c>
      <c r="S131" s="31">
        <v>0</v>
      </c>
      <c r="T131" s="31">
        <v>0</v>
      </c>
      <c r="U131" s="31">
        <v>0</v>
      </c>
      <c r="V131" s="31">
        <v>0</v>
      </c>
      <c r="W131" s="31">
        <v>20</v>
      </c>
      <c r="X131" s="31">
        <v>25</v>
      </c>
      <c r="Y131" s="31">
        <v>0.64</v>
      </c>
      <c r="Z131" s="31">
        <v>0.75</v>
      </c>
      <c r="AA131" s="23">
        <v>111941</v>
      </c>
      <c r="AB131" s="23"/>
    </row>
    <row r="132" spans="1:28">
      <c r="A132" s="34">
        <v>11195</v>
      </c>
      <c r="B132" t="s">
        <v>87</v>
      </c>
      <c r="C132" s="35" t="s">
        <v>337</v>
      </c>
      <c r="D132" s="12" t="s">
        <v>34</v>
      </c>
      <c r="E132" s="36">
        <v>17</v>
      </c>
      <c r="F132" s="36">
        <v>26</v>
      </c>
      <c r="G132" s="36">
        <v>89</v>
      </c>
      <c r="H132" s="36">
        <v>32</v>
      </c>
      <c r="I132" s="36">
        <v>0</v>
      </c>
      <c r="J132" s="31">
        <v>0</v>
      </c>
      <c r="K132" s="31">
        <v>108</v>
      </c>
      <c r="L132" s="31">
        <v>47</v>
      </c>
      <c r="M132" s="31">
        <v>49</v>
      </c>
      <c r="N132" s="36">
        <v>21</v>
      </c>
      <c r="O132" s="31">
        <v>1</v>
      </c>
      <c r="P132" s="36">
        <v>30</v>
      </c>
      <c r="Q132" s="31">
        <v>3</v>
      </c>
      <c r="R132">
        <f t="shared" si="2"/>
        <v>0</v>
      </c>
      <c r="S132" s="31">
        <v>0</v>
      </c>
      <c r="T132" s="31">
        <v>0</v>
      </c>
      <c r="U132" s="31">
        <v>0</v>
      </c>
      <c r="V132" s="31">
        <v>0</v>
      </c>
      <c r="W132" s="31">
        <v>20</v>
      </c>
      <c r="X132" s="31">
        <v>25</v>
      </c>
      <c r="Y132" s="31">
        <v>0.64</v>
      </c>
      <c r="Z132" s="31">
        <v>0.75</v>
      </c>
      <c r="AA132" s="23">
        <v>111951</v>
      </c>
      <c r="AB132" s="23"/>
    </row>
    <row r="133" spans="1:29">
      <c r="A133" s="34">
        <v>11197</v>
      </c>
      <c r="B133" t="s">
        <v>87</v>
      </c>
      <c r="C133" s="35" t="s">
        <v>338</v>
      </c>
      <c r="D133" s="12" t="s">
        <v>47</v>
      </c>
      <c r="E133" s="36">
        <v>15</v>
      </c>
      <c r="F133" s="36">
        <v>25</v>
      </c>
      <c r="G133" s="36">
        <v>80</v>
      </c>
      <c r="H133" s="36">
        <v>30</v>
      </c>
      <c r="I133" s="36">
        <v>0</v>
      </c>
      <c r="J133" s="31">
        <v>0</v>
      </c>
      <c r="K133" s="31">
        <v>102</v>
      </c>
      <c r="L133" s="31">
        <v>45</v>
      </c>
      <c r="M133" s="31">
        <v>48</v>
      </c>
      <c r="N133" s="36">
        <v>18</v>
      </c>
      <c r="O133" s="31">
        <v>1</v>
      </c>
      <c r="P133" s="36">
        <v>20</v>
      </c>
      <c r="Q133" s="31">
        <v>3</v>
      </c>
      <c r="R133">
        <f t="shared" si="2"/>
        <v>0</v>
      </c>
      <c r="S133" s="31">
        <v>0</v>
      </c>
      <c r="T133" s="31">
        <v>0</v>
      </c>
      <c r="U133" s="31">
        <v>0</v>
      </c>
      <c r="V133" s="31">
        <v>0</v>
      </c>
      <c r="W133" s="31">
        <v>15</v>
      </c>
      <c r="X133" s="31">
        <v>20</v>
      </c>
      <c r="Y133" s="31">
        <v>0.6</v>
      </c>
      <c r="Z133" s="31">
        <v>0.5</v>
      </c>
      <c r="AA133" s="23">
        <v>111971</v>
      </c>
      <c r="AB133" s="23">
        <v>111972</v>
      </c>
      <c r="AC133" s="2" t="s">
        <v>339</v>
      </c>
    </row>
    <row r="134" spans="1:29">
      <c r="A134" s="2">
        <v>11198</v>
      </c>
      <c r="B134" t="s">
        <v>87</v>
      </c>
      <c r="C134" t="s">
        <v>340</v>
      </c>
      <c r="D134" t="s">
        <v>47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5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31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</v>
      </c>
      <c r="AA134">
        <v>111981</v>
      </c>
      <c r="AC134" s="2" t="s">
        <v>339</v>
      </c>
    </row>
    <row r="135" spans="1:28">
      <c r="A135" s="1">
        <v>11199</v>
      </c>
      <c r="B135" t="s">
        <v>341</v>
      </c>
      <c r="C135" t="s">
        <v>342</v>
      </c>
      <c r="D135" t="s">
        <v>43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23">
        <v>111991</v>
      </c>
      <c r="AB135" s="23"/>
    </row>
    <row r="136" spans="1:28">
      <c r="A136" s="2">
        <v>11205</v>
      </c>
      <c r="B136" t="s">
        <v>37</v>
      </c>
      <c r="C136" t="s">
        <v>60</v>
      </c>
      <c r="D136" t="s">
        <v>39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5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31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8">
      <c r="A137" s="2">
        <v>11206</v>
      </c>
      <c r="B137" t="s">
        <v>37</v>
      </c>
      <c r="C137" s="13" t="s">
        <v>61</v>
      </c>
      <c r="D137" s="2" t="s">
        <v>34</v>
      </c>
      <c r="E137" s="29">
        <v>80</v>
      </c>
      <c r="F137" s="29">
        <v>120</v>
      </c>
      <c r="G137" s="29">
        <v>0</v>
      </c>
      <c r="H137" s="29">
        <v>98</v>
      </c>
      <c r="I137" s="29">
        <v>103</v>
      </c>
      <c r="J137" s="23">
        <v>0</v>
      </c>
      <c r="K137" s="23">
        <v>102</v>
      </c>
      <c r="L137" s="23">
        <v>62</v>
      </c>
      <c r="M137" s="23">
        <v>51</v>
      </c>
      <c r="N137" s="29">
        <v>28</v>
      </c>
      <c r="O137" s="23">
        <v>3</v>
      </c>
      <c r="P137" s="29">
        <v>25</v>
      </c>
      <c r="Q137" s="23">
        <v>4</v>
      </c>
      <c r="R137">
        <f t="shared" si="2"/>
        <v>0</v>
      </c>
      <c r="S137" s="29">
        <v>0</v>
      </c>
      <c r="T137" s="29">
        <v>0</v>
      </c>
      <c r="U137" s="29">
        <v>0</v>
      </c>
      <c r="V137" s="29">
        <v>0</v>
      </c>
      <c r="W137" s="23">
        <v>95</v>
      </c>
      <c r="X137" s="23">
        <v>140</v>
      </c>
      <c r="Y137" s="23">
        <v>4.2</v>
      </c>
      <c r="Z137" s="23">
        <v>8</v>
      </c>
      <c r="AA137" s="23">
        <v>112061</v>
      </c>
      <c r="AB137" s="23">
        <v>112062</v>
      </c>
    </row>
    <row r="138" spans="1:29">
      <c r="A138" s="2">
        <v>11207</v>
      </c>
      <c r="B138" t="s">
        <v>37</v>
      </c>
      <c r="C138" s="13" t="s">
        <v>62</v>
      </c>
      <c r="D138" s="2" t="s">
        <v>34</v>
      </c>
      <c r="E138" s="29">
        <v>80</v>
      </c>
      <c r="F138" s="29">
        <v>120</v>
      </c>
      <c r="G138" s="29">
        <v>0</v>
      </c>
      <c r="H138" s="29">
        <v>105</v>
      </c>
      <c r="I138" s="29">
        <v>108</v>
      </c>
      <c r="J138" s="23">
        <v>0</v>
      </c>
      <c r="K138" s="23">
        <v>102</v>
      </c>
      <c r="L138" s="23">
        <v>61</v>
      </c>
      <c r="M138" s="23">
        <v>51</v>
      </c>
      <c r="N138" s="29">
        <v>27.5</v>
      </c>
      <c r="O138" s="23">
        <v>3</v>
      </c>
      <c r="P138" s="29">
        <v>25</v>
      </c>
      <c r="Q138" s="23">
        <v>4</v>
      </c>
      <c r="R138">
        <f t="shared" si="2"/>
        <v>12</v>
      </c>
      <c r="S138" s="29">
        <v>3</v>
      </c>
      <c r="T138" s="29">
        <v>3</v>
      </c>
      <c r="U138" s="29">
        <v>3</v>
      </c>
      <c r="V138" s="29">
        <v>3</v>
      </c>
      <c r="W138" s="23">
        <v>95</v>
      </c>
      <c r="X138" s="23">
        <v>145</v>
      </c>
      <c r="Y138" s="23">
        <v>4.2</v>
      </c>
      <c r="Z138" s="23">
        <v>8</v>
      </c>
      <c r="AA138" s="23">
        <v>112071</v>
      </c>
      <c r="AB138" s="23">
        <v>112072</v>
      </c>
      <c r="AC138" s="2" t="s">
        <v>63</v>
      </c>
    </row>
    <row r="139" spans="1:29">
      <c r="A139" s="2">
        <v>11209</v>
      </c>
      <c r="B139" t="s">
        <v>343</v>
      </c>
      <c r="C139" t="s">
        <v>65</v>
      </c>
      <c r="D139" t="s">
        <v>34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23">
        <v>102091</v>
      </c>
      <c r="AB139" s="23">
        <v>112092</v>
      </c>
      <c r="AC139" s="2" t="s">
        <v>59</v>
      </c>
    </row>
    <row r="140" spans="1:28">
      <c r="A140" s="2">
        <v>11211</v>
      </c>
      <c r="B140" t="s">
        <v>37</v>
      </c>
      <c r="C140" s="13" t="s">
        <v>344</v>
      </c>
      <c r="D140" s="2" t="s">
        <v>68</v>
      </c>
      <c r="E140" s="29">
        <v>64</v>
      </c>
      <c r="F140" s="29">
        <v>89</v>
      </c>
      <c r="G140" s="29">
        <v>0</v>
      </c>
      <c r="H140" s="29">
        <v>89</v>
      </c>
      <c r="I140" s="29">
        <v>72</v>
      </c>
      <c r="J140" s="23">
        <v>0</v>
      </c>
      <c r="K140" s="23">
        <v>102</v>
      </c>
      <c r="L140" s="23">
        <v>63</v>
      </c>
      <c r="M140" s="23">
        <v>40</v>
      </c>
      <c r="N140" s="29">
        <v>27</v>
      </c>
      <c r="O140" s="23">
        <v>3</v>
      </c>
      <c r="P140" s="29">
        <v>20</v>
      </c>
      <c r="Q140" s="23">
        <v>4</v>
      </c>
      <c r="R140">
        <f t="shared" si="2"/>
        <v>12</v>
      </c>
      <c r="S140" s="29">
        <v>3</v>
      </c>
      <c r="T140" s="29">
        <v>3</v>
      </c>
      <c r="U140" s="29">
        <v>3</v>
      </c>
      <c r="V140" s="29">
        <v>3</v>
      </c>
      <c r="W140" s="23">
        <v>70</v>
      </c>
      <c r="X140" s="23">
        <v>110</v>
      </c>
      <c r="Y140" s="23">
        <v>2.25</v>
      </c>
      <c r="Z140" s="23">
        <v>4.55</v>
      </c>
      <c r="AA140" s="23">
        <v>112111</v>
      </c>
      <c r="AB140" s="23"/>
    </row>
    <row r="141" spans="1:27">
      <c r="A141" s="2">
        <v>11215</v>
      </c>
      <c r="B141" t="s">
        <v>37</v>
      </c>
      <c r="C141" t="s">
        <v>345</v>
      </c>
      <c r="D141" t="s">
        <v>72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5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31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2.3</v>
      </c>
      <c r="Z141">
        <v>4.6</v>
      </c>
      <c r="AA141">
        <v>112151</v>
      </c>
    </row>
    <row r="142" spans="1:28">
      <c r="A142" s="2">
        <v>11219</v>
      </c>
      <c r="B142" t="s">
        <v>29</v>
      </c>
      <c r="C142" s="13" t="s">
        <v>73</v>
      </c>
      <c r="D142" t="s">
        <v>31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23">
        <v>60</v>
      </c>
      <c r="X142" s="23">
        <v>55</v>
      </c>
      <c r="Y142" s="23">
        <v>2.4</v>
      </c>
      <c r="Z142" s="23">
        <v>4.5</v>
      </c>
      <c r="AA142" s="23">
        <v>112191</v>
      </c>
      <c r="AB142" s="23"/>
    </row>
    <row r="143" spans="1:28">
      <c r="A143" s="2">
        <v>11220</v>
      </c>
      <c r="B143" t="s">
        <v>29</v>
      </c>
      <c r="C143" s="13" t="s">
        <v>74</v>
      </c>
      <c r="D143" t="s">
        <v>31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23">
        <v>60</v>
      </c>
      <c r="X143" s="23">
        <v>55</v>
      </c>
      <c r="Y143" s="23">
        <v>2.4</v>
      </c>
      <c r="Z143" s="23">
        <v>4.5</v>
      </c>
      <c r="AA143" s="23">
        <v>112201</v>
      </c>
      <c r="AB143" s="23"/>
    </row>
    <row r="144" spans="1:28">
      <c r="A144" s="2">
        <v>11221</v>
      </c>
      <c r="B144" t="s">
        <v>29</v>
      </c>
      <c r="C144" s="13" t="s">
        <v>75</v>
      </c>
      <c r="D144" t="s">
        <v>31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23">
        <v>60</v>
      </c>
      <c r="X144" s="23">
        <v>60</v>
      </c>
      <c r="Y144" s="23">
        <v>2.4</v>
      </c>
      <c r="Z144" s="23">
        <v>4.3</v>
      </c>
      <c r="AA144" s="23">
        <v>112211</v>
      </c>
      <c r="AB144" s="23">
        <v>112212</v>
      </c>
    </row>
    <row r="145" spans="1:28">
      <c r="A145" s="2">
        <v>11222</v>
      </c>
      <c r="B145" t="s">
        <v>29</v>
      </c>
      <c r="C145" s="13" t="s">
        <v>76</v>
      </c>
      <c r="D145" t="s">
        <v>31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23">
        <v>60</v>
      </c>
      <c r="X145" s="23">
        <v>60</v>
      </c>
      <c r="Y145" s="23">
        <v>2.4</v>
      </c>
      <c r="Z145" s="23">
        <v>4.2</v>
      </c>
      <c r="AA145" s="23">
        <v>112221</v>
      </c>
      <c r="AB145" s="23"/>
    </row>
    <row r="146" spans="1:28">
      <c r="A146" s="2">
        <v>11223</v>
      </c>
      <c r="B146" t="s">
        <v>44</v>
      </c>
      <c r="C146" s="13" t="s">
        <v>77</v>
      </c>
      <c r="D146" t="s">
        <v>31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23">
        <v>135</v>
      </c>
      <c r="X146" s="23">
        <v>140</v>
      </c>
      <c r="Y146" s="23">
        <v>3.9</v>
      </c>
      <c r="Z146" s="23">
        <v>7</v>
      </c>
      <c r="AA146" s="23">
        <v>112231</v>
      </c>
      <c r="AB146" s="23">
        <v>112232</v>
      </c>
    </row>
    <row r="147" spans="1:28">
      <c r="A147" s="2">
        <v>11224</v>
      </c>
      <c r="B147" t="s">
        <v>44</v>
      </c>
      <c r="C147" s="13" t="s">
        <v>78</v>
      </c>
      <c r="D147" t="s">
        <v>39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5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23">
        <v>70</v>
      </c>
      <c r="X147" s="23">
        <v>65</v>
      </c>
      <c r="Y147" s="23">
        <v>2.88</v>
      </c>
      <c r="Z147" s="23">
        <v>5.6</v>
      </c>
      <c r="AA147" s="23">
        <v>102241</v>
      </c>
      <c r="AB147" s="23">
        <v>112242</v>
      </c>
    </row>
    <row r="148" spans="1:28">
      <c r="A148" s="2">
        <v>11225</v>
      </c>
      <c r="B148" t="s">
        <v>29</v>
      </c>
      <c r="C148" s="13" t="s">
        <v>79</v>
      </c>
      <c r="D148" t="s">
        <v>34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23">
        <v>55</v>
      </c>
      <c r="X148" s="23">
        <v>60</v>
      </c>
      <c r="Y148" s="23">
        <v>2.08</v>
      </c>
      <c r="Z148" s="23">
        <v>3.9</v>
      </c>
      <c r="AA148" s="23">
        <v>112251</v>
      </c>
      <c r="AB148" s="23"/>
    </row>
    <row r="149" spans="1:28">
      <c r="A149" s="2">
        <v>11227</v>
      </c>
      <c r="B149" t="s">
        <v>231</v>
      </c>
      <c r="C149" s="13" t="s">
        <v>346</v>
      </c>
      <c r="D149" t="s">
        <v>31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23">
        <v>35</v>
      </c>
      <c r="X149" s="23">
        <v>35</v>
      </c>
      <c r="Y149" s="23">
        <v>1.28</v>
      </c>
      <c r="Z149" s="23">
        <v>2.4</v>
      </c>
      <c r="AA149" s="23">
        <v>112271</v>
      </c>
      <c r="AB149" s="23"/>
    </row>
    <row r="150" spans="1:28">
      <c r="A150" s="2">
        <v>11228</v>
      </c>
      <c r="B150" t="s">
        <v>231</v>
      </c>
      <c r="C150" s="13" t="s">
        <v>347</v>
      </c>
      <c r="D150" t="s">
        <v>31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23">
        <v>35</v>
      </c>
      <c r="X150" s="23">
        <v>35</v>
      </c>
      <c r="Y150" s="23">
        <v>1.28</v>
      </c>
      <c r="Z150" s="23">
        <v>2.4</v>
      </c>
      <c r="AA150" s="23">
        <v>112281</v>
      </c>
      <c r="AB150" s="23"/>
    </row>
    <row r="151" spans="1:27">
      <c r="A151" s="2">
        <v>11232</v>
      </c>
      <c r="B151" t="s">
        <v>29</v>
      </c>
      <c r="C151" t="s">
        <v>83</v>
      </c>
      <c r="D151" t="s">
        <v>43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5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31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2">
        <v>11233</v>
      </c>
      <c r="B152" t="s">
        <v>348</v>
      </c>
      <c r="C152" s="13" t="s">
        <v>349</v>
      </c>
      <c r="D152" s="2" t="s">
        <v>31</v>
      </c>
      <c r="E152" s="23">
        <v>52</v>
      </c>
      <c r="F152" s="23">
        <v>63</v>
      </c>
      <c r="G152" s="23">
        <v>79</v>
      </c>
      <c r="H152" s="23">
        <v>52</v>
      </c>
      <c r="I152" s="23">
        <v>65</v>
      </c>
      <c r="J152" s="23">
        <v>52</v>
      </c>
      <c r="K152" s="23">
        <v>100</v>
      </c>
      <c r="L152" s="23">
        <v>87</v>
      </c>
      <c r="M152" s="23">
        <v>51</v>
      </c>
      <c r="N152" s="23">
        <v>35</v>
      </c>
      <c r="O152" s="23">
        <v>2</v>
      </c>
      <c r="P152" s="23">
        <v>10</v>
      </c>
      <c r="Q152" s="23">
        <v>4</v>
      </c>
      <c r="R152">
        <f t="shared" si="2"/>
        <v>12</v>
      </c>
      <c r="S152" s="23">
        <v>0</v>
      </c>
      <c r="T152" s="23">
        <v>0</v>
      </c>
      <c r="U152" s="23">
        <v>0</v>
      </c>
      <c r="V152" s="23">
        <v>12</v>
      </c>
      <c r="W152" s="23">
        <v>40</v>
      </c>
      <c r="X152" s="23">
        <v>75</v>
      </c>
      <c r="Y152" s="23">
        <v>1.3</v>
      </c>
      <c r="Z152" s="23">
        <v>2.4</v>
      </c>
      <c r="AA152" s="23">
        <v>112331</v>
      </c>
      <c r="AB152" s="23"/>
    </row>
    <row r="153" spans="1:27">
      <c r="A153" s="2">
        <v>11238</v>
      </c>
      <c r="B153" t="s">
        <v>84</v>
      </c>
      <c r="C153" t="s">
        <v>350</v>
      </c>
      <c r="D153" t="s">
        <v>39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5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31">
        <f t="shared" si="2"/>
        <v>8</v>
      </c>
      <c r="S153">
        <v>2</v>
      </c>
      <c r="T153">
        <v>2</v>
      </c>
      <c r="U153">
        <v>2</v>
      </c>
      <c r="V153">
        <v>2</v>
      </c>
      <c r="W153" s="23">
        <v>35</v>
      </c>
      <c r="X153" s="23">
        <v>70</v>
      </c>
      <c r="Y153" s="23">
        <v>1.28</v>
      </c>
      <c r="Z153" s="23">
        <v>2.4</v>
      </c>
      <c r="AA153" s="23">
        <v>112381</v>
      </c>
    </row>
    <row r="154" spans="1:27">
      <c r="A154" s="2">
        <v>11239</v>
      </c>
      <c r="B154" t="s">
        <v>84</v>
      </c>
      <c r="C154" s="33" t="s">
        <v>351</v>
      </c>
      <c r="D154" t="s">
        <v>39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5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31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2">
        <v>11240</v>
      </c>
      <c r="B155" t="s">
        <v>84</v>
      </c>
      <c r="C155" t="s">
        <v>352</v>
      </c>
      <c r="D155" s="2" t="s">
        <v>34</v>
      </c>
      <c r="E155" s="23">
        <v>58</v>
      </c>
      <c r="F155" s="23">
        <v>73</v>
      </c>
      <c r="G155" s="23">
        <v>0</v>
      </c>
      <c r="H155" s="23">
        <v>56</v>
      </c>
      <c r="I155" s="23">
        <v>83</v>
      </c>
      <c r="J155" s="23">
        <v>0</v>
      </c>
      <c r="K155" s="23">
        <v>98</v>
      </c>
      <c r="L155" s="23">
        <v>83</v>
      </c>
      <c r="M155" s="23">
        <v>58</v>
      </c>
      <c r="N155" s="23">
        <v>32.7</v>
      </c>
      <c r="O155" s="23">
        <v>2</v>
      </c>
      <c r="P155" s="23">
        <v>20</v>
      </c>
      <c r="Q155" s="23">
        <v>4</v>
      </c>
      <c r="R155">
        <f t="shared" si="2"/>
        <v>8</v>
      </c>
      <c r="S155" s="23">
        <v>2</v>
      </c>
      <c r="T155" s="23">
        <v>2</v>
      </c>
      <c r="U155" s="23">
        <v>2</v>
      </c>
      <c r="V155" s="23">
        <v>2</v>
      </c>
      <c r="W155" s="23">
        <v>40</v>
      </c>
      <c r="X155" s="23">
        <v>70</v>
      </c>
      <c r="Y155" s="23">
        <v>1.28</v>
      </c>
      <c r="Z155" s="23">
        <v>2.4</v>
      </c>
      <c r="AA155" s="23">
        <v>112401</v>
      </c>
      <c r="AB155" s="23"/>
    </row>
    <row r="156" spans="1:28">
      <c r="A156" s="2">
        <v>11241</v>
      </c>
      <c r="B156" t="s">
        <v>84</v>
      </c>
      <c r="C156" t="s">
        <v>85</v>
      </c>
      <c r="D156" s="2" t="s">
        <v>34</v>
      </c>
      <c r="E156" s="23">
        <v>62</v>
      </c>
      <c r="F156" s="23">
        <v>78</v>
      </c>
      <c r="G156" s="23">
        <v>0</v>
      </c>
      <c r="H156" s="23">
        <v>60</v>
      </c>
      <c r="I156" s="23">
        <v>101</v>
      </c>
      <c r="J156" s="23">
        <v>0</v>
      </c>
      <c r="K156" s="23">
        <v>99</v>
      </c>
      <c r="L156" s="23">
        <v>83</v>
      </c>
      <c r="M156" s="23">
        <v>58</v>
      </c>
      <c r="N156" s="23">
        <v>33</v>
      </c>
      <c r="O156" s="23">
        <v>2</v>
      </c>
      <c r="P156" s="23">
        <v>18</v>
      </c>
      <c r="Q156" s="23">
        <v>4</v>
      </c>
      <c r="R156">
        <f t="shared" si="2"/>
        <v>8</v>
      </c>
      <c r="S156" s="23">
        <v>2</v>
      </c>
      <c r="T156" s="23">
        <v>2</v>
      </c>
      <c r="U156" s="23">
        <v>2</v>
      </c>
      <c r="V156" s="23">
        <v>2</v>
      </c>
      <c r="W156" s="23">
        <v>45</v>
      </c>
      <c r="X156" s="23">
        <v>75</v>
      </c>
      <c r="Y156" s="23">
        <v>1.28</v>
      </c>
      <c r="Z156" s="23">
        <v>2.4</v>
      </c>
      <c r="AA156" s="23">
        <v>112411</v>
      </c>
      <c r="AB156" s="23">
        <v>112412</v>
      </c>
    </row>
    <row r="157" spans="1:27">
      <c r="A157" s="26">
        <v>11244</v>
      </c>
      <c r="B157" t="s">
        <v>259</v>
      </c>
      <c r="C157" t="s">
        <v>353</v>
      </c>
      <c r="D157" t="s">
        <v>72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5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31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2">
        <v>11248</v>
      </c>
      <c r="B158" t="s">
        <v>348</v>
      </c>
      <c r="C158" s="13" t="s">
        <v>354</v>
      </c>
      <c r="D158" s="2" t="s">
        <v>31</v>
      </c>
      <c r="E158" s="23">
        <v>40</v>
      </c>
      <c r="F158" s="23">
        <v>52</v>
      </c>
      <c r="G158" s="23">
        <v>0</v>
      </c>
      <c r="H158" s="23">
        <v>54</v>
      </c>
      <c r="I158" s="23">
        <v>68</v>
      </c>
      <c r="J158" s="23">
        <v>52</v>
      </c>
      <c r="K158" s="23">
        <v>101</v>
      </c>
      <c r="L158" s="23">
        <v>81</v>
      </c>
      <c r="M158" s="23">
        <v>52</v>
      </c>
      <c r="N158" s="23">
        <v>34</v>
      </c>
      <c r="O158" s="23">
        <v>2</v>
      </c>
      <c r="P158" s="23">
        <v>17</v>
      </c>
      <c r="Q158" s="23">
        <v>4</v>
      </c>
      <c r="R158">
        <f t="shared" si="2"/>
        <v>18</v>
      </c>
      <c r="S158" s="23">
        <v>0</v>
      </c>
      <c r="T158" s="23">
        <v>0</v>
      </c>
      <c r="U158" s="23">
        <v>9</v>
      </c>
      <c r="V158" s="23">
        <v>9</v>
      </c>
      <c r="W158" s="23">
        <v>40</v>
      </c>
      <c r="X158" s="23">
        <v>70</v>
      </c>
      <c r="Y158" s="23">
        <v>1.3</v>
      </c>
      <c r="Z158" s="23">
        <v>2.3</v>
      </c>
      <c r="AA158" s="23">
        <v>112481</v>
      </c>
      <c r="AB158" s="23"/>
    </row>
    <row r="159" spans="1:27">
      <c r="A159" s="2">
        <v>11258</v>
      </c>
      <c r="B159" t="s">
        <v>259</v>
      </c>
      <c r="C159" t="s">
        <v>355</v>
      </c>
      <c r="D159" t="s">
        <v>31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5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31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2">
        <v>11265</v>
      </c>
      <c r="B160" t="s">
        <v>259</v>
      </c>
      <c r="C160" t="s">
        <v>356</v>
      </c>
      <c r="D160" s="2" t="s">
        <v>31</v>
      </c>
      <c r="E160" s="23">
        <v>31</v>
      </c>
      <c r="F160" s="23">
        <v>38</v>
      </c>
      <c r="G160" s="23">
        <v>97</v>
      </c>
      <c r="H160" s="23">
        <v>38</v>
      </c>
      <c r="I160" s="23">
        <v>48</v>
      </c>
      <c r="J160" s="23">
        <v>72</v>
      </c>
      <c r="K160" s="23">
        <v>94</v>
      </c>
      <c r="L160" s="23">
        <v>94</v>
      </c>
      <c r="M160" s="23">
        <v>39</v>
      </c>
      <c r="N160" s="23">
        <v>34</v>
      </c>
      <c r="O160" s="23">
        <v>1</v>
      </c>
      <c r="P160" s="23">
        <v>10</v>
      </c>
      <c r="Q160" s="23">
        <v>3</v>
      </c>
      <c r="R160">
        <f t="shared" si="2"/>
        <v>0</v>
      </c>
      <c r="S160" s="23">
        <v>0</v>
      </c>
      <c r="T160" s="23">
        <v>0</v>
      </c>
      <c r="U160" s="23">
        <v>0</v>
      </c>
      <c r="V160" s="23">
        <v>0</v>
      </c>
      <c r="W160" s="23">
        <v>15</v>
      </c>
      <c r="X160" s="23">
        <v>20</v>
      </c>
      <c r="Y160" s="23">
        <v>0.48</v>
      </c>
      <c r="Z160" s="23">
        <v>0.9</v>
      </c>
      <c r="AA160" s="23">
        <v>112651</v>
      </c>
      <c r="AB160" s="23"/>
    </row>
    <row r="161" spans="1:29">
      <c r="A161" s="2">
        <v>11266</v>
      </c>
      <c r="B161" t="s">
        <v>259</v>
      </c>
      <c r="C161" t="s">
        <v>357</v>
      </c>
      <c r="D161" t="s">
        <v>31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5">
        <v>94</v>
      </c>
      <c r="L161">
        <v>95</v>
      </c>
      <c r="M161">
        <v>41</v>
      </c>
      <c r="N161">
        <v>36.7</v>
      </c>
      <c r="O161">
        <v>1</v>
      </c>
      <c r="P161">
        <v>7</v>
      </c>
      <c r="Q161">
        <v>3</v>
      </c>
      <c r="R161" s="31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2" t="s">
        <v>358</v>
      </c>
    </row>
    <row r="162" spans="1:27">
      <c r="A162" s="2">
        <v>11267</v>
      </c>
      <c r="B162" t="s">
        <v>259</v>
      </c>
      <c r="C162" t="s">
        <v>359</v>
      </c>
      <c r="D162" t="s">
        <v>31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5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31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2">
        <v>11269</v>
      </c>
      <c r="B163" t="s">
        <v>259</v>
      </c>
      <c r="C163" t="s">
        <v>360</v>
      </c>
      <c r="D163" s="2" t="s">
        <v>47</v>
      </c>
      <c r="E163" s="23">
        <v>39</v>
      </c>
      <c r="F163" s="23">
        <v>38</v>
      </c>
      <c r="G163" s="23">
        <v>80</v>
      </c>
      <c r="H163" s="23">
        <v>40</v>
      </c>
      <c r="I163" s="23">
        <v>48</v>
      </c>
      <c r="J163" s="23">
        <v>66</v>
      </c>
      <c r="K163" s="23">
        <v>92</v>
      </c>
      <c r="L163" s="23">
        <v>92</v>
      </c>
      <c r="M163" s="23">
        <v>35</v>
      </c>
      <c r="N163" s="23">
        <v>38.5</v>
      </c>
      <c r="O163" s="23">
        <v>1</v>
      </c>
      <c r="P163" s="23">
        <v>10</v>
      </c>
      <c r="Q163" s="23">
        <v>3</v>
      </c>
      <c r="R163">
        <f t="shared" si="2"/>
        <v>0</v>
      </c>
      <c r="S163" s="23">
        <v>0</v>
      </c>
      <c r="T163" s="23">
        <v>0</v>
      </c>
      <c r="U163" s="23">
        <v>0</v>
      </c>
      <c r="V163" s="23">
        <v>0</v>
      </c>
      <c r="W163" s="23">
        <v>10</v>
      </c>
      <c r="X163" s="23">
        <v>20</v>
      </c>
      <c r="Y163" s="23">
        <v>0.48</v>
      </c>
      <c r="Z163" s="23">
        <v>0.99</v>
      </c>
      <c r="AA163" s="23">
        <v>112691</v>
      </c>
      <c r="AB163" s="23"/>
      <c r="AC163" s="2" t="s">
        <v>272</v>
      </c>
    </row>
    <row r="164" spans="1:29">
      <c r="A164" s="2">
        <v>11270</v>
      </c>
      <c r="B164" t="s">
        <v>259</v>
      </c>
      <c r="C164" t="s">
        <v>361</v>
      </c>
      <c r="D164" s="2" t="s">
        <v>47</v>
      </c>
      <c r="E164" s="23">
        <v>39</v>
      </c>
      <c r="F164" s="23">
        <v>38</v>
      </c>
      <c r="G164" s="23">
        <v>80</v>
      </c>
      <c r="H164" s="23">
        <v>40</v>
      </c>
      <c r="I164" s="23">
        <v>48</v>
      </c>
      <c r="J164" s="23">
        <v>66</v>
      </c>
      <c r="K164" s="23">
        <v>92</v>
      </c>
      <c r="L164" s="23">
        <v>92</v>
      </c>
      <c r="M164" s="23">
        <v>37</v>
      </c>
      <c r="N164" s="23">
        <v>38.5</v>
      </c>
      <c r="O164" s="23">
        <v>1</v>
      </c>
      <c r="P164" s="23">
        <v>10</v>
      </c>
      <c r="Q164" s="23">
        <v>3</v>
      </c>
      <c r="R164">
        <f t="shared" si="2"/>
        <v>0</v>
      </c>
      <c r="S164" s="23">
        <v>0</v>
      </c>
      <c r="T164" s="23">
        <v>0</v>
      </c>
      <c r="U164" s="23">
        <v>0</v>
      </c>
      <c r="V164" s="23">
        <v>0</v>
      </c>
      <c r="W164" s="23">
        <v>10</v>
      </c>
      <c r="X164" s="23">
        <v>20</v>
      </c>
      <c r="Y164" s="23">
        <v>0.48</v>
      </c>
      <c r="Z164" s="23">
        <v>0.99</v>
      </c>
      <c r="AA164" s="23">
        <v>112701</v>
      </c>
      <c r="AB164" s="23"/>
      <c r="AC164" s="2" t="s">
        <v>272</v>
      </c>
    </row>
    <row r="165" spans="1:27">
      <c r="A165" s="26">
        <v>11273</v>
      </c>
      <c r="B165" t="s">
        <v>259</v>
      </c>
      <c r="C165" t="s">
        <v>362</v>
      </c>
      <c r="D165" t="s">
        <v>34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5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31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2">
        <v>11275</v>
      </c>
      <c r="B166" t="s">
        <v>259</v>
      </c>
      <c r="C166" t="s">
        <v>363</v>
      </c>
      <c r="D166" t="s">
        <v>34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5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31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2" t="s">
        <v>364</v>
      </c>
    </row>
    <row r="167" spans="1:29">
      <c r="A167" s="26">
        <v>11277</v>
      </c>
      <c r="B167" t="s">
        <v>259</v>
      </c>
      <c r="C167" t="s">
        <v>365</v>
      </c>
      <c r="D167" t="s">
        <v>34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5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31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2" t="s">
        <v>364</v>
      </c>
    </row>
    <row r="168" spans="1:28">
      <c r="A168" s="2">
        <v>11278</v>
      </c>
      <c r="B168" t="s">
        <v>259</v>
      </c>
      <c r="C168" t="s">
        <v>366</v>
      </c>
      <c r="D168" s="2" t="s">
        <v>34</v>
      </c>
      <c r="E168" s="23">
        <v>32</v>
      </c>
      <c r="F168" s="23">
        <v>43</v>
      </c>
      <c r="G168" s="23">
        <v>87</v>
      </c>
      <c r="H168" s="23">
        <v>39</v>
      </c>
      <c r="I168" s="23">
        <v>70</v>
      </c>
      <c r="J168" s="23">
        <v>84</v>
      </c>
      <c r="K168" s="23">
        <v>94</v>
      </c>
      <c r="L168" s="23">
        <v>91</v>
      </c>
      <c r="M168" s="23">
        <v>37</v>
      </c>
      <c r="N168" s="23">
        <v>37</v>
      </c>
      <c r="O168" s="23">
        <v>1</v>
      </c>
      <c r="P168" s="23">
        <v>18</v>
      </c>
      <c r="Q168" s="23">
        <v>3</v>
      </c>
      <c r="R168">
        <f t="shared" si="2"/>
        <v>0</v>
      </c>
      <c r="S168" s="23">
        <v>0</v>
      </c>
      <c r="T168" s="23">
        <v>0</v>
      </c>
      <c r="U168" s="23">
        <v>0</v>
      </c>
      <c r="V168" s="23">
        <v>0</v>
      </c>
      <c r="W168" s="23">
        <v>15</v>
      </c>
      <c r="X168" s="23">
        <v>25</v>
      </c>
      <c r="Y168" s="23">
        <v>0.48</v>
      </c>
      <c r="Z168" s="23">
        <v>0.9</v>
      </c>
      <c r="AA168" s="23">
        <v>112781</v>
      </c>
      <c r="AB168" s="23">
        <v>112782</v>
      </c>
    </row>
    <row r="169" spans="1:28">
      <c r="A169" s="2">
        <v>11279</v>
      </c>
      <c r="B169" t="s">
        <v>259</v>
      </c>
      <c r="C169" t="s">
        <v>367</v>
      </c>
      <c r="D169" s="2" t="s">
        <v>34</v>
      </c>
      <c r="E169" s="23">
        <v>28</v>
      </c>
      <c r="F169" s="23">
        <v>42</v>
      </c>
      <c r="G169" s="23">
        <v>83</v>
      </c>
      <c r="H169" s="23">
        <v>37</v>
      </c>
      <c r="I169" s="23">
        <v>65</v>
      </c>
      <c r="J169" s="23">
        <v>84</v>
      </c>
      <c r="K169" s="23">
        <v>94</v>
      </c>
      <c r="L169" s="23">
        <v>88</v>
      </c>
      <c r="M169" s="23">
        <v>36</v>
      </c>
      <c r="N169" s="23">
        <v>28.7</v>
      </c>
      <c r="O169" s="23">
        <v>1</v>
      </c>
      <c r="P169" s="23">
        <v>18</v>
      </c>
      <c r="Q169" s="23">
        <v>3</v>
      </c>
      <c r="R169">
        <f t="shared" si="2"/>
        <v>0</v>
      </c>
      <c r="S169" s="23">
        <v>0</v>
      </c>
      <c r="T169" s="23">
        <v>0</v>
      </c>
      <c r="U169" s="23">
        <v>0</v>
      </c>
      <c r="V169" s="23">
        <v>0</v>
      </c>
      <c r="W169" s="23">
        <v>15</v>
      </c>
      <c r="X169" s="23">
        <v>25</v>
      </c>
      <c r="Y169" s="23">
        <v>0.45</v>
      </c>
      <c r="Z169" s="23">
        <v>0.8</v>
      </c>
      <c r="AA169" s="23">
        <v>112791</v>
      </c>
      <c r="AB169" s="23">
        <v>112782</v>
      </c>
    </row>
    <row r="170" spans="1:28">
      <c r="A170" s="2">
        <v>11280</v>
      </c>
      <c r="B170" t="s">
        <v>259</v>
      </c>
      <c r="C170" t="s">
        <v>368</v>
      </c>
      <c r="D170" s="2" t="s">
        <v>34</v>
      </c>
      <c r="E170" s="23">
        <v>32</v>
      </c>
      <c r="F170" s="23">
        <v>45</v>
      </c>
      <c r="G170" s="23">
        <v>90</v>
      </c>
      <c r="H170" s="23">
        <v>41</v>
      </c>
      <c r="I170" s="23">
        <v>72</v>
      </c>
      <c r="J170" s="23">
        <v>84</v>
      </c>
      <c r="K170" s="23">
        <v>94</v>
      </c>
      <c r="L170" s="23">
        <v>91</v>
      </c>
      <c r="M170" s="23">
        <v>37</v>
      </c>
      <c r="N170" s="23">
        <v>37</v>
      </c>
      <c r="O170" s="23">
        <v>1</v>
      </c>
      <c r="P170" s="23">
        <v>18</v>
      </c>
      <c r="Q170" s="23">
        <v>3</v>
      </c>
      <c r="R170">
        <f t="shared" si="2"/>
        <v>0</v>
      </c>
      <c r="S170" s="23">
        <v>0</v>
      </c>
      <c r="T170" s="23">
        <v>0</v>
      </c>
      <c r="U170" s="23">
        <v>0</v>
      </c>
      <c r="V170" s="23">
        <v>0</v>
      </c>
      <c r="W170" s="23">
        <v>15</v>
      </c>
      <c r="X170" s="23">
        <v>25</v>
      </c>
      <c r="Y170" s="23">
        <v>0.48</v>
      </c>
      <c r="Z170" s="23">
        <v>0.9</v>
      </c>
      <c r="AA170" s="23">
        <v>112801</v>
      </c>
      <c r="AB170" s="23">
        <v>112782</v>
      </c>
    </row>
    <row r="171" spans="1:29">
      <c r="A171" s="34">
        <v>11289</v>
      </c>
      <c r="B171" t="s">
        <v>87</v>
      </c>
      <c r="C171" s="35" t="s">
        <v>369</v>
      </c>
      <c r="D171" s="12" t="s">
        <v>47</v>
      </c>
      <c r="E171" s="36">
        <v>15</v>
      </c>
      <c r="F171" s="36">
        <v>25</v>
      </c>
      <c r="G171" s="36">
        <v>78</v>
      </c>
      <c r="H171" s="36">
        <v>30</v>
      </c>
      <c r="I171" s="36">
        <v>0</v>
      </c>
      <c r="J171" s="31">
        <v>0</v>
      </c>
      <c r="K171" s="31">
        <v>102</v>
      </c>
      <c r="L171" s="31">
        <v>45</v>
      </c>
      <c r="M171" s="31">
        <v>49</v>
      </c>
      <c r="N171" s="36">
        <v>18</v>
      </c>
      <c r="O171" s="31">
        <v>1</v>
      </c>
      <c r="P171" s="36">
        <v>18</v>
      </c>
      <c r="Q171" s="31">
        <v>3</v>
      </c>
      <c r="R171">
        <f t="shared" si="2"/>
        <v>0</v>
      </c>
      <c r="S171" s="31">
        <v>0</v>
      </c>
      <c r="T171" s="31">
        <v>0</v>
      </c>
      <c r="U171" s="31">
        <v>0</v>
      </c>
      <c r="V171" s="31">
        <v>0</v>
      </c>
      <c r="W171" s="31">
        <v>15</v>
      </c>
      <c r="X171" s="31">
        <v>20</v>
      </c>
      <c r="Y171" s="31">
        <v>0.6</v>
      </c>
      <c r="Z171" s="31">
        <v>0.5</v>
      </c>
      <c r="AA171">
        <v>112891</v>
      </c>
      <c r="AC171" s="2" t="s">
        <v>339</v>
      </c>
    </row>
    <row r="172" spans="1:29">
      <c r="A172" s="2">
        <v>11290</v>
      </c>
      <c r="B172" t="s">
        <v>87</v>
      </c>
      <c r="C172" s="35" t="s">
        <v>370</v>
      </c>
      <c r="D172" s="12" t="s">
        <v>47</v>
      </c>
      <c r="E172" s="31">
        <v>15</v>
      </c>
      <c r="F172" s="31">
        <v>23</v>
      </c>
      <c r="G172" s="31">
        <v>80</v>
      </c>
      <c r="H172" s="31">
        <v>30</v>
      </c>
      <c r="I172" s="31">
        <v>0</v>
      </c>
      <c r="J172" s="31">
        <v>0</v>
      </c>
      <c r="K172" s="37">
        <v>102</v>
      </c>
      <c r="L172" s="31">
        <v>47</v>
      </c>
      <c r="M172" s="31">
        <v>48</v>
      </c>
      <c r="N172" s="31">
        <v>18</v>
      </c>
      <c r="O172" s="31">
        <v>1</v>
      </c>
      <c r="P172" s="31">
        <v>19</v>
      </c>
      <c r="Q172" s="31">
        <v>3</v>
      </c>
      <c r="R172">
        <f t="shared" si="2"/>
        <v>0</v>
      </c>
      <c r="S172" s="31">
        <v>0</v>
      </c>
      <c r="T172" s="31">
        <v>0</v>
      </c>
      <c r="U172" s="31">
        <v>0</v>
      </c>
      <c r="V172" s="31">
        <v>0</v>
      </c>
      <c r="W172" s="31">
        <v>15</v>
      </c>
      <c r="X172" s="31">
        <v>20</v>
      </c>
      <c r="Y172" s="31">
        <v>0.6</v>
      </c>
      <c r="Z172" s="31">
        <v>0.5</v>
      </c>
      <c r="AA172">
        <v>112901</v>
      </c>
      <c r="AC172" s="2" t="s">
        <v>339</v>
      </c>
    </row>
    <row r="173" spans="1:29">
      <c r="A173" s="2">
        <v>11291</v>
      </c>
      <c r="B173" t="s">
        <v>87</v>
      </c>
      <c r="C173" t="s">
        <v>371</v>
      </c>
      <c r="D173" t="s">
        <v>47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5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31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2" t="s">
        <v>339</v>
      </c>
    </row>
    <row r="174" spans="1:29">
      <c r="A174" s="2">
        <v>11293</v>
      </c>
      <c r="B174" t="s">
        <v>87</v>
      </c>
      <c r="C174" s="35" t="s">
        <v>372</v>
      </c>
      <c r="D174" s="12" t="s">
        <v>47</v>
      </c>
      <c r="E174" s="31">
        <v>15</v>
      </c>
      <c r="F174" s="31">
        <v>25</v>
      </c>
      <c r="G174" s="31">
        <v>77</v>
      </c>
      <c r="H174" s="31">
        <v>30</v>
      </c>
      <c r="I174" s="31">
        <v>0</v>
      </c>
      <c r="J174" s="31">
        <v>0</v>
      </c>
      <c r="K174" s="37">
        <v>101</v>
      </c>
      <c r="L174" s="31">
        <v>45</v>
      </c>
      <c r="M174" s="31">
        <v>49</v>
      </c>
      <c r="N174" s="31">
        <v>18</v>
      </c>
      <c r="O174" s="31">
        <v>1</v>
      </c>
      <c r="P174" s="31">
        <v>8</v>
      </c>
      <c r="Q174" s="31">
        <v>3</v>
      </c>
      <c r="R174">
        <f t="shared" si="2"/>
        <v>0</v>
      </c>
      <c r="S174" s="31">
        <v>0</v>
      </c>
      <c r="T174" s="31">
        <v>0</v>
      </c>
      <c r="U174" s="31">
        <v>0</v>
      </c>
      <c r="V174" s="31">
        <v>0</v>
      </c>
      <c r="W174" s="31">
        <v>15</v>
      </c>
      <c r="X174" s="31">
        <v>20</v>
      </c>
      <c r="Y174" s="31">
        <v>0.6</v>
      </c>
      <c r="Z174" s="31">
        <v>0.5</v>
      </c>
      <c r="AA174">
        <v>112931</v>
      </c>
      <c r="AC174" s="2" t="s">
        <v>339</v>
      </c>
    </row>
    <row r="175" spans="1:28">
      <c r="A175" s="2">
        <v>11299</v>
      </c>
      <c r="B175" t="s">
        <v>343</v>
      </c>
      <c r="C175" t="s">
        <v>94</v>
      </c>
      <c r="D175" t="s">
        <v>43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5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31">
        <v>112992</v>
      </c>
    </row>
    <row r="176" spans="1:28">
      <c r="A176" s="2">
        <v>11301</v>
      </c>
      <c r="B176" t="s">
        <v>259</v>
      </c>
      <c r="C176" t="s">
        <v>373</v>
      </c>
      <c r="D176" s="2" t="s">
        <v>34</v>
      </c>
      <c r="E176" s="23">
        <v>32</v>
      </c>
      <c r="F176" s="23">
        <v>40</v>
      </c>
      <c r="G176" s="23">
        <v>87</v>
      </c>
      <c r="H176" s="23">
        <v>39</v>
      </c>
      <c r="I176" s="23">
        <v>62</v>
      </c>
      <c r="J176" s="23">
        <v>79</v>
      </c>
      <c r="K176" s="23">
        <v>94</v>
      </c>
      <c r="L176" s="23">
        <v>90</v>
      </c>
      <c r="M176" s="23">
        <v>32</v>
      </c>
      <c r="N176" s="23">
        <v>37</v>
      </c>
      <c r="O176" s="23">
        <v>1</v>
      </c>
      <c r="P176" s="23">
        <v>10</v>
      </c>
      <c r="Q176" s="23">
        <v>3</v>
      </c>
      <c r="R176">
        <f t="shared" si="2"/>
        <v>0</v>
      </c>
      <c r="S176" s="23">
        <v>0</v>
      </c>
      <c r="T176" s="23">
        <v>0</v>
      </c>
      <c r="U176" s="23">
        <v>0</v>
      </c>
      <c r="V176" s="23">
        <v>0</v>
      </c>
      <c r="W176" s="23">
        <v>15</v>
      </c>
      <c r="X176" s="23">
        <v>25</v>
      </c>
      <c r="Y176" s="23">
        <v>0.48</v>
      </c>
      <c r="Z176" s="23">
        <v>0.9</v>
      </c>
      <c r="AA176" s="23">
        <v>113011</v>
      </c>
      <c r="AB176" s="23"/>
    </row>
    <row r="177" spans="1:28">
      <c r="A177" s="2">
        <v>11306</v>
      </c>
      <c r="B177" t="s">
        <v>259</v>
      </c>
      <c r="C177" t="s">
        <v>374</v>
      </c>
      <c r="D177" s="2" t="s">
        <v>39</v>
      </c>
      <c r="E177" s="23">
        <v>32</v>
      </c>
      <c r="F177" s="23">
        <v>43</v>
      </c>
      <c r="G177" s="23">
        <v>91</v>
      </c>
      <c r="H177" s="23">
        <v>41</v>
      </c>
      <c r="I177" s="23">
        <v>76</v>
      </c>
      <c r="J177" s="23">
        <v>72</v>
      </c>
      <c r="K177" s="23">
        <v>94</v>
      </c>
      <c r="L177" s="23">
        <v>90</v>
      </c>
      <c r="M177" s="23">
        <v>38</v>
      </c>
      <c r="N177" s="23">
        <v>35.8</v>
      </c>
      <c r="O177" s="23">
        <v>1</v>
      </c>
      <c r="P177" s="23">
        <v>16</v>
      </c>
      <c r="Q177" s="23">
        <v>3</v>
      </c>
      <c r="R177">
        <f t="shared" si="2"/>
        <v>0</v>
      </c>
      <c r="S177" s="23">
        <v>0</v>
      </c>
      <c r="T177" s="23">
        <v>0</v>
      </c>
      <c r="U177" s="23">
        <v>0</v>
      </c>
      <c r="V177" s="23">
        <v>0</v>
      </c>
      <c r="W177" s="23">
        <v>15</v>
      </c>
      <c r="X177" s="23">
        <v>25</v>
      </c>
      <c r="Y177" s="23">
        <v>0.5</v>
      </c>
      <c r="Z177" s="23">
        <v>0.95</v>
      </c>
      <c r="AA177" s="23">
        <v>113061</v>
      </c>
      <c r="AB177" s="23"/>
    </row>
    <row r="178" spans="1:27">
      <c r="A178" s="2">
        <v>11311</v>
      </c>
      <c r="B178" t="s">
        <v>231</v>
      </c>
      <c r="C178" t="s">
        <v>375</v>
      </c>
      <c r="D178" t="s">
        <v>34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5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31">
        <f t="shared" si="2"/>
        <v>34</v>
      </c>
      <c r="S178">
        <v>12</v>
      </c>
      <c r="T178">
        <v>12</v>
      </c>
      <c r="U178">
        <v>10</v>
      </c>
      <c r="V178">
        <v>0</v>
      </c>
      <c r="W178" s="23">
        <v>30</v>
      </c>
      <c r="X178" s="23">
        <v>35</v>
      </c>
      <c r="Y178" s="23">
        <v>1.12</v>
      </c>
      <c r="Z178" s="23">
        <v>2.1</v>
      </c>
      <c r="AA178" s="23">
        <v>113111</v>
      </c>
    </row>
    <row r="179" spans="1:28">
      <c r="A179" s="2">
        <v>11316</v>
      </c>
      <c r="B179" t="s">
        <v>259</v>
      </c>
      <c r="C179" t="s">
        <v>376</v>
      </c>
      <c r="D179" s="2" t="s">
        <v>72</v>
      </c>
      <c r="E179" s="23">
        <v>32</v>
      </c>
      <c r="F179" s="23">
        <v>40</v>
      </c>
      <c r="G179" s="23">
        <v>82</v>
      </c>
      <c r="H179" s="23">
        <v>35</v>
      </c>
      <c r="I179" s="23">
        <v>62</v>
      </c>
      <c r="J179" s="23">
        <v>73</v>
      </c>
      <c r="K179" s="23">
        <v>94</v>
      </c>
      <c r="L179" s="23">
        <v>94</v>
      </c>
      <c r="M179" s="23">
        <v>26</v>
      </c>
      <c r="N179" s="23">
        <v>41.7</v>
      </c>
      <c r="O179" s="23">
        <v>1</v>
      </c>
      <c r="P179" s="23">
        <v>25</v>
      </c>
      <c r="Q179" s="23">
        <v>3</v>
      </c>
      <c r="R179">
        <f t="shared" si="2"/>
        <v>0</v>
      </c>
      <c r="S179" s="23">
        <v>0</v>
      </c>
      <c r="T179" s="23">
        <v>0</v>
      </c>
      <c r="U179" s="23">
        <v>0</v>
      </c>
      <c r="V179" s="23">
        <v>0</v>
      </c>
      <c r="W179" s="23">
        <v>15</v>
      </c>
      <c r="X179" s="23">
        <v>15</v>
      </c>
      <c r="Y179" s="23">
        <v>0.5</v>
      </c>
      <c r="Z179" s="23">
        <v>0.9</v>
      </c>
      <c r="AA179" s="23">
        <v>113161</v>
      </c>
      <c r="AB179" s="23"/>
    </row>
    <row r="180" spans="1:28">
      <c r="A180" s="2">
        <v>11323</v>
      </c>
      <c r="B180" t="s">
        <v>259</v>
      </c>
      <c r="C180" t="s">
        <v>377</v>
      </c>
      <c r="D180" s="2" t="s">
        <v>72</v>
      </c>
      <c r="E180" s="23">
        <v>39</v>
      </c>
      <c r="F180" s="23">
        <v>45</v>
      </c>
      <c r="G180" s="23">
        <v>87</v>
      </c>
      <c r="H180" s="23">
        <v>37</v>
      </c>
      <c r="I180" s="23">
        <v>69</v>
      </c>
      <c r="J180" s="23">
        <v>68</v>
      </c>
      <c r="K180" s="23">
        <v>95</v>
      </c>
      <c r="L180" s="23">
        <v>102</v>
      </c>
      <c r="M180" s="23">
        <v>26</v>
      </c>
      <c r="N180" s="23">
        <v>42.5</v>
      </c>
      <c r="O180" s="23">
        <v>1</v>
      </c>
      <c r="P180" s="23">
        <v>8</v>
      </c>
      <c r="Q180" s="23">
        <v>3</v>
      </c>
      <c r="R180">
        <f t="shared" si="2"/>
        <v>0</v>
      </c>
      <c r="S180" s="23">
        <v>0</v>
      </c>
      <c r="T180" s="23">
        <v>0</v>
      </c>
      <c r="U180" s="23">
        <v>0</v>
      </c>
      <c r="V180" s="23">
        <v>0</v>
      </c>
      <c r="W180" s="23">
        <v>20</v>
      </c>
      <c r="X180" s="23">
        <v>25</v>
      </c>
      <c r="Y180" s="23">
        <v>0.5</v>
      </c>
      <c r="Z180" s="23">
        <v>0.9</v>
      </c>
      <c r="AA180" s="23">
        <v>113231</v>
      </c>
      <c r="AB180" s="23"/>
    </row>
    <row r="181" spans="1:29">
      <c r="A181" s="2">
        <v>11325</v>
      </c>
      <c r="B181" t="s">
        <v>29</v>
      </c>
      <c r="C181" s="13" t="s">
        <v>378</v>
      </c>
      <c r="D181" t="s">
        <v>34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5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31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2" t="s">
        <v>81</v>
      </c>
    </row>
    <row r="182" spans="1:27">
      <c r="A182" s="2">
        <v>11332</v>
      </c>
      <c r="B182" t="s">
        <v>231</v>
      </c>
      <c r="C182" t="s">
        <v>379</v>
      </c>
      <c r="D182" t="s">
        <v>31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5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31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2.3</v>
      </c>
      <c r="AA182">
        <v>113321</v>
      </c>
    </row>
    <row r="183" spans="1:28">
      <c r="A183" s="2">
        <v>11335</v>
      </c>
      <c r="B183" t="s">
        <v>259</v>
      </c>
      <c r="C183" t="s">
        <v>380</v>
      </c>
      <c r="D183" s="2" t="s">
        <v>43</v>
      </c>
      <c r="E183" s="23">
        <v>39</v>
      </c>
      <c r="F183" s="23">
        <v>50</v>
      </c>
      <c r="G183" s="23">
        <v>93</v>
      </c>
      <c r="H183" s="23">
        <v>40</v>
      </c>
      <c r="I183" s="23">
        <v>55</v>
      </c>
      <c r="J183" s="23">
        <v>74</v>
      </c>
      <c r="K183" s="23">
        <v>94</v>
      </c>
      <c r="L183" s="23">
        <v>102</v>
      </c>
      <c r="M183" s="23">
        <v>42</v>
      </c>
      <c r="N183" s="23">
        <v>41.6</v>
      </c>
      <c r="O183" s="23">
        <v>1</v>
      </c>
      <c r="P183" s="23">
        <v>10</v>
      </c>
      <c r="Q183" s="23">
        <v>3</v>
      </c>
      <c r="R183">
        <f t="shared" si="2"/>
        <v>0</v>
      </c>
      <c r="S183" s="23">
        <v>0</v>
      </c>
      <c r="T183" s="23">
        <v>0</v>
      </c>
      <c r="U183" s="23">
        <v>0</v>
      </c>
      <c r="V183" s="23">
        <v>0</v>
      </c>
      <c r="W183" s="23">
        <v>20</v>
      </c>
      <c r="X183" s="23">
        <v>25</v>
      </c>
      <c r="Y183" s="23">
        <v>0.6</v>
      </c>
      <c r="Z183" s="23">
        <v>1</v>
      </c>
      <c r="AA183" s="23">
        <v>113351</v>
      </c>
      <c r="AB183" s="23"/>
    </row>
    <row r="184" spans="1:29">
      <c r="A184" s="2">
        <v>11339</v>
      </c>
      <c r="B184" t="s">
        <v>29</v>
      </c>
      <c r="C184" s="13" t="s">
        <v>104</v>
      </c>
      <c r="D184" t="s">
        <v>68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23">
        <v>70</v>
      </c>
      <c r="X184" s="23">
        <v>75</v>
      </c>
      <c r="Y184" s="23">
        <v>2.6</v>
      </c>
      <c r="Z184" s="23">
        <v>4.9</v>
      </c>
      <c r="AA184">
        <v>113391</v>
      </c>
      <c r="AB184">
        <v>113392</v>
      </c>
      <c r="AC184" s="2" t="s">
        <v>69</v>
      </c>
    </row>
    <row r="185" spans="1:27">
      <c r="A185" s="2">
        <v>11340</v>
      </c>
      <c r="B185" t="s">
        <v>348</v>
      </c>
      <c r="C185" t="s">
        <v>381</v>
      </c>
      <c r="D185" t="s">
        <v>68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5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31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4.6</v>
      </c>
      <c r="AA185">
        <v>113401</v>
      </c>
    </row>
    <row r="186" spans="1:28">
      <c r="A186" s="2">
        <v>11342</v>
      </c>
      <c r="B186" t="s">
        <v>259</v>
      </c>
      <c r="C186" t="s">
        <v>382</v>
      </c>
      <c r="D186" s="2" t="s">
        <v>34</v>
      </c>
      <c r="E186" s="23">
        <v>35</v>
      </c>
      <c r="F186" s="23">
        <v>45</v>
      </c>
      <c r="G186" s="23">
        <v>78</v>
      </c>
      <c r="H186" s="23">
        <v>40</v>
      </c>
      <c r="I186" s="23">
        <v>86</v>
      </c>
      <c r="J186" s="23">
        <v>125</v>
      </c>
      <c r="K186" s="23">
        <v>94</v>
      </c>
      <c r="L186" s="23">
        <v>86</v>
      </c>
      <c r="M186" s="23">
        <v>43</v>
      </c>
      <c r="N186" s="23">
        <v>35</v>
      </c>
      <c r="O186" s="23">
        <v>1</v>
      </c>
      <c r="P186" s="23">
        <v>22</v>
      </c>
      <c r="Q186" s="23">
        <v>3</v>
      </c>
      <c r="R186">
        <f t="shared" si="2"/>
        <v>0</v>
      </c>
      <c r="S186" s="23">
        <v>0</v>
      </c>
      <c r="T186" s="23">
        <v>0</v>
      </c>
      <c r="U186" s="23">
        <v>0</v>
      </c>
      <c r="V186" s="23">
        <v>0</v>
      </c>
      <c r="W186" s="23">
        <v>15</v>
      </c>
      <c r="X186" s="23">
        <v>25</v>
      </c>
      <c r="Y186" s="23">
        <v>0.48</v>
      </c>
      <c r="Z186" s="23">
        <v>0.9</v>
      </c>
      <c r="AA186" s="23">
        <v>113421</v>
      </c>
      <c r="AB186" s="23"/>
    </row>
    <row r="187" spans="1:28">
      <c r="A187" s="2">
        <v>11344</v>
      </c>
      <c r="B187" t="s">
        <v>259</v>
      </c>
      <c r="C187" t="s">
        <v>383</v>
      </c>
      <c r="D187" s="2" t="s">
        <v>34</v>
      </c>
      <c r="E187" s="23">
        <v>32</v>
      </c>
      <c r="F187" s="23">
        <v>43</v>
      </c>
      <c r="G187" s="23">
        <v>79</v>
      </c>
      <c r="H187" s="23">
        <v>39</v>
      </c>
      <c r="I187" s="23">
        <v>83</v>
      </c>
      <c r="J187" s="23">
        <v>115</v>
      </c>
      <c r="K187" s="23">
        <v>94</v>
      </c>
      <c r="L187" s="23">
        <v>91</v>
      </c>
      <c r="M187" s="23">
        <v>43</v>
      </c>
      <c r="N187" s="23">
        <v>37</v>
      </c>
      <c r="O187" s="23">
        <v>1</v>
      </c>
      <c r="P187" s="23">
        <v>21</v>
      </c>
      <c r="Q187" s="23">
        <v>3</v>
      </c>
      <c r="R187">
        <f t="shared" si="2"/>
        <v>0</v>
      </c>
      <c r="S187" s="23">
        <v>0</v>
      </c>
      <c r="T187" s="23">
        <v>0</v>
      </c>
      <c r="U187" s="23">
        <v>0</v>
      </c>
      <c r="V187" s="23">
        <v>0</v>
      </c>
      <c r="W187" s="23">
        <v>15</v>
      </c>
      <c r="X187" s="23">
        <v>25</v>
      </c>
      <c r="Y187" s="23">
        <v>0.48</v>
      </c>
      <c r="Z187" s="23">
        <v>0.9</v>
      </c>
      <c r="AA187" s="23">
        <v>113441</v>
      </c>
      <c r="AB187" s="23"/>
    </row>
    <row r="188" spans="1:29">
      <c r="A188" s="34">
        <v>11351</v>
      </c>
      <c r="B188" t="s">
        <v>87</v>
      </c>
      <c r="C188" s="35" t="s">
        <v>384</v>
      </c>
      <c r="D188" s="12" t="s">
        <v>47</v>
      </c>
      <c r="E188" s="36">
        <v>12</v>
      </c>
      <c r="F188" s="36">
        <v>22</v>
      </c>
      <c r="G188" s="36">
        <v>67</v>
      </c>
      <c r="H188" s="36">
        <v>25</v>
      </c>
      <c r="I188" s="36">
        <v>0</v>
      </c>
      <c r="J188" s="31">
        <v>0</v>
      </c>
      <c r="K188" s="31">
        <v>102</v>
      </c>
      <c r="L188" s="31">
        <v>68</v>
      </c>
      <c r="M188" s="31">
        <v>28</v>
      </c>
      <c r="N188" s="36">
        <v>25</v>
      </c>
      <c r="O188" s="31">
        <v>1</v>
      </c>
      <c r="P188" s="36">
        <v>10</v>
      </c>
      <c r="Q188" s="31">
        <v>3</v>
      </c>
      <c r="R188">
        <f t="shared" si="2"/>
        <v>0</v>
      </c>
      <c r="S188" s="31">
        <v>0</v>
      </c>
      <c r="T188" s="31">
        <v>0</v>
      </c>
      <c r="U188" s="31">
        <v>0</v>
      </c>
      <c r="V188" s="31">
        <v>0</v>
      </c>
      <c r="W188" s="31">
        <v>10</v>
      </c>
      <c r="X188" s="31">
        <v>15</v>
      </c>
      <c r="Y188" s="31">
        <v>0.5</v>
      </c>
      <c r="Z188" s="31">
        <v>0.5</v>
      </c>
      <c r="AA188" s="23">
        <v>113511</v>
      </c>
      <c r="AC188" s="2" t="s">
        <v>339</v>
      </c>
    </row>
    <row r="189" spans="1:28">
      <c r="A189" s="2">
        <v>11362</v>
      </c>
      <c r="B189" t="s">
        <v>51</v>
      </c>
      <c r="C189" s="13" t="s">
        <v>110</v>
      </c>
      <c r="D189" s="2" t="s">
        <v>34</v>
      </c>
      <c r="E189" s="23">
        <v>84</v>
      </c>
      <c r="F189" s="23">
        <v>115</v>
      </c>
      <c r="G189" s="23">
        <v>0</v>
      </c>
      <c r="H189" s="23">
        <v>90</v>
      </c>
      <c r="I189" s="23">
        <v>95</v>
      </c>
      <c r="J189" s="23">
        <v>0</v>
      </c>
      <c r="K189" s="23">
        <v>101</v>
      </c>
      <c r="L189" s="23">
        <v>69</v>
      </c>
      <c r="M189" s="23">
        <v>45</v>
      </c>
      <c r="N189" s="23">
        <v>33</v>
      </c>
      <c r="O189" s="23">
        <v>3</v>
      </c>
      <c r="P189" s="23">
        <v>8</v>
      </c>
      <c r="Q189" s="23">
        <v>4</v>
      </c>
      <c r="R189">
        <f t="shared" si="2"/>
        <v>12</v>
      </c>
      <c r="S189" s="23">
        <v>3</v>
      </c>
      <c r="T189" s="23">
        <v>3</v>
      </c>
      <c r="U189" s="23">
        <v>3</v>
      </c>
      <c r="V189" s="23">
        <v>3</v>
      </c>
      <c r="W189" s="23">
        <v>90</v>
      </c>
      <c r="X189" s="23">
        <v>130</v>
      </c>
      <c r="Y189" s="23">
        <v>3.5</v>
      </c>
      <c r="Z189" s="23">
        <v>5.6</v>
      </c>
      <c r="AA189" s="23">
        <v>113621</v>
      </c>
      <c r="AB189" s="23">
        <v>113622</v>
      </c>
    </row>
    <row r="190" spans="1:27">
      <c r="A190" s="2">
        <v>11363</v>
      </c>
      <c r="B190" t="s">
        <v>92</v>
      </c>
      <c r="C190" t="s">
        <v>112</v>
      </c>
      <c r="D190" t="s">
        <v>72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5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31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8">
      <c r="A191" s="33">
        <v>11366</v>
      </c>
      <c r="B191" t="s">
        <v>87</v>
      </c>
      <c r="C191" s="33" t="s">
        <v>113</v>
      </c>
      <c r="D191" t="s">
        <v>34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5">
        <v>108</v>
      </c>
      <c r="L191">
        <v>45</v>
      </c>
      <c r="M191">
        <v>48</v>
      </c>
      <c r="N191">
        <v>17.4</v>
      </c>
      <c r="O191">
        <v>1</v>
      </c>
      <c r="P191">
        <v>25</v>
      </c>
      <c r="Q191">
        <v>3</v>
      </c>
      <c r="R191" s="31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23">
        <v>103661</v>
      </c>
      <c r="AB191">
        <v>113662</v>
      </c>
    </row>
    <row r="192" spans="1:29">
      <c r="A192" s="2">
        <v>11372</v>
      </c>
      <c r="B192" t="s">
        <v>259</v>
      </c>
      <c r="C192" t="s">
        <v>385</v>
      </c>
      <c r="D192" s="2" t="s">
        <v>31</v>
      </c>
      <c r="E192" s="23">
        <v>36</v>
      </c>
      <c r="F192" s="23">
        <v>40</v>
      </c>
      <c r="G192" s="23">
        <v>93</v>
      </c>
      <c r="H192" s="23">
        <v>38</v>
      </c>
      <c r="I192" s="23">
        <v>75</v>
      </c>
      <c r="J192" s="23">
        <v>84</v>
      </c>
      <c r="K192" s="23">
        <v>94</v>
      </c>
      <c r="L192" s="23">
        <v>90</v>
      </c>
      <c r="M192" s="23">
        <v>21</v>
      </c>
      <c r="N192" s="23">
        <v>36.7</v>
      </c>
      <c r="O192" s="23">
        <v>1</v>
      </c>
      <c r="P192" s="23">
        <v>7</v>
      </c>
      <c r="Q192" s="23">
        <v>3</v>
      </c>
      <c r="R192">
        <f t="shared" si="2"/>
        <v>0</v>
      </c>
      <c r="S192" s="23">
        <v>0</v>
      </c>
      <c r="T192" s="23">
        <v>0</v>
      </c>
      <c r="U192" s="23">
        <v>0</v>
      </c>
      <c r="V192" s="23">
        <v>0</v>
      </c>
      <c r="W192" s="23">
        <v>15</v>
      </c>
      <c r="X192" s="23">
        <v>25</v>
      </c>
      <c r="Y192" s="23">
        <v>0.5</v>
      </c>
      <c r="Z192" s="23">
        <v>0.9</v>
      </c>
      <c r="AA192" s="23">
        <v>113721</v>
      </c>
      <c r="AB192" s="23"/>
      <c r="AC192" s="2" t="s">
        <v>358</v>
      </c>
    </row>
    <row r="193" spans="1:28">
      <c r="A193" s="2">
        <v>11380</v>
      </c>
      <c r="B193" t="s">
        <v>37</v>
      </c>
      <c r="C193" s="13" t="s">
        <v>119</v>
      </c>
      <c r="D193" s="2" t="s">
        <v>39</v>
      </c>
      <c r="E193" s="29">
        <v>92</v>
      </c>
      <c r="F193" s="29">
        <v>128</v>
      </c>
      <c r="G193" s="29">
        <v>0</v>
      </c>
      <c r="H193" s="29">
        <v>115</v>
      </c>
      <c r="I193" s="29">
        <v>80</v>
      </c>
      <c r="J193" s="23">
        <v>0</v>
      </c>
      <c r="K193" s="23">
        <v>102</v>
      </c>
      <c r="L193" s="23">
        <v>48</v>
      </c>
      <c r="M193" s="23">
        <v>45</v>
      </c>
      <c r="N193" s="29">
        <v>23</v>
      </c>
      <c r="O193" s="23">
        <v>3</v>
      </c>
      <c r="P193" s="29">
        <v>9</v>
      </c>
      <c r="Q193" s="23">
        <v>4</v>
      </c>
      <c r="R193">
        <f t="shared" si="2"/>
        <v>0</v>
      </c>
      <c r="S193" s="29">
        <v>0</v>
      </c>
      <c r="T193" s="29">
        <v>0</v>
      </c>
      <c r="U193" s="29">
        <v>0</v>
      </c>
      <c r="V193" s="29">
        <v>0</v>
      </c>
      <c r="W193" s="23">
        <v>130</v>
      </c>
      <c r="X193" s="23">
        <v>185</v>
      </c>
      <c r="Y193" s="23">
        <v>5</v>
      </c>
      <c r="Z193" s="23">
        <v>9</v>
      </c>
      <c r="AA193" s="23">
        <v>113801</v>
      </c>
      <c r="AB193" s="23">
        <v>113802</v>
      </c>
    </row>
    <row r="194" spans="1:27">
      <c r="A194" s="33">
        <v>11400</v>
      </c>
      <c r="B194" t="s">
        <v>386</v>
      </c>
      <c r="C194" s="33" t="s">
        <v>387</v>
      </c>
      <c r="D194" t="s">
        <v>388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5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31">
        <f t="shared" ref="R194:R226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</v>
      </c>
      <c r="Z194">
        <v>2</v>
      </c>
      <c r="AA194">
        <v>114001</v>
      </c>
    </row>
    <row r="195" spans="1:27">
      <c r="A195" s="2">
        <v>11408</v>
      </c>
      <c r="B195" t="s">
        <v>87</v>
      </c>
      <c r="C195" s="35" t="s">
        <v>389</v>
      </c>
      <c r="D195" s="12" t="s">
        <v>34</v>
      </c>
      <c r="E195" s="31">
        <v>17</v>
      </c>
      <c r="F195" s="31">
        <v>26</v>
      </c>
      <c r="G195" s="31">
        <v>89</v>
      </c>
      <c r="H195" s="31">
        <v>32</v>
      </c>
      <c r="I195" s="31">
        <v>0</v>
      </c>
      <c r="J195" s="31">
        <v>0</v>
      </c>
      <c r="K195" s="37">
        <v>100</v>
      </c>
      <c r="L195" s="31">
        <v>47</v>
      </c>
      <c r="M195" s="31">
        <v>47</v>
      </c>
      <c r="N195" s="31">
        <v>21</v>
      </c>
      <c r="O195" s="31">
        <v>1</v>
      </c>
      <c r="P195" s="31">
        <v>20</v>
      </c>
      <c r="Q195" s="31">
        <v>3</v>
      </c>
      <c r="R195">
        <f t="shared" si="3"/>
        <v>0</v>
      </c>
      <c r="S195" s="31">
        <v>0</v>
      </c>
      <c r="T195" s="31">
        <v>0</v>
      </c>
      <c r="U195" s="31">
        <v>0</v>
      </c>
      <c r="V195" s="31">
        <v>0</v>
      </c>
      <c r="W195" s="31">
        <v>20</v>
      </c>
      <c r="X195" s="31">
        <v>25</v>
      </c>
      <c r="Y195" s="31">
        <v>0.64</v>
      </c>
      <c r="Z195" s="31">
        <v>0.75</v>
      </c>
      <c r="AA195">
        <v>114081</v>
      </c>
    </row>
    <row r="196" spans="1:27">
      <c r="A196" s="2">
        <v>11413</v>
      </c>
      <c r="B196" t="s">
        <v>386</v>
      </c>
      <c r="C196" t="s">
        <v>390</v>
      </c>
      <c r="D196" t="s">
        <v>68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</v>
      </c>
      <c r="AA196" s="31">
        <v>114131</v>
      </c>
    </row>
    <row r="197" spans="1:27">
      <c r="A197" s="2">
        <v>11414</v>
      </c>
      <c r="B197" t="s">
        <v>259</v>
      </c>
      <c r="C197" t="s">
        <v>391</v>
      </c>
      <c r="D197" t="s">
        <v>39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5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31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7">
      <c r="A198" s="2">
        <v>11416</v>
      </c>
      <c r="B198" t="s">
        <v>259</v>
      </c>
      <c r="C198" t="s">
        <v>392</v>
      </c>
      <c r="D198" t="s">
        <v>72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5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31">
        <f t="shared" si="3"/>
        <v>0</v>
      </c>
      <c r="S198">
        <v>0</v>
      </c>
      <c r="T198">
        <v>0</v>
      </c>
      <c r="U198">
        <v>0</v>
      </c>
      <c r="V198">
        <v>0</v>
      </c>
      <c r="W198" s="23">
        <v>15</v>
      </c>
      <c r="X198" s="23">
        <v>25</v>
      </c>
      <c r="Y198" s="23">
        <v>0.5</v>
      </c>
      <c r="Z198" s="23">
        <v>0.9</v>
      </c>
      <c r="AA198" s="23">
        <v>114161</v>
      </c>
    </row>
    <row r="199" spans="1:27">
      <c r="A199" s="2">
        <v>11425</v>
      </c>
      <c r="B199" t="s">
        <v>259</v>
      </c>
      <c r="C199" t="s">
        <v>393</v>
      </c>
      <c r="D199" t="s">
        <v>34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5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31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8">
      <c r="A200" s="2">
        <v>11426</v>
      </c>
      <c r="B200" t="s">
        <v>29</v>
      </c>
      <c r="C200" s="13" t="s">
        <v>134</v>
      </c>
      <c r="D200" t="s">
        <v>47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5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31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7">
      <c r="A201" s="2">
        <v>11429</v>
      </c>
      <c r="B201" t="s">
        <v>259</v>
      </c>
      <c r="C201" t="s">
        <v>394</v>
      </c>
      <c r="D201" t="s">
        <v>43</v>
      </c>
      <c r="E201">
        <v>39</v>
      </c>
      <c r="F201">
        <v>37</v>
      </c>
      <c r="G201">
        <v>80</v>
      </c>
      <c r="H201">
        <v>37</v>
      </c>
      <c r="I201">
        <v>95</v>
      </c>
      <c r="J201">
        <v>128</v>
      </c>
      <c r="K201" s="15">
        <v>95</v>
      </c>
      <c r="L201">
        <v>82</v>
      </c>
      <c r="M201">
        <v>47</v>
      </c>
      <c r="N201">
        <v>36</v>
      </c>
      <c r="O201">
        <v>1</v>
      </c>
      <c r="P201">
        <v>22</v>
      </c>
      <c r="Q201">
        <v>3</v>
      </c>
      <c r="R201" s="31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30</v>
      </c>
      <c r="Y201">
        <v>0.7</v>
      </c>
      <c r="Z201">
        <v>0.96</v>
      </c>
      <c r="AA201">
        <v>114291</v>
      </c>
    </row>
    <row r="202" spans="1:27">
      <c r="A202" s="33">
        <v>11430</v>
      </c>
      <c r="B202" t="s">
        <v>386</v>
      </c>
      <c r="C202" s="33" t="s">
        <v>395</v>
      </c>
      <c r="D202" t="s">
        <v>72</v>
      </c>
      <c r="E202">
        <v>52</v>
      </c>
      <c r="F202">
        <v>61</v>
      </c>
      <c r="G202">
        <v>0</v>
      </c>
      <c r="H202">
        <v>58</v>
      </c>
      <c r="I202">
        <v>105</v>
      </c>
      <c r="J202">
        <v>0</v>
      </c>
      <c r="K202" s="15">
        <v>99</v>
      </c>
      <c r="L202">
        <v>74</v>
      </c>
      <c r="M202">
        <v>44</v>
      </c>
      <c r="N202">
        <v>33</v>
      </c>
      <c r="O202">
        <v>2</v>
      </c>
      <c r="P202">
        <v>17</v>
      </c>
      <c r="Q202">
        <v>4</v>
      </c>
      <c r="R202" s="31">
        <f t="shared" si="3"/>
        <v>48</v>
      </c>
      <c r="S202">
        <v>12</v>
      </c>
      <c r="T202">
        <v>12</v>
      </c>
      <c r="U202">
        <v>12</v>
      </c>
      <c r="V202">
        <v>12</v>
      </c>
      <c r="W202">
        <v>30</v>
      </c>
      <c r="X202">
        <v>75</v>
      </c>
      <c r="Y202">
        <v>0.9</v>
      </c>
      <c r="Z202">
        <v>1.7</v>
      </c>
      <c r="AA202">
        <v>114301</v>
      </c>
    </row>
    <row r="203" spans="1:28">
      <c r="A203" s="2">
        <v>11431</v>
      </c>
      <c r="B203" t="s">
        <v>84</v>
      </c>
      <c r="C203" t="s">
        <v>396</v>
      </c>
      <c r="D203" s="2" t="s">
        <v>39</v>
      </c>
      <c r="E203" s="23">
        <v>60</v>
      </c>
      <c r="F203" s="23">
        <v>65</v>
      </c>
      <c r="G203" s="23">
        <v>60</v>
      </c>
      <c r="H203" s="23">
        <v>47</v>
      </c>
      <c r="I203" s="23">
        <v>81</v>
      </c>
      <c r="J203" s="23">
        <v>0</v>
      </c>
      <c r="K203" s="30">
        <v>97</v>
      </c>
      <c r="L203" s="23">
        <v>84</v>
      </c>
      <c r="M203" s="23">
        <v>62</v>
      </c>
      <c r="N203" s="23">
        <v>31.5</v>
      </c>
      <c r="O203" s="23">
        <v>2</v>
      </c>
      <c r="P203" s="23">
        <v>20</v>
      </c>
      <c r="Q203" s="23">
        <v>4</v>
      </c>
      <c r="R203">
        <f t="shared" si="3"/>
        <v>0</v>
      </c>
      <c r="S203" s="23">
        <v>0</v>
      </c>
      <c r="T203" s="23">
        <v>0</v>
      </c>
      <c r="U203" s="23">
        <v>0</v>
      </c>
      <c r="V203" s="23">
        <v>0</v>
      </c>
      <c r="W203" s="23">
        <v>35</v>
      </c>
      <c r="X203" s="23">
        <v>70</v>
      </c>
      <c r="Y203" s="23">
        <v>1.28</v>
      </c>
      <c r="Z203" s="23">
        <v>2.4</v>
      </c>
      <c r="AA203" s="23">
        <v>114311</v>
      </c>
      <c r="AB203" s="23"/>
    </row>
    <row r="204" spans="1:28">
      <c r="A204" s="2">
        <v>11456</v>
      </c>
      <c r="B204" t="s">
        <v>131</v>
      </c>
      <c r="C204" t="s">
        <v>397</v>
      </c>
      <c r="D204" s="2" t="s">
        <v>72</v>
      </c>
      <c r="E204" s="23">
        <v>64</v>
      </c>
      <c r="F204" s="23">
        <v>76</v>
      </c>
      <c r="G204" s="23">
        <v>0</v>
      </c>
      <c r="H204" s="23">
        <v>67</v>
      </c>
      <c r="I204" s="23">
        <v>100</v>
      </c>
      <c r="J204" s="23">
        <v>79</v>
      </c>
      <c r="K204" s="23">
        <v>97</v>
      </c>
      <c r="L204" s="23">
        <v>83</v>
      </c>
      <c r="M204" s="23">
        <v>59</v>
      </c>
      <c r="N204" s="23">
        <v>32.6</v>
      </c>
      <c r="O204" s="23">
        <v>2</v>
      </c>
      <c r="P204" s="23">
        <v>19</v>
      </c>
      <c r="Q204" s="23">
        <v>4</v>
      </c>
      <c r="R204">
        <f t="shared" si="3"/>
        <v>0</v>
      </c>
      <c r="S204" s="23">
        <v>0</v>
      </c>
      <c r="T204" s="23">
        <v>0</v>
      </c>
      <c r="U204" s="23">
        <v>0</v>
      </c>
      <c r="V204" s="23">
        <v>0</v>
      </c>
      <c r="W204" s="23">
        <v>45</v>
      </c>
      <c r="X204" s="23">
        <v>80</v>
      </c>
      <c r="Y204" s="23">
        <v>1.5</v>
      </c>
      <c r="Z204" s="23">
        <v>2.8</v>
      </c>
      <c r="AA204" s="23">
        <v>114561</v>
      </c>
      <c r="AB204" s="23"/>
    </row>
    <row r="205" spans="1:29">
      <c r="A205" s="2">
        <v>11467</v>
      </c>
      <c r="B205" t="s">
        <v>105</v>
      </c>
      <c r="C205" t="s">
        <v>152</v>
      </c>
      <c r="D205" t="s">
        <v>89</v>
      </c>
      <c r="E205">
        <v>33</v>
      </c>
      <c r="F205">
        <v>42</v>
      </c>
      <c r="G205">
        <v>0</v>
      </c>
      <c r="H205">
        <v>40</v>
      </c>
      <c r="I205">
        <v>65</v>
      </c>
      <c r="J205">
        <v>0</v>
      </c>
      <c r="K205" s="15">
        <v>101</v>
      </c>
      <c r="L205">
        <v>93</v>
      </c>
      <c r="M205">
        <v>44</v>
      </c>
      <c r="N205">
        <v>39</v>
      </c>
      <c r="O205">
        <v>1</v>
      </c>
      <c r="P205">
        <v>25</v>
      </c>
      <c r="Q205">
        <v>3</v>
      </c>
      <c r="R205" s="31">
        <f t="shared" si="3"/>
        <v>24</v>
      </c>
      <c r="S205">
        <v>8</v>
      </c>
      <c r="T205">
        <v>8</v>
      </c>
      <c r="U205">
        <v>8</v>
      </c>
      <c r="V205">
        <v>0</v>
      </c>
      <c r="W205">
        <v>25</v>
      </c>
      <c r="X205">
        <v>65</v>
      </c>
      <c r="Y205">
        <v>0.48</v>
      </c>
      <c r="Z205">
        <v>1.5</v>
      </c>
      <c r="AA205">
        <v>104671</v>
      </c>
      <c r="AB205">
        <v>114672</v>
      </c>
      <c r="AC205" s="2" t="s">
        <v>153</v>
      </c>
    </row>
    <row r="206" spans="1:28">
      <c r="A206" s="2">
        <v>11483</v>
      </c>
      <c r="B206" t="s">
        <v>44</v>
      </c>
      <c r="C206" s="13" t="s">
        <v>160</v>
      </c>
      <c r="D206" t="s">
        <v>39</v>
      </c>
      <c r="E206">
        <v>80</v>
      </c>
      <c r="F206">
        <v>45</v>
      </c>
      <c r="G206">
        <v>0</v>
      </c>
      <c r="H206">
        <v>96</v>
      </c>
      <c r="I206">
        <v>101</v>
      </c>
      <c r="J206">
        <v>0</v>
      </c>
      <c r="K206" s="15">
        <v>97</v>
      </c>
      <c r="L206">
        <v>66</v>
      </c>
      <c r="M206">
        <v>78</v>
      </c>
      <c r="N206">
        <v>30.5</v>
      </c>
      <c r="O206">
        <v>1</v>
      </c>
      <c r="P206">
        <v>25</v>
      </c>
      <c r="Q206">
        <v>4</v>
      </c>
      <c r="R206">
        <f t="shared" si="3"/>
        <v>67</v>
      </c>
      <c r="S206">
        <v>20</v>
      </c>
      <c r="T206">
        <v>21</v>
      </c>
      <c r="U206">
        <v>15</v>
      </c>
      <c r="V206">
        <v>11</v>
      </c>
      <c r="W206" s="23">
        <v>75</v>
      </c>
      <c r="X206" s="23">
        <v>90</v>
      </c>
      <c r="Y206" s="23">
        <v>2.88</v>
      </c>
      <c r="Z206" s="23">
        <v>5.5</v>
      </c>
      <c r="AA206">
        <v>104831</v>
      </c>
      <c r="AB206" s="23">
        <v>114832</v>
      </c>
    </row>
    <row r="207" spans="1:27">
      <c r="A207" s="2">
        <v>11490</v>
      </c>
      <c r="B207" t="s">
        <v>51</v>
      </c>
      <c r="C207" t="s">
        <v>163</v>
      </c>
      <c r="D207" t="s">
        <v>47</v>
      </c>
      <c r="E207">
        <v>72</v>
      </c>
      <c r="F207">
        <v>91</v>
      </c>
      <c r="G207">
        <v>45</v>
      </c>
      <c r="H207">
        <v>80</v>
      </c>
      <c r="I207">
        <v>70</v>
      </c>
      <c r="J207">
        <v>0</v>
      </c>
      <c r="K207" s="15">
        <v>94</v>
      </c>
      <c r="L207">
        <v>73</v>
      </c>
      <c r="M207">
        <v>44</v>
      </c>
      <c r="N207">
        <v>35</v>
      </c>
      <c r="O207">
        <v>3</v>
      </c>
      <c r="P207">
        <v>6</v>
      </c>
      <c r="Q207">
        <v>4</v>
      </c>
      <c r="R207" s="31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60</v>
      </c>
      <c r="X207">
        <v>130</v>
      </c>
      <c r="Y207">
        <v>2.8</v>
      </c>
      <c r="Z207">
        <v>5.8</v>
      </c>
      <c r="AA207">
        <v>104901</v>
      </c>
    </row>
    <row r="208" spans="1:27">
      <c r="A208" s="33">
        <v>11496</v>
      </c>
      <c r="B208" t="s">
        <v>259</v>
      </c>
      <c r="C208" s="33" t="s">
        <v>398</v>
      </c>
      <c r="D208" t="s">
        <v>34</v>
      </c>
      <c r="E208">
        <v>43</v>
      </c>
      <c r="F208">
        <v>46</v>
      </c>
      <c r="G208">
        <v>83</v>
      </c>
      <c r="H208">
        <v>42</v>
      </c>
      <c r="I208">
        <v>95</v>
      </c>
      <c r="J208">
        <v>136</v>
      </c>
      <c r="K208" s="15">
        <v>92</v>
      </c>
      <c r="L208">
        <v>91</v>
      </c>
      <c r="M208">
        <v>51</v>
      </c>
      <c r="N208">
        <v>32</v>
      </c>
      <c r="O208">
        <v>1</v>
      </c>
      <c r="P208">
        <v>10</v>
      </c>
      <c r="Q208">
        <v>3</v>
      </c>
      <c r="R208" s="31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35</v>
      </c>
      <c r="Y208">
        <v>0.7</v>
      </c>
      <c r="Z208">
        <v>1.2</v>
      </c>
      <c r="AA208">
        <v>114961</v>
      </c>
    </row>
    <row r="209" spans="1:27">
      <c r="A209" s="2">
        <v>11503</v>
      </c>
      <c r="B209" t="s">
        <v>259</v>
      </c>
      <c r="C209" t="s">
        <v>399</v>
      </c>
      <c r="D209" t="s">
        <v>47</v>
      </c>
      <c r="E209">
        <v>32</v>
      </c>
      <c r="F209">
        <v>37</v>
      </c>
      <c r="G209">
        <v>81</v>
      </c>
      <c r="H209">
        <v>36</v>
      </c>
      <c r="I209">
        <v>65</v>
      </c>
      <c r="J209">
        <v>71</v>
      </c>
      <c r="K209" s="15">
        <v>92</v>
      </c>
      <c r="L209">
        <v>90</v>
      </c>
      <c r="M209">
        <v>36</v>
      </c>
      <c r="N209">
        <v>33.5</v>
      </c>
      <c r="O209">
        <v>1</v>
      </c>
      <c r="P209">
        <v>24</v>
      </c>
      <c r="Q209">
        <v>3</v>
      </c>
      <c r="R209" s="31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15</v>
      </c>
      <c r="X209">
        <v>25</v>
      </c>
      <c r="Y209">
        <v>0.48</v>
      </c>
      <c r="Z209">
        <v>0.8</v>
      </c>
      <c r="AA209">
        <v>115031</v>
      </c>
    </row>
    <row r="210" spans="1:27">
      <c r="A210" s="2">
        <v>11509</v>
      </c>
      <c r="B210" t="s">
        <v>92</v>
      </c>
      <c r="C210" t="s">
        <v>400</v>
      </c>
      <c r="D210" t="s">
        <v>72</v>
      </c>
      <c r="E210">
        <v>40</v>
      </c>
      <c r="F210">
        <v>46</v>
      </c>
      <c r="G210">
        <v>0</v>
      </c>
      <c r="H210">
        <v>39</v>
      </c>
      <c r="I210">
        <v>90</v>
      </c>
      <c r="J210">
        <v>74</v>
      </c>
      <c r="K210" s="15">
        <v>107</v>
      </c>
      <c r="L210">
        <v>85</v>
      </c>
      <c r="M210">
        <v>51</v>
      </c>
      <c r="N210">
        <v>34.5</v>
      </c>
      <c r="O210">
        <v>1</v>
      </c>
      <c r="P210">
        <v>16</v>
      </c>
      <c r="Q210">
        <v>3</v>
      </c>
      <c r="R210" s="31">
        <f t="shared" si="3"/>
        <v>48</v>
      </c>
      <c r="S210">
        <v>16</v>
      </c>
      <c r="T210">
        <v>16</v>
      </c>
      <c r="U210">
        <v>16</v>
      </c>
      <c r="V210">
        <v>0</v>
      </c>
      <c r="W210">
        <v>15</v>
      </c>
      <c r="X210">
        <v>40</v>
      </c>
      <c r="Y210">
        <v>0.5</v>
      </c>
      <c r="Z210">
        <v>0.9</v>
      </c>
      <c r="AA210">
        <v>115091</v>
      </c>
    </row>
    <row r="211" spans="1:27">
      <c r="A211" s="33">
        <v>11516</v>
      </c>
      <c r="B211" t="s">
        <v>131</v>
      </c>
      <c r="C211" s="33" t="s">
        <v>401</v>
      </c>
      <c r="D211" t="s">
        <v>72</v>
      </c>
      <c r="E211">
        <v>52</v>
      </c>
      <c r="F211">
        <v>66</v>
      </c>
      <c r="G211">
        <v>0</v>
      </c>
      <c r="H211">
        <v>58</v>
      </c>
      <c r="I211">
        <v>112</v>
      </c>
      <c r="J211">
        <v>84</v>
      </c>
      <c r="K211" s="15">
        <v>98</v>
      </c>
      <c r="L211">
        <v>76</v>
      </c>
      <c r="M211">
        <v>41</v>
      </c>
      <c r="N211">
        <v>32</v>
      </c>
      <c r="O211">
        <v>2</v>
      </c>
      <c r="P211">
        <v>18</v>
      </c>
      <c r="Q211">
        <v>4</v>
      </c>
      <c r="R211" s="31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25</v>
      </c>
      <c r="X211">
        <v>45</v>
      </c>
      <c r="Y211">
        <v>0.9</v>
      </c>
      <c r="Z211">
        <v>1.6</v>
      </c>
      <c r="AA211">
        <v>115161</v>
      </c>
    </row>
    <row r="212" spans="1:27">
      <c r="A212" s="2">
        <v>11517</v>
      </c>
      <c r="B212" t="s">
        <v>259</v>
      </c>
      <c r="C212" t="s">
        <v>402</v>
      </c>
      <c r="D212" t="s">
        <v>47</v>
      </c>
      <c r="E212">
        <v>36</v>
      </c>
      <c r="F212">
        <v>40</v>
      </c>
      <c r="G212">
        <v>75</v>
      </c>
      <c r="H212">
        <v>37</v>
      </c>
      <c r="I212">
        <v>89</v>
      </c>
      <c r="J212">
        <v>128</v>
      </c>
      <c r="K212" s="15">
        <v>92</v>
      </c>
      <c r="L212">
        <v>90</v>
      </c>
      <c r="M212">
        <v>37</v>
      </c>
      <c r="N212">
        <v>32</v>
      </c>
      <c r="O212">
        <v>1</v>
      </c>
      <c r="P212">
        <v>10</v>
      </c>
      <c r="Q212">
        <v>3</v>
      </c>
      <c r="R212" s="31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15</v>
      </c>
      <c r="X212">
        <v>25</v>
      </c>
      <c r="Y212">
        <v>0.48</v>
      </c>
      <c r="Z212">
        <v>0.9</v>
      </c>
      <c r="AA212">
        <v>115171</v>
      </c>
    </row>
    <row r="213" spans="1:28">
      <c r="A213" s="2">
        <v>11519</v>
      </c>
      <c r="B213" t="s">
        <v>259</v>
      </c>
      <c r="C213" t="s">
        <v>403</v>
      </c>
      <c r="D213" s="2" t="s">
        <v>89</v>
      </c>
      <c r="E213" s="23">
        <v>28</v>
      </c>
      <c r="F213" s="23">
        <v>32</v>
      </c>
      <c r="G213" s="23">
        <v>73</v>
      </c>
      <c r="H213" s="23">
        <v>33</v>
      </c>
      <c r="I213" s="23">
        <v>46</v>
      </c>
      <c r="J213" s="23">
        <v>57</v>
      </c>
      <c r="K213" s="30">
        <v>93</v>
      </c>
      <c r="L213" s="23">
        <v>92</v>
      </c>
      <c r="M213" s="23">
        <v>40</v>
      </c>
      <c r="N213" s="23">
        <v>30</v>
      </c>
      <c r="O213" s="23">
        <v>1</v>
      </c>
      <c r="P213" s="23">
        <v>6</v>
      </c>
      <c r="Q213" s="23">
        <v>3</v>
      </c>
      <c r="R213" s="31">
        <f t="shared" si="3"/>
        <v>0</v>
      </c>
      <c r="S213" s="23">
        <v>0</v>
      </c>
      <c r="T213" s="23">
        <v>0</v>
      </c>
      <c r="U213" s="23">
        <v>0</v>
      </c>
      <c r="V213" s="23">
        <v>0</v>
      </c>
      <c r="W213" s="23">
        <v>10</v>
      </c>
      <c r="X213" s="23">
        <v>15</v>
      </c>
      <c r="Y213" s="23">
        <v>0.45</v>
      </c>
      <c r="Z213" s="23">
        <v>0.8</v>
      </c>
      <c r="AA213" s="23">
        <v>115191</v>
      </c>
      <c r="AB213" s="23"/>
    </row>
    <row r="214" spans="1:27">
      <c r="A214" s="33">
        <v>11527</v>
      </c>
      <c r="B214" t="s">
        <v>131</v>
      </c>
      <c r="C214" s="33" t="s">
        <v>404</v>
      </c>
      <c r="D214" t="s">
        <v>89</v>
      </c>
      <c r="E214">
        <v>43</v>
      </c>
      <c r="F214">
        <v>56</v>
      </c>
      <c r="G214">
        <v>55</v>
      </c>
      <c r="H214">
        <v>49</v>
      </c>
      <c r="I214">
        <v>52</v>
      </c>
      <c r="J214">
        <v>69</v>
      </c>
      <c r="K214" s="15">
        <v>97</v>
      </c>
      <c r="L214">
        <v>70</v>
      </c>
      <c r="M214">
        <v>19</v>
      </c>
      <c r="N214">
        <v>28</v>
      </c>
      <c r="O214">
        <v>2</v>
      </c>
      <c r="P214">
        <v>6</v>
      </c>
      <c r="Q214">
        <v>3</v>
      </c>
      <c r="R214" s="31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25</v>
      </c>
      <c r="X214">
        <v>25</v>
      </c>
      <c r="Y214">
        <v>0.7</v>
      </c>
      <c r="Z214">
        <v>1.3</v>
      </c>
      <c r="AA214">
        <v>115271</v>
      </c>
    </row>
    <row r="215" spans="1:27">
      <c r="A215" s="2">
        <v>11528</v>
      </c>
      <c r="B215" t="s">
        <v>386</v>
      </c>
      <c r="C215" s="33" t="s">
        <v>405</v>
      </c>
      <c r="D215" t="s">
        <v>34</v>
      </c>
      <c r="E215">
        <v>60</v>
      </c>
      <c r="F215">
        <v>61</v>
      </c>
      <c r="G215">
        <v>0</v>
      </c>
      <c r="H215">
        <v>68</v>
      </c>
      <c r="I215">
        <v>112</v>
      </c>
      <c r="J215">
        <v>0</v>
      </c>
      <c r="K215" s="15">
        <v>99</v>
      </c>
      <c r="L215">
        <v>85</v>
      </c>
      <c r="M215">
        <v>54</v>
      </c>
      <c r="N215">
        <v>33</v>
      </c>
      <c r="O215">
        <v>2</v>
      </c>
      <c r="P215">
        <v>18</v>
      </c>
      <c r="Q215">
        <v>4</v>
      </c>
      <c r="R215" s="31">
        <f t="shared" si="3"/>
        <v>48</v>
      </c>
      <c r="S215">
        <v>12</v>
      </c>
      <c r="T215">
        <v>12</v>
      </c>
      <c r="U215">
        <v>12</v>
      </c>
      <c r="V215">
        <v>12</v>
      </c>
      <c r="W215">
        <v>40</v>
      </c>
      <c r="X215">
        <v>70</v>
      </c>
      <c r="Y215">
        <v>1.28</v>
      </c>
      <c r="Z215">
        <v>2.4</v>
      </c>
      <c r="AA215">
        <v>115281</v>
      </c>
    </row>
    <row r="216" spans="1:27">
      <c r="A216" s="2">
        <v>11530</v>
      </c>
      <c r="B216" t="s">
        <v>87</v>
      </c>
      <c r="C216" t="s">
        <v>406</v>
      </c>
      <c r="D216" t="s">
        <v>72</v>
      </c>
      <c r="E216">
        <v>12</v>
      </c>
      <c r="F216">
        <v>23</v>
      </c>
      <c r="G216">
        <v>73</v>
      </c>
      <c r="H216">
        <v>30</v>
      </c>
      <c r="I216">
        <v>0</v>
      </c>
      <c r="J216">
        <v>0</v>
      </c>
      <c r="K216" s="15">
        <v>108</v>
      </c>
      <c r="L216">
        <v>78</v>
      </c>
      <c r="M216">
        <v>52</v>
      </c>
      <c r="N216">
        <v>16</v>
      </c>
      <c r="O216">
        <v>1</v>
      </c>
      <c r="P216">
        <v>15</v>
      </c>
      <c r="Q216">
        <v>3</v>
      </c>
      <c r="R216" s="31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20</v>
      </c>
      <c r="X216">
        <v>20</v>
      </c>
      <c r="Y216">
        <v>0.6</v>
      </c>
      <c r="Z216">
        <v>0.65</v>
      </c>
      <c r="AA216">
        <v>115301</v>
      </c>
    </row>
    <row r="217" spans="1:28">
      <c r="A217" s="2">
        <v>11532</v>
      </c>
      <c r="B217" t="s">
        <v>37</v>
      </c>
      <c r="C217" t="s">
        <v>178</v>
      </c>
      <c r="D217" t="s">
        <v>68</v>
      </c>
      <c r="E217">
        <v>56</v>
      </c>
      <c r="F217">
        <v>88</v>
      </c>
      <c r="G217">
        <v>0</v>
      </c>
      <c r="H217">
        <v>84</v>
      </c>
      <c r="I217">
        <v>53</v>
      </c>
      <c r="J217">
        <v>0</v>
      </c>
      <c r="K217" s="15">
        <v>100</v>
      </c>
      <c r="L217">
        <v>51</v>
      </c>
      <c r="M217">
        <v>42</v>
      </c>
      <c r="N217">
        <v>22</v>
      </c>
      <c r="O217">
        <v>3</v>
      </c>
      <c r="P217">
        <v>16</v>
      </c>
      <c r="Q217">
        <v>4</v>
      </c>
      <c r="R217" s="31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75</v>
      </c>
      <c r="X217">
        <v>105</v>
      </c>
      <c r="Y217">
        <v>2.25</v>
      </c>
      <c r="Z217">
        <v>4.6</v>
      </c>
      <c r="AA217">
        <v>105321</v>
      </c>
      <c r="AB217">
        <v>115322</v>
      </c>
    </row>
    <row r="218" spans="1:27">
      <c r="A218" s="2">
        <v>11538</v>
      </c>
      <c r="B218" t="s">
        <v>87</v>
      </c>
      <c r="C218" t="s">
        <v>407</v>
      </c>
      <c r="D218" t="s">
        <v>31</v>
      </c>
      <c r="E218">
        <v>21</v>
      </c>
      <c r="F218">
        <v>24</v>
      </c>
      <c r="G218">
        <v>95</v>
      </c>
      <c r="H218">
        <v>27</v>
      </c>
      <c r="I218">
        <v>0</v>
      </c>
      <c r="J218">
        <v>0</v>
      </c>
      <c r="K218" s="15">
        <v>103</v>
      </c>
      <c r="L218">
        <v>44</v>
      </c>
      <c r="M218">
        <v>53</v>
      </c>
      <c r="N218">
        <v>23.6</v>
      </c>
      <c r="O218">
        <v>1</v>
      </c>
      <c r="P218">
        <v>13</v>
      </c>
      <c r="Q218">
        <v>3</v>
      </c>
      <c r="R218" s="31">
        <f t="shared" si="3"/>
        <v>0</v>
      </c>
      <c r="S218">
        <v>0</v>
      </c>
      <c r="T218">
        <v>0</v>
      </c>
      <c r="U218">
        <v>0</v>
      </c>
      <c r="V218">
        <v>0</v>
      </c>
      <c r="W218">
        <v>25</v>
      </c>
      <c r="X218">
        <v>30</v>
      </c>
      <c r="Y218">
        <v>0.6</v>
      </c>
      <c r="Z218">
        <v>0.7</v>
      </c>
      <c r="AA218">
        <v>115381</v>
      </c>
    </row>
    <row r="219" spans="1:27">
      <c r="A219" s="2">
        <v>11545</v>
      </c>
      <c r="B219" t="s">
        <v>231</v>
      </c>
      <c r="C219" t="s">
        <v>408</v>
      </c>
      <c r="D219" t="s">
        <v>47</v>
      </c>
      <c r="E219">
        <v>68</v>
      </c>
      <c r="F219">
        <v>40</v>
      </c>
      <c r="G219">
        <v>0</v>
      </c>
      <c r="H219">
        <v>57</v>
      </c>
      <c r="I219">
        <v>75</v>
      </c>
      <c r="J219">
        <v>0</v>
      </c>
      <c r="K219" s="15">
        <v>95</v>
      </c>
      <c r="L219">
        <v>83</v>
      </c>
      <c r="M219">
        <v>72</v>
      </c>
      <c r="N219">
        <v>32</v>
      </c>
      <c r="O219">
        <v>1</v>
      </c>
      <c r="P219">
        <v>7</v>
      </c>
      <c r="Q219">
        <v>3</v>
      </c>
      <c r="R219" s="31">
        <f t="shared" si="3"/>
        <v>32</v>
      </c>
      <c r="S219">
        <v>11</v>
      </c>
      <c r="T219">
        <v>11</v>
      </c>
      <c r="U219">
        <v>10</v>
      </c>
      <c r="V219">
        <v>0</v>
      </c>
      <c r="W219">
        <v>35</v>
      </c>
      <c r="X219">
        <v>70</v>
      </c>
      <c r="Y219">
        <v>1.3</v>
      </c>
      <c r="Z219">
        <v>2.64</v>
      </c>
      <c r="AA219">
        <v>115451</v>
      </c>
    </row>
    <row r="220" spans="1:27">
      <c r="A220" s="2">
        <v>11560</v>
      </c>
      <c r="B220" t="s">
        <v>256</v>
      </c>
      <c r="C220" t="s">
        <v>409</v>
      </c>
      <c r="D220" t="s">
        <v>47</v>
      </c>
      <c r="E220">
        <v>68</v>
      </c>
      <c r="F220">
        <v>74</v>
      </c>
      <c r="G220">
        <v>0</v>
      </c>
      <c r="H220">
        <v>74</v>
      </c>
      <c r="I220">
        <v>60</v>
      </c>
      <c r="J220">
        <v>0</v>
      </c>
      <c r="K220" s="15">
        <v>99</v>
      </c>
      <c r="L220">
        <v>56</v>
      </c>
      <c r="M220">
        <v>26</v>
      </c>
      <c r="N220">
        <v>18</v>
      </c>
      <c r="O220">
        <v>3</v>
      </c>
      <c r="P220">
        <v>21</v>
      </c>
      <c r="Q220">
        <v>3</v>
      </c>
      <c r="R220" s="31">
        <f t="shared" si="3"/>
        <v>0</v>
      </c>
      <c r="S220">
        <v>0</v>
      </c>
      <c r="T220">
        <v>0</v>
      </c>
      <c r="U220">
        <v>0</v>
      </c>
      <c r="V220">
        <v>0</v>
      </c>
      <c r="W220">
        <v>40</v>
      </c>
      <c r="X220">
        <v>65</v>
      </c>
      <c r="Y220">
        <v>1.3</v>
      </c>
      <c r="Z220">
        <v>1.2</v>
      </c>
      <c r="AA220">
        <v>115601</v>
      </c>
    </row>
    <row r="221" spans="1:27">
      <c r="A221" s="2">
        <v>11575</v>
      </c>
      <c r="B221" t="s">
        <v>92</v>
      </c>
      <c r="C221" t="s">
        <v>410</v>
      </c>
      <c r="D221" t="s">
        <v>72</v>
      </c>
      <c r="E221">
        <v>40</v>
      </c>
      <c r="F221">
        <v>46</v>
      </c>
      <c r="G221">
        <v>0</v>
      </c>
      <c r="H221">
        <v>39</v>
      </c>
      <c r="I221">
        <v>94</v>
      </c>
      <c r="J221">
        <v>74</v>
      </c>
      <c r="K221" s="15">
        <v>107</v>
      </c>
      <c r="L221">
        <v>86</v>
      </c>
      <c r="M221">
        <v>48</v>
      </c>
      <c r="N221">
        <v>35</v>
      </c>
      <c r="O221">
        <v>1</v>
      </c>
      <c r="P221">
        <v>17</v>
      </c>
      <c r="Q221">
        <v>3</v>
      </c>
      <c r="R221" s="31">
        <f t="shared" si="3"/>
        <v>48</v>
      </c>
      <c r="S221">
        <v>16</v>
      </c>
      <c r="T221">
        <v>16</v>
      </c>
      <c r="U221">
        <v>16</v>
      </c>
      <c r="V221">
        <v>0</v>
      </c>
      <c r="W221">
        <v>15</v>
      </c>
      <c r="X221">
        <v>40</v>
      </c>
      <c r="Y221">
        <v>0.5</v>
      </c>
      <c r="Z221">
        <v>0.9</v>
      </c>
      <c r="AA221">
        <v>115751</v>
      </c>
    </row>
    <row r="222" spans="1:27">
      <c r="A222" s="2">
        <v>11583</v>
      </c>
      <c r="B222" t="s">
        <v>37</v>
      </c>
      <c r="C222" t="s">
        <v>411</v>
      </c>
      <c r="D222" t="s">
        <v>68</v>
      </c>
      <c r="E222">
        <v>73</v>
      </c>
      <c r="F222">
        <v>95</v>
      </c>
      <c r="G222">
        <v>0</v>
      </c>
      <c r="H222">
        <v>90</v>
      </c>
      <c r="I222">
        <v>58</v>
      </c>
      <c r="J222">
        <v>0</v>
      </c>
      <c r="K222" s="15">
        <v>104</v>
      </c>
      <c r="L222">
        <v>51</v>
      </c>
      <c r="M222">
        <v>44</v>
      </c>
      <c r="N222">
        <v>28</v>
      </c>
      <c r="O222">
        <v>3</v>
      </c>
      <c r="P222">
        <v>7</v>
      </c>
      <c r="Q222">
        <v>4</v>
      </c>
      <c r="R222" s="31">
        <f t="shared" si="3"/>
        <v>0</v>
      </c>
      <c r="S222">
        <v>0</v>
      </c>
      <c r="T222">
        <v>0</v>
      </c>
      <c r="U222">
        <v>0</v>
      </c>
      <c r="V222">
        <v>0</v>
      </c>
      <c r="W222">
        <v>80</v>
      </c>
      <c r="X222">
        <v>130</v>
      </c>
      <c r="Y222">
        <v>2.5</v>
      </c>
      <c r="Z222">
        <v>5.1</v>
      </c>
      <c r="AA222">
        <v>115831</v>
      </c>
    </row>
    <row r="223" spans="1:27">
      <c r="A223" s="2">
        <v>11589</v>
      </c>
      <c r="B223" t="s">
        <v>259</v>
      </c>
      <c r="C223" t="s">
        <v>412</v>
      </c>
      <c r="D223" t="s">
        <v>34</v>
      </c>
      <c r="E223">
        <v>37</v>
      </c>
      <c r="F223">
        <v>43</v>
      </c>
      <c r="G223">
        <v>83</v>
      </c>
      <c r="H223">
        <v>40</v>
      </c>
      <c r="I223">
        <v>86</v>
      </c>
      <c r="J223">
        <v>84</v>
      </c>
      <c r="K223" s="15">
        <v>93</v>
      </c>
      <c r="L223">
        <v>93</v>
      </c>
      <c r="M223">
        <v>37</v>
      </c>
      <c r="N223">
        <v>38.5</v>
      </c>
      <c r="O223">
        <v>1</v>
      </c>
      <c r="P223">
        <v>20</v>
      </c>
      <c r="Q223">
        <v>3</v>
      </c>
      <c r="R223" s="31">
        <f t="shared" si="3"/>
        <v>0</v>
      </c>
      <c r="S223">
        <v>0</v>
      </c>
      <c r="T223">
        <v>0</v>
      </c>
      <c r="U223">
        <v>0</v>
      </c>
      <c r="V223">
        <v>0</v>
      </c>
      <c r="W223">
        <v>15</v>
      </c>
      <c r="X223">
        <v>25</v>
      </c>
      <c r="Y223">
        <v>0.48</v>
      </c>
      <c r="Z223">
        <v>0.9</v>
      </c>
      <c r="AA223">
        <v>115891</v>
      </c>
    </row>
    <row r="224" spans="1:28">
      <c r="A224" s="2">
        <v>11590</v>
      </c>
      <c r="B224" t="s">
        <v>51</v>
      </c>
      <c r="C224" t="s">
        <v>195</v>
      </c>
      <c r="D224" t="s">
        <v>72</v>
      </c>
      <c r="E224">
        <v>80</v>
      </c>
      <c r="F224">
        <v>120</v>
      </c>
      <c r="G224">
        <v>0</v>
      </c>
      <c r="H224">
        <v>91</v>
      </c>
      <c r="I224">
        <v>66</v>
      </c>
      <c r="J224">
        <v>0</v>
      </c>
      <c r="K224" s="15">
        <v>100</v>
      </c>
      <c r="L224">
        <v>72</v>
      </c>
      <c r="M224">
        <v>44</v>
      </c>
      <c r="N224">
        <v>28.5</v>
      </c>
      <c r="O224">
        <v>3</v>
      </c>
      <c r="P224">
        <v>9</v>
      </c>
      <c r="Q224">
        <v>4</v>
      </c>
      <c r="R224" s="31">
        <f t="shared" si="3"/>
        <v>0</v>
      </c>
      <c r="S224">
        <v>0</v>
      </c>
      <c r="T224">
        <v>0</v>
      </c>
      <c r="U224">
        <v>0</v>
      </c>
      <c r="V224">
        <v>0</v>
      </c>
      <c r="W224">
        <v>75</v>
      </c>
      <c r="X224">
        <v>125</v>
      </c>
      <c r="Y224">
        <v>2.8</v>
      </c>
      <c r="Z224">
        <v>5</v>
      </c>
      <c r="AA224">
        <v>105901</v>
      </c>
      <c r="AB224">
        <v>115902</v>
      </c>
    </row>
    <row r="225" spans="1:27">
      <c r="A225" s="2">
        <v>11606</v>
      </c>
      <c r="B225" t="s">
        <v>105</v>
      </c>
      <c r="C225" t="s">
        <v>413</v>
      </c>
      <c r="D225" t="s">
        <v>47</v>
      </c>
      <c r="E225">
        <v>43</v>
      </c>
      <c r="F225">
        <v>45</v>
      </c>
      <c r="G225">
        <v>0</v>
      </c>
      <c r="H225">
        <v>43</v>
      </c>
      <c r="I225">
        <v>97</v>
      </c>
      <c r="J225">
        <v>0</v>
      </c>
      <c r="K225" s="15">
        <v>100</v>
      </c>
      <c r="L225">
        <v>97</v>
      </c>
      <c r="M225">
        <v>42</v>
      </c>
      <c r="N225">
        <v>35</v>
      </c>
      <c r="O225">
        <v>1</v>
      </c>
      <c r="P225">
        <v>15</v>
      </c>
      <c r="Q225">
        <v>3</v>
      </c>
      <c r="R225" s="31">
        <f t="shared" si="3"/>
        <v>24</v>
      </c>
      <c r="S225">
        <v>8</v>
      </c>
      <c r="T225">
        <v>8</v>
      </c>
      <c r="U225">
        <v>8</v>
      </c>
      <c r="V225">
        <v>0</v>
      </c>
      <c r="W225">
        <v>30</v>
      </c>
      <c r="X225">
        <v>60</v>
      </c>
      <c r="Y225">
        <v>0.6</v>
      </c>
      <c r="Z225">
        <v>1</v>
      </c>
      <c r="AA225">
        <v>116061</v>
      </c>
    </row>
    <row r="226" spans="1:27">
      <c r="A226" s="2">
        <v>11618</v>
      </c>
      <c r="B226" t="s">
        <v>92</v>
      </c>
      <c r="C226" t="s">
        <v>414</v>
      </c>
      <c r="D226" t="s">
        <v>34</v>
      </c>
      <c r="E226">
        <v>44</v>
      </c>
      <c r="F226">
        <v>45</v>
      </c>
      <c r="G226">
        <v>0</v>
      </c>
      <c r="H226">
        <v>47</v>
      </c>
      <c r="I226">
        <v>99</v>
      </c>
      <c r="J226">
        <v>124</v>
      </c>
      <c r="K226" s="15">
        <v>105</v>
      </c>
      <c r="L226">
        <v>95</v>
      </c>
      <c r="M226">
        <v>42</v>
      </c>
      <c r="N226">
        <v>34</v>
      </c>
      <c r="O226">
        <v>1</v>
      </c>
      <c r="P226">
        <v>16</v>
      </c>
      <c r="Q226">
        <v>3</v>
      </c>
      <c r="R226" s="31">
        <f t="shared" si="3"/>
        <v>60</v>
      </c>
      <c r="S226">
        <v>20</v>
      </c>
      <c r="T226">
        <v>20</v>
      </c>
      <c r="U226">
        <v>20</v>
      </c>
      <c r="V226">
        <v>0</v>
      </c>
      <c r="W226">
        <v>30</v>
      </c>
      <c r="X226">
        <v>40</v>
      </c>
      <c r="Y226">
        <v>0.7</v>
      </c>
      <c r="Z226">
        <v>1.2</v>
      </c>
      <c r="AA226">
        <v>116181</v>
      </c>
    </row>
  </sheetData>
  <autoFilter ref="A1:AC226">
    <sortState ref="A1:AC226">
      <sortCondition ref="A1:A226"/>
    </sortState>
    <extLst/>
  </autoFilter>
  <conditionalFormatting sqref="C84">
    <cfRule type="expression" dxfId="0" priority="61">
      <formula>F85=6</formula>
    </cfRule>
    <cfRule type="expression" dxfId="6" priority="62">
      <formula>F85=5</formula>
    </cfRule>
    <cfRule type="expression" dxfId="7" priority="63">
      <formula>F85=4</formula>
    </cfRule>
    <cfRule type="expression" dxfId="2" priority="64">
      <formula>F85=3</formula>
    </cfRule>
    <cfRule type="expression" dxfId="8" priority="65">
      <formula>F85=2</formula>
    </cfRule>
    <cfRule type="expression" dxfId="9" priority="66">
      <formula>F85=1</formula>
    </cfRule>
  </conditionalFormatting>
  <conditionalFormatting sqref="C190">
    <cfRule type="expression" dxfId="0" priority="7">
      <formula>F190=6</formula>
    </cfRule>
    <cfRule type="expression" dxfId="1" priority="8">
      <formula>F190=4</formula>
    </cfRule>
    <cfRule type="expression" dxfId="2" priority="9">
      <formula>F190=3</formula>
    </cfRule>
    <cfRule type="expression" dxfId="3" priority="10">
      <formula>F190=2</formula>
    </cfRule>
    <cfRule type="expression" dxfId="4" priority="11">
      <formula>F190=1</formula>
    </cfRule>
    <cfRule type="expression" dxfId="5" priority="12">
      <formula>F190=5</formula>
    </cfRule>
  </conditionalFormatting>
  <conditionalFormatting sqref="C2:C46">
    <cfRule type="expression" dxfId="0" priority="79">
      <formula>F2=6</formula>
    </cfRule>
    <cfRule type="expression" dxfId="6" priority="80">
      <formula>F2=5</formula>
    </cfRule>
    <cfRule type="expression" dxfId="7" priority="81">
      <formula>F2=4</formula>
    </cfRule>
    <cfRule type="expression" dxfId="2" priority="82">
      <formula>F2=3</formula>
    </cfRule>
    <cfRule type="expression" dxfId="8" priority="83">
      <formula>F2=2</formula>
    </cfRule>
    <cfRule type="expression" dxfId="9" priority="84">
      <formula>F2=1</formula>
    </cfRule>
  </conditionalFormatting>
  <conditionalFormatting sqref="C47:C55">
    <cfRule type="expression" dxfId="0" priority="85">
      <formula>E47=6</formula>
    </cfRule>
    <cfRule type="expression" dxfId="6" priority="86">
      <formula>E47=5</formula>
    </cfRule>
    <cfRule type="expression" dxfId="7" priority="87">
      <formula>E47=4</formula>
    </cfRule>
    <cfRule type="expression" dxfId="2" priority="88">
      <formula>E47=3</formula>
    </cfRule>
    <cfRule type="expression" dxfId="8" priority="89">
      <formula>E47=2</formula>
    </cfRule>
    <cfRule type="expression" dxfId="9" priority="90">
      <formula>E47=1</formula>
    </cfRule>
  </conditionalFormatting>
  <conditionalFormatting sqref="C60:C68">
    <cfRule type="expression" dxfId="0" priority="67">
      <formula>F60=6</formula>
    </cfRule>
    <cfRule type="expression" dxfId="6" priority="68">
      <formula>F60=5</formula>
    </cfRule>
    <cfRule type="expression" dxfId="7" priority="69">
      <formula>F60=4</formula>
    </cfRule>
    <cfRule type="expression" dxfId="2" priority="70">
      <formula>F60=3</formula>
    </cfRule>
    <cfRule type="expression" dxfId="8" priority="71">
      <formula>F60=2</formula>
    </cfRule>
    <cfRule type="expression" dxfId="9" priority="72">
      <formula>F60=1</formula>
    </cfRule>
  </conditionalFormatting>
  <conditionalFormatting sqref="C91:C116">
    <cfRule type="expression" dxfId="0" priority="31">
      <formula>F91=6</formula>
    </cfRule>
    <cfRule type="expression" dxfId="6" priority="32">
      <formula>F91=5</formula>
    </cfRule>
    <cfRule type="expression" dxfId="7" priority="33">
      <formula>F91=4</formula>
    </cfRule>
    <cfRule type="expression" dxfId="2" priority="34">
      <formula>F91=3</formula>
    </cfRule>
    <cfRule type="expression" dxfId="8" priority="35">
      <formula>F91=2</formula>
    </cfRule>
    <cfRule type="expression" dxfId="9" priority="36">
      <formula>F91=1</formula>
    </cfRule>
  </conditionalFormatting>
  <conditionalFormatting sqref="C117:C118">
    <cfRule type="expression" dxfId="0" priority="25">
      <formula>E117=6</formula>
    </cfRule>
    <cfRule type="expression" dxfId="6" priority="26">
      <formula>E117=5</formula>
    </cfRule>
    <cfRule type="expression" dxfId="7" priority="27">
      <formula>E117=4</formula>
    </cfRule>
    <cfRule type="expression" dxfId="2" priority="28">
      <formula>E117=3</formula>
    </cfRule>
    <cfRule type="expression" dxfId="8" priority="29">
      <formula>E117=2</formula>
    </cfRule>
    <cfRule type="expression" dxfId="9" priority="30">
      <formula>E117=1</formula>
    </cfRule>
  </conditionalFormatting>
  <conditionalFormatting sqref="C149:C151">
    <cfRule type="expression" dxfId="0" priority="13">
      <formula>F149=6</formula>
    </cfRule>
    <cfRule type="expression" dxfId="6" priority="14">
      <formula>F149=5</formula>
    </cfRule>
    <cfRule type="expression" dxfId="7" priority="15">
      <formula>F149=4</formula>
    </cfRule>
    <cfRule type="expression" dxfId="2" priority="16">
      <formula>F149=3</formula>
    </cfRule>
    <cfRule type="expression" dxfId="8" priority="17">
      <formula>F149=2</formula>
    </cfRule>
    <cfRule type="expression" dxfId="9" priority="18">
      <formula>F149=1</formula>
    </cfRule>
  </conditionalFormatting>
  <conditionalFormatting sqref="C220:C226">
    <cfRule type="expression" dxfId="0" priority="1">
      <formula>F220=6</formula>
    </cfRule>
    <cfRule type="expression" dxfId="6" priority="2">
      <formula>F220=5</formula>
    </cfRule>
    <cfRule type="expression" dxfId="7" priority="3">
      <formula>F220=4</formula>
    </cfRule>
    <cfRule type="expression" dxfId="2" priority="4">
      <formula>F220=3</formula>
    </cfRule>
    <cfRule type="expression" dxfId="8" priority="5">
      <formula>F220=2</formula>
    </cfRule>
    <cfRule type="expression" dxfId="9" priority="6">
      <formula>F220=1</formula>
    </cfRule>
  </conditionalFormatting>
  <conditionalFormatting sqref="C82:C83 C85">
    <cfRule type="expression" dxfId="0" priority="55">
      <formula>F82=6</formula>
    </cfRule>
    <cfRule type="expression" dxfId="6" priority="56">
      <formula>F82=5</formula>
    </cfRule>
    <cfRule type="expression" dxfId="7" priority="57">
      <formula>F82=4</formula>
    </cfRule>
    <cfRule type="expression" dxfId="2" priority="58">
      <formula>F82=3</formula>
    </cfRule>
    <cfRule type="expression" dxfId="8" priority="59">
      <formula>F82=2</formula>
    </cfRule>
    <cfRule type="expression" dxfId="9" priority="60">
      <formula>F82=1</formula>
    </cfRule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17"/>
  <sheetViews>
    <sheetView workbookViewId="0">
      <pane xSplit="4" ySplit="1" topLeftCell="T321" activePane="bottomRight" state="frozen"/>
      <selection/>
      <selection pane="topRight"/>
      <selection pane="bottomLeft"/>
      <selection pane="bottomRight" activeCell="AA408" sqref="AA408"/>
    </sheetView>
  </sheetViews>
  <sheetFormatPr defaultColWidth="9" defaultRowHeight="13.5"/>
  <cols>
    <col min="1" max="1" width="9" style="1" customWidth="1"/>
    <col min="3" max="3" width="38" customWidth="1"/>
    <col min="4" max="4" width="15" customWidth="1"/>
    <col min="22" max="22" width="9" style="1" hidden="1" customWidth="1"/>
    <col min="23" max="23" width="9" hidden="1" customWidth="1"/>
    <col min="24" max="24" width="9" style="23" hidden="1" customWidth="1"/>
    <col min="25" max="25" width="9" hidden="1" customWidth="1"/>
    <col min="26" max="26" width="20" customWidth="1"/>
    <col min="27" max="27" width="60" customWidth="1"/>
  </cols>
  <sheetData>
    <row r="1" spans="1:27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s="1" t="s">
        <v>425</v>
      </c>
      <c r="W1" t="s">
        <v>426</v>
      </c>
      <c r="X1" s="23" t="s">
        <v>427</v>
      </c>
      <c r="Y1" t="s">
        <v>428</v>
      </c>
      <c r="Z1" t="s">
        <v>429</v>
      </c>
      <c r="AA1" t="s">
        <v>430</v>
      </c>
    </row>
    <row r="2" spans="1:26">
      <c r="A2" s="1" t="s">
        <v>431</v>
      </c>
      <c r="B2" t="s">
        <v>432</v>
      </c>
      <c r="C2" t="s">
        <v>433</v>
      </c>
      <c r="D2" s="12" t="s">
        <v>434</v>
      </c>
      <c r="F2">
        <v>30</v>
      </c>
      <c r="L2">
        <v>4</v>
      </c>
      <c r="P2">
        <v>8</v>
      </c>
      <c r="Q2">
        <v>1</v>
      </c>
      <c r="R2">
        <v>0.25</v>
      </c>
      <c r="Z2" t="s">
        <v>435</v>
      </c>
    </row>
    <row r="3" spans="1:17">
      <c r="A3" s="1" t="s">
        <v>436</v>
      </c>
      <c r="B3" t="s">
        <v>432</v>
      </c>
      <c r="C3" t="s">
        <v>437</v>
      </c>
      <c r="D3" s="12" t="s">
        <v>434</v>
      </c>
      <c r="F3">
        <v>24</v>
      </c>
      <c r="K3">
        <v>2</v>
      </c>
      <c r="L3">
        <v>3</v>
      </c>
      <c r="Q3">
        <v>1</v>
      </c>
    </row>
    <row r="4" spans="1:17">
      <c r="A4" s="1" t="s">
        <v>438</v>
      </c>
      <c r="B4" t="s">
        <v>432</v>
      </c>
      <c r="C4" t="s">
        <v>439</v>
      </c>
      <c r="D4" s="12" t="s">
        <v>434</v>
      </c>
      <c r="F4">
        <v>27</v>
      </c>
      <c r="K4">
        <v>3</v>
      </c>
      <c r="L4">
        <v>4</v>
      </c>
      <c r="Q4">
        <v>1</v>
      </c>
    </row>
    <row r="5" spans="1:26">
      <c r="A5" s="1" t="s">
        <v>440</v>
      </c>
      <c r="B5" t="s">
        <v>441</v>
      </c>
      <c r="C5" t="s">
        <v>442</v>
      </c>
      <c r="D5" s="12" t="s">
        <v>443</v>
      </c>
      <c r="F5">
        <v>2</v>
      </c>
      <c r="K5">
        <v>2</v>
      </c>
      <c r="L5">
        <v>1</v>
      </c>
      <c r="P5">
        <v>12</v>
      </c>
      <c r="Q5">
        <v>3.1</v>
      </c>
      <c r="R5">
        <v>0.35</v>
      </c>
      <c r="Z5" t="s">
        <v>444</v>
      </c>
    </row>
    <row r="6" spans="1:26">
      <c r="A6" s="1" t="s">
        <v>445</v>
      </c>
      <c r="B6" t="s">
        <v>446</v>
      </c>
      <c r="C6" t="s">
        <v>447</v>
      </c>
      <c r="D6" s="12" t="s">
        <v>448</v>
      </c>
      <c r="I6">
        <v>3</v>
      </c>
      <c r="O6">
        <v>10</v>
      </c>
      <c r="P6">
        <v>1</v>
      </c>
      <c r="Q6">
        <v>1</v>
      </c>
      <c r="U6">
        <v>5</v>
      </c>
      <c r="Z6" t="s">
        <v>449</v>
      </c>
    </row>
    <row r="7" spans="1:17">
      <c r="A7" s="1" t="s">
        <v>450</v>
      </c>
      <c r="B7" t="s">
        <v>451</v>
      </c>
      <c r="C7" t="s">
        <v>452</v>
      </c>
      <c r="D7" s="12" t="s">
        <v>453</v>
      </c>
      <c r="J7">
        <v>7</v>
      </c>
      <c r="K7">
        <v>5</v>
      </c>
      <c r="Q7">
        <v>1</v>
      </c>
    </row>
    <row r="8" spans="1:17">
      <c r="A8" s="1" t="s">
        <v>454</v>
      </c>
      <c r="B8" t="s">
        <v>455</v>
      </c>
      <c r="C8" t="s">
        <v>456</v>
      </c>
      <c r="D8" s="12" t="s">
        <v>457</v>
      </c>
      <c r="I8">
        <v>10</v>
      </c>
      <c r="K8">
        <v>2</v>
      </c>
      <c r="Q8">
        <v>1</v>
      </c>
    </row>
    <row r="9" spans="1:17">
      <c r="A9" s="1" t="s">
        <v>458</v>
      </c>
      <c r="B9" t="s">
        <v>459</v>
      </c>
      <c r="C9" t="s">
        <v>460</v>
      </c>
      <c r="D9" s="12" t="s">
        <v>461</v>
      </c>
      <c r="M9">
        <v>10</v>
      </c>
      <c r="Q9">
        <v>1</v>
      </c>
    </row>
    <row r="10" spans="1:17">
      <c r="A10" s="1" t="s">
        <v>462</v>
      </c>
      <c r="B10" t="s">
        <v>459</v>
      </c>
      <c r="C10" t="s">
        <v>463</v>
      </c>
      <c r="D10" s="12" t="s">
        <v>461</v>
      </c>
      <c r="H10">
        <v>7</v>
      </c>
      <c r="M10">
        <v>-2</v>
      </c>
      <c r="Q10">
        <v>1</v>
      </c>
    </row>
    <row r="11" spans="1:17">
      <c r="A11" s="1" t="s">
        <v>464</v>
      </c>
      <c r="B11" t="s">
        <v>459</v>
      </c>
      <c r="C11" t="s">
        <v>465</v>
      </c>
      <c r="D11" s="12" t="s">
        <v>461</v>
      </c>
      <c r="H11">
        <v>9</v>
      </c>
      <c r="M11">
        <v>-3</v>
      </c>
      <c r="Q11">
        <v>1</v>
      </c>
    </row>
    <row r="12" spans="1:17">
      <c r="A12" s="1" t="s">
        <v>466</v>
      </c>
      <c r="B12" t="s">
        <v>432</v>
      </c>
      <c r="C12" t="s">
        <v>467</v>
      </c>
      <c r="D12" s="12" t="s">
        <v>434</v>
      </c>
      <c r="F12">
        <v>25</v>
      </c>
      <c r="K12">
        <v>1</v>
      </c>
      <c r="L12">
        <v>4</v>
      </c>
      <c r="Q12">
        <v>1</v>
      </c>
    </row>
    <row r="13" spans="1:26">
      <c r="A13" s="1" t="s">
        <v>468</v>
      </c>
      <c r="B13" t="s">
        <v>451</v>
      </c>
      <c r="C13" t="s">
        <v>469</v>
      </c>
      <c r="D13" s="12" t="s">
        <v>453</v>
      </c>
      <c r="J13">
        <v>7</v>
      </c>
      <c r="K13">
        <v>3</v>
      </c>
      <c r="P13">
        <v>6</v>
      </c>
      <c r="Q13">
        <v>3.3</v>
      </c>
      <c r="R13">
        <v>0.4</v>
      </c>
      <c r="Z13" t="s">
        <v>470</v>
      </c>
    </row>
    <row r="14" spans="1:17">
      <c r="A14" s="1" t="s">
        <v>471</v>
      </c>
      <c r="B14" t="s">
        <v>451</v>
      </c>
      <c r="C14" t="s">
        <v>472</v>
      </c>
      <c r="D14" s="12" t="s">
        <v>453</v>
      </c>
      <c r="J14">
        <v>10</v>
      </c>
      <c r="K14">
        <v>6</v>
      </c>
      <c r="M14">
        <v>3</v>
      </c>
      <c r="Q14">
        <v>1</v>
      </c>
    </row>
    <row r="15" spans="1:17">
      <c r="A15" s="1" t="s">
        <v>473</v>
      </c>
      <c r="B15" t="s">
        <v>455</v>
      </c>
      <c r="C15" t="s">
        <v>474</v>
      </c>
      <c r="D15" s="12" t="s">
        <v>457</v>
      </c>
      <c r="I15">
        <v>12</v>
      </c>
      <c r="K15">
        <v>3</v>
      </c>
      <c r="Q15">
        <v>1</v>
      </c>
    </row>
    <row r="16" spans="1:17">
      <c r="A16" s="1" t="s">
        <v>475</v>
      </c>
      <c r="B16" t="s">
        <v>476</v>
      </c>
      <c r="C16" t="s">
        <v>477</v>
      </c>
      <c r="D16" s="12" t="s">
        <v>478</v>
      </c>
      <c r="I16">
        <v>10</v>
      </c>
      <c r="L16">
        <v>1</v>
      </c>
      <c r="Q16">
        <v>1</v>
      </c>
    </row>
    <row r="17" spans="1:17">
      <c r="A17" s="1" t="s">
        <v>479</v>
      </c>
      <c r="B17" t="s">
        <v>476</v>
      </c>
      <c r="C17" t="s">
        <v>480</v>
      </c>
      <c r="D17" s="12" t="s">
        <v>478</v>
      </c>
      <c r="I17">
        <v>9</v>
      </c>
      <c r="K17">
        <v>2</v>
      </c>
      <c r="L17">
        <v>1</v>
      </c>
      <c r="Q17">
        <v>1</v>
      </c>
    </row>
    <row r="18" spans="1:17">
      <c r="A18" s="1" t="s">
        <v>481</v>
      </c>
      <c r="B18" t="s">
        <v>476</v>
      </c>
      <c r="C18" t="s">
        <v>482</v>
      </c>
      <c r="D18" s="12" t="s">
        <v>478</v>
      </c>
      <c r="I18">
        <v>15</v>
      </c>
      <c r="K18">
        <v>5</v>
      </c>
      <c r="L18">
        <v>1</v>
      </c>
      <c r="Q18">
        <v>1</v>
      </c>
    </row>
    <row r="19" spans="1:17">
      <c r="A19" s="1" t="s">
        <v>483</v>
      </c>
      <c r="B19" t="s">
        <v>459</v>
      </c>
      <c r="C19" t="s">
        <v>484</v>
      </c>
      <c r="D19" s="12" t="s">
        <v>461</v>
      </c>
      <c r="H19">
        <v>5</v>
      </c>
      <c r="M19">
        <v>-1</v>
      </c>
      <c r="Q19">
        <v>1</v>
      </c>
    </row>
    <row r="20" spans="1:17">
      <c r="A20" s="1" t="s">
        <v>485</v>
      </c>
      <c r="B20" t="s">
        <v>459</v>
      </c>
      <c r="C20" t="s">
        <v>486</v>
      </c>
      <c r="D20" s="12" t="s">
        <v>461</v>
      </c>
      <c r="M20">
        <v>12</v>
      </c>
      <c r="Q20">
        <v>1</v>
      </c>
    </row>
    <row r="21" spans="1:26">
      <c r="A21" s="1" t="s">
        <v>487</v>
      </c>
      <c r="B21" t="s">
        <v>459</v>
      </c>
      <c r="C21" t="s">
        <v>488</v>
      </c>
      <c r="D21" s="12" t="s">
        <v>461</v>
      </c>
      <c r="K21">
        <v>-5</v>
      </c>
      <c r="M21">
        <v>15</v>
      </c>
      <c r="Q21">
        <v>1</v>
      </c>
      <c r="Z21" t="s">
        <v>489</v>
      </c>
    </row>
    <row r="22" spans="1:26">
      <c r="A22" s="1" t="s">
        <v>490</v>
      </c>
      <c r="B22" t="s">
        <v>446</v>
      </c>
      <c r="C22" t="s">
        <v>491</v>
      </c>
      <c r="D22" s="12" t="s">
        <v>448</v>
      </c>
      <c r="O22">
        <v>20</v>
      </c>
      <c r="Q22">
        <v>1</v>
      </c>
      <c r="U22">
        <v>15</v>
      </c>
      <c r="Z22" t="s">
        <v>492</v>
      </c>
    </row>
    <row r="23" spans="1:27">
      <c r="A23" s="1" t="s">
        <v>493</v>
      </c>
      <c r="B23" t="s">
        <v>494</v>
      </c>
      <c r="C23" t="s">
        <v>495</v>
      </c>
      <c r="D23" s="12" t="s">
        <v>496</v>
      </c>
      <c r="F23">
        <v>5</v>
      </c>
      <c r="Q23">
        <v>1</v>
      </c>
      <c r="V23" s="1" t="s">
        <v>497</v>
      </c>
      <c r="W23">
        <v>4</v>
      </c>
      <c r="X23" s="23">
        <v>0.25</v>
      </c>
      <c r="Y23" t="s">
        <v>498</v>
      </c>
      <c r="Z23" t="s">
        <v>499</v>
      </c>
      <c r="AA23" t="s">
        <v>500</v>
      </c>
    </row>
    <row r="24" spans="1:27">
      <c r="A24" s="1" t="s">
        <v>501</v>
      </c>
      <c r="B24" t="s">
        <v>494</v>
      </c>
      <c r="C24" t="s">
        <v>502</v>
      </c>
      <c r="D24" s="12" t="s">
        <v>496</v>
      </c>
      <c r="F24">
        <v>6</v>
      </c>
      <c r="K24">
        <v>1</v>
      </c>
      <c r="Q24">
        <v>1</v>
      </c>
      <c r="V24" s="1" t="s">
        <v>503</v>
      </c>
      <c r="W24">
        <v>3</v>
      </c>
      <c r="X24" s="23">
        <v>0.2</v>
      </c>
      <c r="Y24" t="s">
        <v>504</v>
      </c>
      <c r="Z24" t="s">
        <v>505</v>
      </c>
      <c r="AA24" t="s">
        <v>506</v>
      </c>
    </row>
    <row r="25" spans="1:26">
      <c r="A25" s="1" t="s">
        <v>507</v>
      </c>
      <c r="B25" t="s">
        <v>508</v>
      </c>
      <c r="C25" t="s">
        <v>509</v>
      </c>
      <c r="D25" s="12" t="s">
        <v>510</v>
      </c>
      <c r="G25">
        <v>16</v>
      </c>
      <c r="I25">
        <v>3</v>
      </c>
      <c r="Q25">
        <v>1</v>
      </c>
      <c r="U25">
        <v>9</v>
      </c>
      <c r="Z25" t="s">
        <v>511</v>
      </c>
    </row>
    <row r="26" spans="1:26">
      <c r="A26" s="1" t="s">
        <v>512</v>
      </c>
      <c r="B26" t="s">
        <v>446</v>
      </c>
      <c r="C26" t="s">
        <v>513</v>
      </c>
      <c r="D26" s="12" t="s">
        <v>448</v>
      </c>
      <c r="I26">
        <v>2</v>
      </c>
      <c r="O26">
        <v>5</v>
      </c>
      <c r="P26">
        <v>2</v>
      </c>
      <c r="Q26">
        <v>1</v>
      </c>
      <c r="U26">
        <v>4</v>
      </c>
      <c r="Z26" t="s">
        <v>514</v>
      </c>
    </row>
    <row r="27" spans="1:26">
      <c r="A27" s="1" t="s">
        <v>515</v>
      </c>
      <c r="B27" t="s">
        <v>446</v>
      </c>
      <c r="C27" t="s">
        <v>516</v>
      </c>
      <c r="D27" s="12" t="s">
        <v>448</v>
      </c>
      <c r="O27">
        <v>8</v>
      </c>
      <c r="Q27">
        <v>1</v>
      </c>
      <c r="U27">
        <v>4</v>
      </c>
      <c r="Z27" t="s">
        <v>514</v>
      </c>
    </row>
    <row r="28" spans="1:17">
      <c r="A28" s="1" t="s">
        <v>517</v>
      </c>
      <c r="B28" t="s">
        <v>432</v>
      </c>
      <c r="C28" t="s">
        <v>518</v>
      </c>
      <c r="D28" s="12" t="s">
        <v>434</v>
      </c>
      <c r="F28">
        <v>26</v>
      </c>
      <c r="L28">
        <v>3</v>
      </c>
      <c r="Q28">
        <v>1</v>
      </c>
    </row>
    <row r="29" spans="1:17">
      <c r="A29" s="1" t="s">
        <v>519</v>
      </c>
      <c r="B29" t="s">
        <v>520</v>
      </c>
      <c r="C29" t="s">
        <v>521</v>
      </c>
      <c r="D29" s="12" t="s">
        <v>6</v>
      </c>
      <c r="G29">
        <v>12</v>
      </c>
      <c r="K29">
        <v>1</v>
      </c>
      <c r="Q29">
        <v>1</v>
      </c>
    </row>
    <row r="30" spans="1:17">
      <c r="A30" s="1" t="s">
        <v>522</v>
      </c>
      <c r="B30" t="s">
        <v>520</v>
      </c>
      <c r="C30" t="s">
        <v>523</v>
      </c>
      <c r="D30" s="12" t="s">
        <v>6</v>
      </c>
      <c r="G30">
        <v>15</v>
      </c>
      <c r="K30">
        <v>2</v>
      </c>
      <c r="Q30">
        <v>1</v>
      </c>
    </row>
    <row r="31" spans="1:17">
      <c r="A31" s="1" t="s">
        <v>524</v>
      </c>
      <c r="B31" t="s">
        <v>520</v>
      </c>
      <c r="C31" t="s">
        <v>525</v>
      </c>
      <c r="D31" s="12" t="s">
        <v>6</v>
      </c>
      <c r="G31">
        <v>12</v>
      </c>
      <c r="K31">
        <v>4</v>
      </c>
      <c r="Q31">
        <v>1</v>
      </c>
    </row>
    <row r="32" spans="1:17">
      <c r="A32" s="1" t="s">
        <v>526</v>
      </c>
      <c r="B32" t="s">
        <v>520</v>
      </c>
      <c r="C32" t="s">
        <v>527</v>
      </c>
      <c r="D32" s="12" t="s">
        <v>6</v>
      </c>
      <c r="G32">
        <v>12</v>
      </c>
      <c r="K32">
        <v>1</v>
      </c>
      <c r="Q32">
        <v>1</v>
      </c>
    </row>
    <row r="33" spans="1:26">
      <c r="A33" s="1" t="s">
        <v>528</v>
      </c>
      <c r="B33" t="s">
        <v>441</v>
      </c>
      <c r="C33" t="s">
        <v>529</v>
      </c>
      <c r="D33" s="12" t="s">
        <v>443</v>
      </c>
      <c r="F33">
        <v>3</v>
      </c>
      <c r="K33">
        <v>1</v>
      </c>
      <c r="L33">
        <v>1</v>
      </c>
      <c r="P33">
        <v>11</v>
      </c>
      <c r="Q33">
        <v>3.1</v>
      </c>
      <c r="R33">
        <v>0.35</v>
      </c>
      <c r="Z33" t="s">
        <v>444</v>
      </c>
    </row>
    <row r="34" spans="1:17">
      <c r="A34" s="1" t="s">
        <v>530</v>
      </c>
      <c r="B34" t="s">
        <v>451</v>
      </c>
      <c r="C34" t="s">
        <v>531</v>
      </c>
      <c r="D34" s="12" t="s">
        <v>453</v>
      </c>
      <c r="J34">
        <v>6</v>
      </c>
      <c r="K34">
        <v>8</v>
      </c>
      <c r="Q34">
        <v>1</v>
      </c>
    </row>
    <row r="35" spans="1:17">
      <c r="A35" s="1" t="s">
        <v>532</v>
      </c>
      <c r="B35" t="s">
        <v>459</v>
      </c>
      <c r="C35" t="s">
        <v>533</v>
      </c>
      <c r="D35" s="12" t="s">
        <v>461</v>
      </c>
      <c r="H35">
        <v>8</v>
      </c>
      <c r="M35">
        <v>1</v>
      </c>
      <c r="Q35">
        <v>1</v>
      </c>
    </row>
    <row r="36" spans="1:17">
      <c r="A36" s="1" t="s">
        <v>534</v>
      </c>
      <c r="B36" t="s">
        <v>459</v>
      </c>
      <c r="C36" t="s">
        <v>535</v>
      </c>
      <c r="D36" s="12" t="s">
        <v>461</v>
      </c>
      <c r="J36">
        <v>-3</v>
      </c>
      <c r="K36">
        <v>3</v>
      </c>
      <c r="N36">
        <v>3</v>
      </c>
      <c r="Q36">
        <v>1</v>
      </c>
    </row>
    <row r="37" spans="1:17">
      <c r="A37" s="1" t="s">
        <v>536</v>
      </c>
      <c r="B37" t="s">
        <v>520</v>
      </c>
      <c r="C37" t="s">
        <v>537</v>
      </c>
      <c r="D37" s="12" t="s">
        <v>6</v>
      </c>
      <c r="G37">
        <v>5</v>
      </c>
      <c r="M37">
        <v>3</v>
      </c>
      <c r="Q37">
        <v>1</v>
      </c>
    </row>
    <row r="38" spans="1:17">
      <c r="A38" s="1" t="s">
        <v>538</v>
      </c>
      <c r="B38" t="s">
        <v>432</v>
      </c>
      <c r="C38" t="s">
        <v>539</v>
      </c>
      <c r="D38" s="12" t="s">
        <v>434</v>
      </c>
      <c r="F38">
        <v>8</v>
      </c>
      <c r="L38">
        <v>3</v>
      </c>
      <c r="Q38">
        <v>1</v>
      </c>
    </row>
    <row r="39" spans="1:17">
      <c r="A39" s="1" t="s">
        <v>540</v>
      </c>
      <c r="B39" t="s">
        <v>432</v>
      </c>
      <c r="C39" t="s">
        <v>541</v>
      </c>
      <c r="D39" s="12" t="s">
        <v>434</v>
      </c>
      <c r="F39">
        <v>10</v>
      </c>
      <c r="K39">
        <v>2</v>
      </c>
      <c r="L39">
        <v>2</v>
      </c>
      <c r="Q39">
        <v>1</v>
      </c>
    </row>
    <row r="40" spans="1:17">
      <c r="A40" s="1" t="s">
        <v>542</v>
      </c>
      <c r="B40" t="s">
        <v>520</v>
      </c>
      <c r="C40" t="s">
        <v>543</v>
      </c>
      <c r="D40" s="12" t="s">
        <v>6</v>
      </c>
      <c r="G40">
        <v>15</v>
      </c>
      <c r="K40">
        <v>3</v>
      </c>
      <c r="Q40">
        <v>1</v>
      </c>
    </row>
    <row r="41" spans="1:26">
      <c r="A41" s="1" t="s">
        <v>544</v>
      </c>
      <c r="B41" t="s">
        <v>459</v>
      </c>
      <c r="C41" t="s">
        <v>545</v>
      </c>
      <c r="D41" s="12" t="s">
        <v>461</v>
      </c>
      <c r="E41">
        <v>1</v>
      </c>
      <c r="N41">
        <v>-3</v>
      </c>
      <c r="Q41">
        <v>1</v>
      </c>
      <c r="W41">
        <v>6</v>
      </c>
      <c r="Z41" t="s">
        <v>546</v>
      </c>
    </row>
    <row r="42" spans="1:26">
      <c r="A42" s="1" t="s">
        <v>547</v>
      </c>
      <c r="B42" t="s">
        <v>459</v>
      </c>
      <c r="C42" t="s">
        <v>548</v>
      </c>
      <c r="D42" s="12" t="s">
        <v>461</v>
      </c>
      <c r="E42">
        <v>-1</v>
      </c>
      <c r="N42">
        <v>3</v>
      </c>
      <c r="Q42">
        <v>1</v>
      </c>
      <c r="W42">
        <v>6</v>
      </c>
      <c r="Z42" t="s">
        <v>549</v>
      </c>
    </row>
    <row r="43" spans="1:26">
      <c r="A43" s="1" t="s">
        <v>550</v>
      </c>
      <c r="B43" t="s">
        <v>551</v>
      </c>
      <c r="C43" t="s">
        <v>552</v>
      </c>
      <c r="D43" s="12" t="s">
        <v>553</v>
      </c>
      <c r="F43">
        <v>2</v>
      </c>
      <c r="K43">
        <v>5</v>
      </c>
      <c r="P43">
        <v>13</v>
      </c>
      <c r="Q43">
        <v>1</v>
      </c>
      <c r="U43">
        <v>5</v>
      </c>
      <c r="Z43" t="s">
        <v>449</v>
      </c>
    </row>
    <row r="44" spans="1:26">
      <c r="A44" s="1" t="s">
        <v>554</v>
      </c>
      <c r="B44" t="s">
        <v>551</v>
      </c>
      <c r="C44" t="s">
        <v>555</v>
      </c>
      <c r="D44" s="12" t="s">
        <v>553</v>
      </c>
      <c r="K44">
        <v>3</v>
      </c>
      <c r="M44">
        <v>3</v>
      </c>
      <c r="P44">
        <v>12</v>
      </c>
      <c r="Q44">
        <v>1</v>
      </c>
      <c r="U44">
        <v>5</v>
      </c>
      <c r="Z44" t="s">
        <v>449</v>
      </c>
    </row>
    <row r="45" spans="1:26">
      <c r="A45" s="1" t="s">
        <v>556</v>
      </c>
      <c r="B45" t="s">
        <v>551</v>
      </c>
      <c r="C45" t="s">
        <v>557</v>
      </c>
      <c r="D45" s="12" t="s">
        <v>553</v>
      </c>
      <c r="K45">
        <v>3</v>
      </c>
      <c r="N45">
        <v>3</v>
      </c>
      <c r="P45">
        <v>12</v>
      </c>
      <c r="Q45">
        <v>1</v>
      </c>
      <c r="U45">
        <v>5</v>
      </c>
      <c r="Z45" t="s">
        <v>449</v>
      </c>
    </row>
    <row r="46" spans="1:26">
      <c r="A46" s="1" t="s">
        <v>558</v>
      </c>
      <c r="B46" t="s">
        <v>551</v>
      </c>
      <c r="C46" t="s">
        <v>559</v>
      </c>
      <c r="D46" s="12" t="s">
        <v>553</v>
      </c>
      <c r="M46">
        <v>2</v>
      </c>
      <c r="N46">
        <v>3</v>
      </c>
      <c r="P46">
        <v>13</v>
      </c>
      <c r="Q46">
        <v>1</v>
      </c>
      <c r="U46">
        <v>5</v>
      </c>
      <c r="Z46" t="s">
        <v>449</v>
      </c>
    </row>
    <row r="47" spans="1:17">
      <c r="A47" s="1" t="s">
        <v>560</v>
      </c>
      <c r="B47" t="s">
        <v>432</v>
      </c>
      <c r="C47" t="s">
        <v>561</v>
      </c>
      <c r="D47" s="12" t="s">
        <v>434</v>
      </c>
      <c r="F47">
        <v>32</v>
      </c>
      <c r="L47">
        <v>4</v>
      </c>
      <c r="M47">
        <v>-3</v>
      </c>
      <c r="Q47">
        <v>1</v>
      </c>
    </row>
    <row r="48" spans="1:17">
      <c r="A48" s="1" t="s">
        <v>562</v>
      </c>
      <c r="B48" t="s">
        <v>432</v>
      </c>
      <c r="C48" t="s">
        <v>563</v>
      </c>
      <c r="D48" s="12" t="s">
        <v>434</v>
      </c>
      <c r="F48">
        <v>28</v>
      </c>
      <c r="K48">
        <v>1</v>
      </c>
      <c r="L48">
        <v>4</v>
      </c>
      <c r="Q48">
        <v>1</v>
      </c>
    </row>
    <row r="49" spans="1:17">
      <c r="A49" s="1" t="s">
        <v>564</v>
      </c>
      <c r="B49" t="s">
        <v>520</v>
      </c>
      <c r="C49" t="s">
        <v>565</v>
      </c>
      <c r="D49" s="12" t="s">
        <v>6</v>
      </c>
      <c r="G49">
        <v>15</v>
      </c>
      <c r="Q49">
        <v>1</v>
      </c>
    </row>
    <row r="50" spans="1:26">
      <c r="A50" s="1" t="s">
        <v>566</v>
      </c>
      <c r="B50" t="s">
        <v>432</v>
      </c>
      <c r="C50" t="s">
        <v>567</v>
      </c>
      <c r="D50" s="12" t="s">
        <v>434</v>
      </c>
      <c r="F50">
        <v>27</v>
      </c>
      <c r="L50">
        <v>4</v>
      </c>
      <c r="P50">
        <v>5</v>
      </c>
      <c r="Q50">
        <v>1</v>
      </c>
      <c r="R50">
        <v>0.25</v>
      </c>
      <c r="Z50" t="s">
        <v>435</v>
      </c>
    </row>
    <row r="51" spans="1:17">
      <c r="A51" s="1" t="s">
        <v>568</v>
      </c>
      <c r="B51" t="s">
        <v>520</v>
      </c>
      <c r="C51" t="s">
        <v>569</v>
      </c>
      <c r="D51" s="12" t="s">
        <v>6</v>
      </c>
      <c r="G51">
        <v>12</v>
      </c>
      <c r="K51">
        <v>6</v>
      </c>
      <c r="M51">
        <v>3</v>
      </c>
      <c r="Q51">
        <v>1</v>
      </c>
    </row>
    <row r="52" spans="1:26">
      <c r="A52" s="1" t="s">
        <v>570</v>
      </c>
      <c r="B52" t="s">
        <v>446</v>
      </c>
      <c r="C52" t="s">
        <v>571</v>
      </c>
      <c r="D52" s="12" t="s">
        <v>448</v>
      </c>
      <c r="I52">
        <v>5</v>
      </c>
      <c r="L52">
        <v>0</v>
      </c>
      <c r="O52">
        <v>21</v>
      </c>
      <c r="Q52">
        <v>1</v>
      </c>
      <c r="U52">
        <v>15</v>
      </c>
      <c r="Z52" t="s">
        <v>492</v>
      </c>
    </row>
    <row r="53" spans="1:26">
      <c r="A53" s="1" t="s">
        <v>572</v>
      </c>
      <c r="B53" t="s">
        <v>432</v>
      </c>
      <c r="C53" t="s">
        <v>573</v>
      </c>
      <c r="D53" s="12" t="s">
        <v>434</v>
      </c>
      <c r="F53">
        <v>25</v>
      </c>
      <c r="K53">
        <v>3</v>
      </c>
      <c r="L53">
        <v>4</v>
      </c>
      <c r="Q53">
        <v>1</v>
      </c>
      <c r="Z53" t="s">
        <v>574</v>
      </c>
    </row>
    <row r="54" spans="1:17">
      <c r="A54" s="1" t="s">
        <v>575</v>
      </c>
      <c r="B54" t="s">
        <v>432</v>
      </c>
      <c r="C54" t="s">
        <v>576</v>
      </c>
      <c r="D54" s="12" t="s">
        <v>434</v>
      </c>
      <c r="F54">
        <v>12</v>
      </c>
      <c r="K54">
        <v>2</v>
      </c>
      <c r="L54">
        <v>3</v>
      </c>
      <c r="Q54">
        <v>1</v>
      </c>
    </row>
    <row r="55" spans="1:26">
      <c r="A55" s="1" t="s">
        <v>577</v>
      </c>
      <c r="B55" t="s">
        <v>551</v>
      </c>
      <c r="C55" t="s">
        <v>578</v>
      </c>
      <c r="D55" s="12" t="s">
        <v>553</v>
      </c>
      <c r="P55">
        <v>15</v>
      </c>
      <c r="Q55">
        <v>1</v>
      </c>
      <c r="U55">
        <v>8</v>
      </c>
      <c r="Z55" t="s">
        <v>579</v>
      </c>
    </row>
    <row r="56" spans="1:26">
      <c r="A56" s="1" t="s">
        <v>580</v>
      </c>
      <c r="B56" t="s">
        <v>508</v>
      </c>
      <c r="C56" t="s">
        <v>581</v>
      </c>
      <c r="D56" s="12" t="s">
        <v>510</v>
      </c>
      <c r="G56">
        <v>15</v>
      </c>
      <c r="I56">
        <v>3</v>
      </c>
      <c r="K56">
        <v>2</v>
      </c>
      <c r="Q56">
        <v>1</v>
      </c>
      <c r="U56">
        <v>8</v>
      </c>
      <c r="Z56" t="s">
        <v>579</v>
      </c>
    </row>
    <row r="57" spans="1:17">
      <c r="A57" s="1" t="s">
        <v>582</v>
      </c>
      <c r="B57" t="s">
        <v>583</v>
      </c>
      <c r="C57" t="s">
        <v>584</v>
      </c>
      <c r="D57" s="12" t="s">
        <v>585</v>
      </c>
      <c r="F57">
        <v>2</v>
      </c>
      <c r="K57">
        <v>2</v>
      </c>
      <c r="Q57">
        <v>1</v>
      </c>
    </row>
    <row r="58" spans="1:27">
      <c r="A58" s="1" t="s">
        <v>586</v>
      </c>
      <c r="B58" t="s">
        <v>587</v>
      </c>
      <c r="C58" t="s">
        <v>588</v>
      </c>
      <c r="D58" s="12" t="s">
        <v>589</v>
      </c>
      <c r="F58">
        <v>20</v>
      </c>
      <c r="Q58">
        <v>1</v>
      </c>
      <c r="S58">
        <v>20</v>
      </c>
      <c r="U58">
        <v>10</v>
      </c>
      <c r="V58" s="1" t="s">
        <v>503</v>
      </c>
      <c r="W58">
        <v>3</v>
      </c>
      <c r="X58" s="23">
        <v>0.1</v>
      </c>
      <c r="Y58" t="s">
        <v>590</v>
      </c>
      <c r="Z58" t="s">
        <v>591</v>
      </c>
      <c r="AA58" t="s">
        <v>592</v>
      </c>
    </row>
    <row r="59" spans="1:17">
      <c r="A59" s="1" t="s">
        <v>593</v>
      </c>
      <c r="B59" t="s">
        <v>583</v>
      </c>
      <c r="C59" t="s">
        <v>594</v>
      </c>
      <c r="D59" s="12" t="s">
        <v>595</v>
      </c>
      <c r="K59">
        <v>3</v>
      </c>
      <c r="Q59">
        <v>1</v>
      </c>
    </row>
    <row r="60" spans="1:26">
      <c r="A60" s="1" t="s">
        <v>596</v>
      </c>
      <c r="B60" t="s">
        <v>597</v>
      </c>
      <c r="C60" t="s">
        <v>598</v>
      </c>
      <c r="D60" s="12" t="s">
        <v>599</v>
      </c>
      <c r="F60">
        <v>15</v>
      </c>
      <c r="P60">
        <v>17</v>
      </c>
      <c r="Q60">
        <v>3.7</v>
      </c>
      <c r="R60">
        <v>0.73</v>
      </c>
      <c r="T60">
        <v>25</v>
      </c>
      <c r="U60">
        <v>9</v>
      </c>
      <c r="W60">
        <v>6</v>
      </c>
      <c r="Z60" t="s">
        <v>600</v>
      </c>
    </row>
    <row r="61" spans="1:23">
      <c r="A61" s="1" t="s">
        <v>601</v>
      </c>
      <c r="B61" t="s">
        <v>459</v>
      </c>
      <c r="C61" t="s">
        <v>602</v>
      </c>
      <c r="D61" s="12" t="s">
        <v>461</v>
      </c>
      <c r="E61">
        <v>2</v>
      </c>
      <c r="N61">
        <v>6</v>
      </c>
      <c r="Q61">
        <v>1</v>
      </c>
      <c r="W61">
        <v>6</v>
      </c>
    </row>
    <row r="62" spans="1:17">
      <c r="A62" s="1" t="s">
        <v>603</v>
      </c>
      <c r="B62" t="s">
        <v>432</v>
      </c>
      <c r="C62" t="s">
        <v>604</v>
      </c>
      <c r="D62" s="12" t="s">
        <v>434</v>
      </c>
      <c r="F62">
        <v>10</v>
      </c>
      <c r="L62">
        <v>3</v>
      </c>
      <c r="Q62">
        <v>1</v>
      </c>
    </row>
    <row r="63" spans="1:26">
      <c r="A63" s="1" t="s">
        <v>605</v>
      </c>
      <c r="B63" t="s">
        <v>508</v>
      </c>
      <c r="C63" t="s">
        <v>606</v>
      </c>
      <c r="D63" s="12" t="s">
        <v>510</v>
      </c>
      <c r="G63">
        <v>10</v>
      </c>
      <c r="I63">
        <v>5</v>
      </c>
      <c r="P63">
        <v>6</v>
      </c>
      <c r="Q63">
        <v>1</v>
      </c>
      <c r="U63">
        <v>5</v>
      </c>
      <c r="Z63" t="s">
        <v>449</v>
      </c>
    </row>
    <row r="64" spans="1:17">
      <c r="A64" s="1" t="s">
        <v>607</v>
      </c>
      <c r="B64" t="s">
        <v>459</v>
      </c>
      <c r="C64" t="s">
        <v>608</v>
      </c>
      <c r="D64" s="12" t="s">
        <v>461</v>
      </c>
      <c r="K64">
        <v>2</v>
      </c>
      <c r="M64">
        <v>10</v>
      </c>
      <c r="N64">
        <v>2</v>
      </c>
      <c r="Q64">
        <v>1</v>
      </c>
    </row>
    <row r="65" spans="1:27">
      <c r="A65" s="1" t="s">
        <v>609</v>
      </c>
      <c r="B65" t="s">
        <v>587</v>
      </c>
      <c r="C65" t="s">
        <v>610</v>
      </c>
      <c r="D65" s="12" t="s">
        <v>589</v>
      </c>
      <c r="F65">
        <v>27</v>
      </c>
      <c r="Q65">
        <v>1</v>
      </c>
      <c r="S65">
        <v>23</v>
      </c>
      <c r="U65">
        <v>13</v>
      </c>
      <c r="V65" s="1" t="s">
        <v>503</v>
      </c>
      <c r="W65">
        <v>3</v>
      </c>
      <c r="X65" s="23">
        <v>0.15</v>
      </c>
      <c r="Y65" t="s">
        <v>611</v>
      </c>
      <c r="Z65" t="s">
        <v>612</v>
      </c>
      <c r="AA65" t="s">
        <v>613</v>
      </c>
    </row>
    <row r="66" spans="1:26">
      <c r="A66" s="1" t="s">
        <v>614</v>
      </c>
      <c r="B66" t="s">
        <v>551</v>
      </c>
      <c r="C66" t="s">
        <v>615</v>
      </c>
      <c r="D66" s="12" t="s">
        <v>553</v>
      </c>
      <c r="P66">
        <v>11</v>
      </c>
      <c r="Q66">
        <v>1</v>
      </c>
      <c r="U66">
        <v>5</v>
      </c>
      <c r="Z66" t="s">
        <v>449</v>
      </c>
    </row>
    <row r="67" spans="1:27">
      <c r="A67" s="1" t="s">
        <v>616</v>
      </c>
      <c r="B67" t="s">
        <v>587</v>
      </c>
      <c r="C67" t="s">
        <v>617</v>
      </c>
      <c r="D67" s="12" t="s">
        <v>589</v>
      </c>
      <c r="F67">
        <v>10</v>
      </c>
      <c r="Q67">
        <v>1</v>
      </c>
      <c r="S67">
        <v>27</v>
      </c>
      <c r="U67">
        <v>4</v>
      </c>
      <c r="V67" s="1" t="s">
        <v>503</v>
      </c>
      <c r="W67">
        <v>3</v>
      </c>
      <c r="X67" s="23">
        <v>0.05</v>
      </c>
      <c r="Y67" t="s">
        <v>618</v>
      </c>
      <c r="Z67" t="s">
        <v>619</v>
      </c>
      <c r="AA67" t="s">
        <v>620</v>
      </c>
    </row>
    <row r="68" spans="1:26">
      <c r="A68" s="1" t="s">
        <v>621</v>
      </c>
      <c r="B68" t="s">
        <v>432</v>
      </c>
      <c r="C68" t="s">
        <v>622</v>
      </c>
      <c r="D68" s="12" t="s">
        <v>434</v>
      </c>
      <c r="F68">
        <v>27</v>
      </c>
      <c r="K68">
        <v>-2</v>
      </c>
      <c r="L68">
        <v>4</v>
      </c>
      <c r="P68">
        <v>2</v>
      </c>
      <c r="Q68">
        <v>1.1</v>
      </c>
      <c r="Z68" t="s">
        <v>623</v>
      </c>
    </row>
    <row r="69" spans="1:17">
      <c r="A69" s="1" t="s">
        <v>624</v>
      </c>
      <c r="B69" t="s">
        <v>432</v>
      </c>
      <c r="C69" t="s">
        <v>625</v>
      </c>
      <c r="D69" s="12" t="s">
        <v>434</v>
      </c>
      <c r="F69">
        <v>13</v>
      </c>
      <c r="L69">
        <v>3</v>
      </c>
      <c r="Q69">
        <v>1</v>
      </c>
    </row>
    <row r="70" spans="1:26">
      <c r="A70" s="1" t="s">
        <v>626</v>
      </c>
      <c r="B70" t="s">
        <v>508</v>
      </c>
      <c r="C70" t="s">
        <v>627</v>
      </c>
      <c r="D70" s="12" t="s">
        <v>510</v>
      </c>
      <c r="G70">
        <v>6</v>
      </c>
      <c r="I70">
        <v>2</v>
      </c>
      <c r="P70">
        <v>9</v>
      </c>
      <c r="Q70">
        <v>1</v>
      </c>
      <c r="U70">
        <v>5</v>
      </c>
      <c r="Z70" t="s">
        <v>449</v>
      </c>
    </row>
    <row r="71" spans="1:26">
      <c r="A71" s="1" t="s">
        <v>628</v>
      </c>
      <c r="B71" t="s">
        <v>551</v>
      </c>
      <c r="C71" t="s">
        <v>629</v>
      </c>
      <c r="D71" s="12" t="s">
        <v>553</v>
      </c>
      <c r="M71">
        <v>1</v>
      </c>
      <c r="P71">
        <v>14</v>
      </c>
      <c r="Q71">
        <v>1</v>
      </c>
      <c r="U71">
        <v>7</v>
      </c>
      <c r="Z71" t="s">
        <v>630</v>
      </c>
    </row>
    <row r="72" spans="1:26">
      <c r="A72" s="1" t="s">
        <v>631</v>
      </c>
      <c r="B72" t="s">
        <v>432</v>
      </c>
      <c r="C72" t="s">
        <v>632</v>
      </c>
      <c r="D72" s="12" t="s">
        <v>434</v>
      </c>
      <c r="F72">
        <v>27</v>
      </c>
      <c r="L72">
        <v>4</v>
      </c>
      <c r="Q72">
        <v>1</v>
      </c>
      <c r="R72">
        <v>0.35</v>
      </c>
      <c r="Z72" t="s">
        <v>633</v>
      </c>
    </row>
    <row r="73" s="14" customFormat="1" spans="1:27">
      <c r="A73" s="18" t="s">
        <v>634</v>
      </c>
      <c r="B73" s="14" t="s">
        <v>459</v>
      </c>
      <c r="C73" s="14" t="s">
        <v>635</v>
      </c>
      <c r="D73" s="24" t="s">
        <v>461</v>
      </c>
      <c r="E73" s="14">
        <v>-1</v>
      </c>
      <c r="F73" s="14" t="s">
        <v>636</v>
      </c>
      <c r="G73" s="14">
        <v>3</v>
      </c>
      <c r="H73" s="14" t="s">
        <v>636</v>
      </c>
      <c r="I73" s="14" t="s">
        <v>636</v>
      </c>
      <c r="J73" s="14" t="s">
        <v>636</v>
      </c>
      <c r="K73" s="14" t="s">
        <v>636</v>
      </c>
      <c r="M73" s="14" t="s">
        <v>636</v>
      </c>
      <c r="N73" s="14" t="s">
        <v>636</v>
      </c>
      <c r="O73" s="14" t="s">
        <v>636</v>
      </c>
      <c r="P73" s="14" t="s">
        <v>636</v>
      </c>
      <c r="Q73" s="14">
        <v>1</v>
      </c>
      <c r="R73" s="14" t="s">
        <v>636</v>
      </c>
      <c r="S73" s="14" t="s">
        <v>636</v>
      </c>
      <c r="T73" s="14" t="s">
        <v>636</v>
      </c>
      <c r="V73" s="14" t="s">
        <v>636</v>
      </c>
      <c r="W73" s="18"/>
      <c r="X73" s="14">
        <v>6</v>
      </c>
      <c r="Y73" s="25"/>
      <c r="Z73" s="14" t="s">
        <v>636</v>
      </c>
      <c r="AA73" s="14" t="s">
        <v>636</v>
      </c>
    </row>
    <row r="74" spans="1:26">
      <c r="A74" s="1" t="s">
        <v>637</v>
      </c>
      <c r="B74" t="s">
        <v>441</v>
      </c>
      <c r="C74" t="s">
        <v>638</v>
      </c>
      <c r="D74" s="12" t="s">
        <v>443</v>
      </c>
      <c r="F74">
        <v>2</v>
      </c>
      <c r="L74">
        <v>1</v>
      </c>
      <c r="M74">
        <v>1</v>
      </c>
      <c r="P74">
        <v>10</v>
      </c>
      <c r="Q74">
        <v>3</v>
      </c>
      <c r="R74">
        <v>0.4</v>
      </c>
      <c r="Z74" t="s">
        <v>639</v>
      </c>
    </row>
    <row r="75" spans="1:26">
      <c r="A75" s="1" t="s">
        <v>640</v>
      </c>
      <c r="B75" t="s">
        <v>441</v>
      </c>
      <c r="C75" t="s">
        <v>641</v>
      </c>
      <c r="D75" s="12" t="s">
        <v>443</v>
      </c>
      <c r="F75">
        <v>1</v>
      </c>
      <c r="L75">
        <v>1</v>
      </c>
      <c r="M75">
        <v>3</v>
      </c>
      <c r="P75">
        <v>9</v>
      </c>
      <c r="Q75">
        <v>3.1</v>
      </c>
      <c r="R75">
        <v>0.45</v>
      </c>
      <c r="Z75" t="s">
        <v>642</v>
      </c>
    </row>
    <row r="76" spans="1:17">
      <c r="A76" s="1" t="s">
        <v>643</v>
      </c>
      <c r="B76" t="s">
        <v>520</v>
      </c>
      <c r="C76" t="s">
        <v>644</v>
      </c>
      <c r="D76" s="12" t="s">
        <v>6</v>
      </c>
      <c r="G76">
        <v>12</v>
      </c>
      <c r="K76">
        <v>1</v>
      </c>
      <c r="M76">
        <v>2</v>
      </c>
      <c r="Q76">
        <v>1</v>
      </c>
    </row>
    <row r="77" spans="1:17">
      <c r="A77" s="1" t="s">
        <v>645</v>
      </c>
      <c r="B77" t="s">
        <v>432</v>
      </c>
      <c r="C77" t="s">
        <v>646</v>
      </c>
      <c r="D77" s="12" t="s">
        <v>434</v>
      </c>
      <c r="F77">
        <v>9</v>
      </c>
      <c r="K77">
        <v>2</v>
      </c>
      <c r="L77">
        <v>3</v>
      </c>
      <c r="Q77">
        <v>1</v>
      </c>
    </row>
    <row r="78" spans="1:17">
      <c r="A78" s="1" t="s">
        <v>647</v>
      </c>
      <c r="B78" t="s">
        <v>432</v>
      </c>
      <c r="C78" t="s">
        <v>648</v>
      </c>
      <c r="D78" s="12" t="s">
        <v>434</v>
      </c>
      <c r="F78">
        <v>9</v>
      </c>
      <c r="K78">
        <v>2</v>
      </c>
      <c r="L78">
        <v>3</v>
      </c>
      <c r="Q78">
        <v>1</v>
      </c>
    </row>
    <row r="79" spans="1:17">
      <c r="A79" s="1" t="s">
        <v>649</v>
      </c>
      <c r="B79" t="s">
        <v>432</v>
      </c>
      <c r="C79" t="s">
        <v>650</v>
      </c>
      <c r="D79" s="12" t="s">
        <v>434</v>
      </c>
      <c r="F79">
        <v>28</v>
      </c>
      <c r="L79">
        <v>3</v>
      </c>
      <c r="Q79">
        <v>1</v>
      </c>
    </row>
    <row r="80" spans="1:26">
      <c r="A80" s="1" t="s">
        <v>651</v>
      </c>
      <c r="B80" t="s">
        <v>441</v>
      </c>
      <c r="C80" t="s">
        <v>652</v>
      </c>
      <c r="D80" s="12" t="s">
        <v>443</v>
      </c>
      <c r="L80">
        <v>1</v>
      </c>
      <c r="M80">
        <v>2</v>
      </c>
      <c r="P80">
        <v>13</v>
      </c>
      <c r="Q80">
        <v>3.3</v>
      </c>
      <c r="R80">
        <v>0.5</v>
      </c>
      <c r="Z80" t="s">
        <v>653</v>
      </c>
    </row>
    <row r="81" spans="1:26">
      <c r="A81" s="1" t="s">
        <v>654</v>
      </c>
      <c r="B81" t="s">
        <v>446</v>
      </c>
      <c r="C81" t="s">
        <v>655</v>
      </c>
      <c r="D81" s="12" t="s">
        <v>448</v>
      </c>
      <c r="I81">
        <v>8</v>
      </c>
      <c r="O81">
        <v>8</v>
      </c>
      <c r="P81">
        <v>5</v>
      </c>
      <c r="Q81">
        <v>1</v>
      </c>
      <c r="U81">
        <v>6</v>
      </c>
      <c r="Z81" t="s">
        <v>656</v>
      </c>
    </row>
    <row r="82" spans="1:26">
      <c r="A82" s="1" t="s">
        <v>657</v>
      </c>
      <c r="B82" t="s">
        <v>432</v>
      </c>
      <c r="C82" t="s">
        <v>658</v>
      </c>
      <c r="D82" s="12" t="s">
        <v>434</v>
      </c>
      <c r="F82">
        <v>24</v>
      </c>
      <c r="L82">
        <v>3</v>
      </c>
      <c r="P82">
        <v>5</v>
      </c>
      <c r="Q82">
        <v>1</v>
      </c>
      <c r="R82">
        <v>0.25</v>
      </c>
      <c r="Z82" t="s">
        <v>435</v>
      </c>
    </row>
    <row r="83" spans="1:17">
      <c r="A83" s="1" t="s">
        <v>659</v>
      </c>
      <c r="B83" t="s">
        <v>432</v>
      </c>
      <c r="C83" t="s">
        <v>660</v>
      </c>
      <c r="D83" s="12" t="s">
        <v>434</v>
      </c>
      <c r="F83">
        <v>10</v>
      </c>
      <c r="L83">
        <v>3</v>
      </c>
      <c r="Q83">
        <v>1</v>
      </c>
    </row>
    <row r="84" spans="1:17">
      <c r="A84" s="1" t="s">
        <v>661</v>
      </c>
      <c r="B84" t="s">
        <v>520</v>
      </c>
      <c r="C84" t="s">
        <v>662</v>
      </c>
      <c r="D84" s="12" t="s">
        <v>6</v>
      </c>
      <c r="G84">
        <v>12</v>
      </c>
      <c r="K84">
        <v>3</v>
      </c>
      <c r="M84">
        <v>6</v>
      </c>
      <c r="Q84">
        <v>1</v>
      </c>
    </row>
    <row r="85" spans="1:26">
      <c r="A85" s="1" t="s">
        <v>663</v>
      </c>
      <c r="B85" t="s">
        <v>587</v>
      </c>
      <c r="C85" t="s">
        <v>664</v>
      </c>
      <c r="D85" s="12" t="s">
        <v>589</v>
      </c>
      <c r="F85">
        <v>20</v>
      </c>
      <c r="Q85">
        <v>1</v>
      </c>
      <c r="S85">
        <v>20</v>
      </c>
      <c r="U85">
        <v>9</v>
      </c>
      <c r="Z85" t="s">
        <v>511</v>
      </c>
    </row>
    <row r="86" spans="1:17">
      <c r="A86" s="1" t="s">
        <v>665</v>
      </c>
      <c r="B86" t="s">
        <v>432</v>
      </c>
      <c r="C86" t="s">
        <v>666</v>
      </c>
      <c r="D86" s="12" t="s">
        <v>434</v>
      </c>
      <c r="F86">
        <v>27</v>
      </c>
      <c r="L86">
        <v>3</v>
      </c>
      <c r="M86">
        <v>2</v>
      </c>
      <c r="Q86">
        <v>1</v>
      </c>
    </row>
    <row r="87" spans="1:17">
      <c r="A87" s="1" t="s">
        <v>667</v>
      </c>
      <c r="B87" t="s">
        <v>432</v>
      </c>
      <c r="C87" t="s">
        <v>668</v>
      </c>
      <c r="D87" s="12" t="s">
        <v>434</v>
      </c>
      <c r="F87">
        <v>9</v>
      </c>
      <c r="K87">
        <v>1</v>
      </c>
      <c r="L87">
        <v>2</v>
      </c>
      <c r="N87">
        <v>1</v>
      </c>
      <c r="Q87">
        <v>1</v>
      </c>
    </row>
    <row r="88" spans="1:26">
      <c r="A88" s="1" t="s">
        <v>669</v>
      </c>
      <c r="B88" t="s">
        <v>551</v>
      </c>
      <c r="C88" t="s">
        <v>670</v>
      </c>
      <c r="D88" s="12" t="s">
        <v>553</v>
      </c>
      <c r="N88">
        <v>3</v>
      </c>
      <c r="P88">
        <v>13</v>
      </c>
      <c r="Q88">
        <v>1</v>
      </c>
      <c r="U88">
        <v>5</v>
      </c>
      <c r="Z88" t="s">
        <v>449</v>
      </c>
    </row>
    <row r="89" spans="1:26">
      <c r="A89" s="1" t="s">
        <v>671</v>
      </c>
      <c r="B89" t="s">
        <v>587</v>
      </c>
      <c r="C89" t="s">
        <v>672</v>
      </c>
      <c r="D89" s="12" t="s">
        <v>589</v>
      </c>
      <c r="F89">
        <v>18</v>
      </c>
      <c r="Q89">
        <v>1</v>
      </c>
      <c r="S89">
        <v>18</v>
      </c>
      <c r="U89">
        <v>8</v>
      </c>
      <c r="Z89" t="s">
        <v>579</v>
      </c>
    </row>
    <row r="90" spans="1:26">
      <c r="A90" s="1" t="s">
        <v>673</v>
      </c>
      <c r="B90" t="s">
        <v>441</v>
      </c>
      <c r="C90" t="s">
        <v>674</v>
      </c>
      <c r="D90" s="12" t="s">
        <v>443</v>
      </c>
      <c r="F90">
        <v>2</v>
      </c>
      <c r="L90">
        <v>1</v>
      </c>
      <c r="M90">
        <v>2</v>
      </c>
      <c r="P90">
        <v>11</v>
      </c>
      <c r="Q90">
        <v>3.2</v>
      </c>
      <c r="Z90" t="s">
        <v>675</v>
      </c>
    </row>
    <row r="91" spans="1:26">
      <c r="A91" s="1" t="s">
        <v>676</v>
      </c>
      <c r="B91" t="s">
        <v>432</v>
      </c>
      <c r="C91" t="s">
        <v>677</v>
      </c>
      <c r="D91" s="12" t="s">
        <v>434</v>
      </c>
      <c r="F91">
        <v>10</v>
      </c>
      <c r="L91">
        <v>2</v>
      </c>
      <c r="P91">
        <v>8</v>
      </c>
      <c r="Q91">
        <v>2.8</v>
      </c>
      <c r="R91">
        <v>0.3</v>
      </c>
      <c r="Z91" t="s">
        <v>678</v>
      </c>
    </row>
    <row r="92" spans="1:17">
      <c r="A92" s="1" t="s">
        <v>679</v>
      </c>
      <c r="B92" t="s">
        <v>583</v>
      </c>
      <c r="C92" t="s">
        <v>680</v>
      </c>
      <c r="D92" s="12" t="s">
        <v>585</v>
      </c>
      <c r="F92">
        <v>2</v>
      </c>
      <c r="M92">
        <v>2</v>
      </c>
      <c r="Q92">
        <v>1</v>
      </c>
    </row>
    <row r="93" spans="1:26">
      <c r="A93" s="1" t="s">
        <v>681</v>
      </c>
      <c r="B93" t="s">
        <v>432</v>
      </c>
      <c r="C93" t="s">
        <v>682</v>
      </c>
      <c r="D93" s="12" t="s">
        <v>434</v>
      </c>
      <c r="F93">
        <v>27</v>
      </c>
      <c r="L93">
        <v>3</v>
      </c>
      <c r="P93">
        <v>6</v>
      </c>
      <c r="Q93">
        <v>1</v>
      </c>
      <c r="R93">
        <v>0.3</v>
      </c>
      <c r="Z93" t="s">
        <v>683</v>
      </c>
    </row>
    <row r="94" spans="1:26">
      <c r="A94" s="1" t="s">
        <v>684</v>
      </c>
      <c r="B94" t="s">
        <v>508</v>
      </c>
      <c r="C94" t="s">
        <v>685</v>
      </c>
      <c r="D94" s="12" t="s">
        <v>510</v>
      </c>
      <c r="G94">
        <v>12</v>
      </c>
      <c r="I94">
        <v>5</v>
      </c>
      <c r="Q94">
        <v>1</v>
      </c>
      <c r="U94">
        <v>6</v>
      </c>
      <c r="Z94" t="s">
        <v>656</v>
      </c>
    </row>
    <row r="95" spans="1:17">
      <c r="A95" s="1" t="s">
        <v>686</v>
      </c>
      <c r="B95" t="s">
        <v>520</v>
      </c>
      <c r="C95" t="s">
        <v>687</v>
      </c>
      <c r="D95" s="12" t="s">
        <v>6</v>
      </c>
      <c r="G95">
        <v>17</v>
      </c>
      <c r="K95">
        <v>2</v>
      </c>
      <c r="Q95">
        <v>1</v>
      </c>
    </row>
    <row r="96" spans="1:17">
      <c r="A96" s="1" t="s">
        <v>688</v>
      </c>
      <c r="B96" t="s">
        <v>476</v>
      </c>
      <c r="C96" t="s">
        <v>689</v>
      </c>
      <c r="D96" s="12" t="s">
        <v>478</v>
      </c>
      <c r="F96">
        <v>3</v>
      </c>
      <c r="I96">
        <v>15</v>
      </c>
      <c r="K96">
        <v>3</v>
      </c>
      <c r="L96">
        <v>1</v>
      </c>
      <c r="Q96">
        <v>1</v>
      </c>
    </row>
    <row r="97" spans="1:17">
      <c r="A97" s="1" t="s">
        <v>690</v>
      </c>
      <c r="B97" t="s">
        <v>520</v>
      </c>
      <c r="C97" t="s">
        <v>691</v>
      </c>
      <c r="D97" s="12" t="s">
        <v>6</v>
      </c>
      <c r="G97">
        <v>14</v>
      </c>
      <c r="K97">
        <v>1</v>
      </c>
      <c r="Q97">
        <v>1</v>
      </c>
    </row>
    <row r="98" spans="1:26">
      <c r="A98" s="1" t="s">
        <v>692</v>
      </c>
      <c r="B98" t="s">
        <v>551</v>
      </c>
      <c r="C98" t="s">
        <v>693</v>
      </c>
      <c r="D98" s="12" t="s">
        <v>553</v>
      </c>
      <c r="O98">
        <v>4</v>
      </c>
      <c r="P98">
        <v>15</v>
      </c>
      <c r="Q98">
        <v>1</v>
      </c>
      <c r="U98">
        <v>9</v>
      </c>
      <c r="Z98" t="s">
        <v>511</v>
      </c>
    </row>
    <row r="99" spans="1:17">
      <c r="A99" s="1" t="s">
        <v>694</v>
      </c>
      <c r="B99" t="s">
        <v>432</v>
      </c>
      <c r="C99" t="s">
        <v>695</v>
      </c>
      <c r="D99" s="12" t="s">
        <v>434</v>
      </c>
      <c r="F99">
        <v>29</v>
      </c>
      <c r="L99">
        <v>3</v>
      </c>
      <c r="M99">
        <v>-2</v>
      </c>
      <c r="Q99">
        <v>1</v>
      </c>
    </row>
    <row r="100" spans="1:17">
      <c r="A100" s="1" t="s">
        <v>696</v>
      </c>
      <c r="B100" t="s">
        <v>432</v>
      </c>
      <c r="C100" t="s">
        <v>697</v>
      </c>
      <c r="D100" s="12" t="s">
        <v>434</v>
      </c>
      <c r="F100">
        <v>15</v>
      </c>
      <c r="L100">
        <v>2</v>
      </c>
      <c r="Q100">
        <v>1</v>
      </c>
    </row>
    <row r="101" spans="1:27">
      <c r="A101" s="1" t="s">
        <v>698</v>
      </c>
      <c r="B101" t="s">
        <v>451</v>
      </c>
      <c r="C101" t="s">
        <v>699</v>
      </c>
      <c r="D101" s="12" t="s">
        <v>453</v>
      </c>
      <c r="G101">
        <v>4</v>
      </c>
      <c r="K101">
        <v>4</v>
      </c>
      <c r="Q101">
        <v>1</v>
      </c>
      <c r="V101" s="1" t="s">
        <v>700</v>
      </c>
      <c r="W101">
        <v>11</v>
      </c>
      <c r="X101" s="23">
        <v>0.1</v>
      </c>
      <c r="Y101" t="s">
        <v>701</v>
      </c>
      <c r="Z101" t="s">
        <v>702</v>
      </c>
      <c r="AA101" t="s">
        <v>703</v>
      </c>
    </row>
    <row r="102" spans="1:26">
      <c r="A102" s="1" t="s">
        <v>704</v>
      </c>
      <c r="B102" t="s">
        <v>432</v>
      </c>
      <c r="C102" t="s">
        <v>705</v>
      </c>
      <c r="D102" s="12" t="s">
        <v>434</v>
      </c>
      <c r="F102">
        <v>11</v>
      </c>
      <c r="L102">
        <v>2</v>
      </c>
      <c r="P102">
        <v>7</v>
      </c>
      <c r="Q102">
        <v>2.7</v>
      </c>
      <c r="R102">
        <v>0.3</v>
      </c>
      <c r="Z102" t="s">
        <v>706</v>
      </c>
    </row>
    <row r="103" spans="1:17">
      <c r="A103" s="1" t="s">
        <v>707</v>
      </c>
      <c r="B103" t="s">
        <v>432</v>
      </c>
      <c r="C103" t="s">
        <v>708</v>
      </c>
      <c r="D103" s="12" t="s">
        <v>434</v>
      </c>
      <c r="F103">
        <v>25</v>
      </c>
      <c r="K103">
        <v>4</v>
      </c>
      <c r="L103">
        <v>4</v>
      </c>
      <c r="Q103">
        <v>1</v>
      </c>
    </row>
    <row r="104" spans="1:27">
      <c r="A104" s="1" t="s">
        <v>709</v>
      </c>
      <c r="B104" t="s">
        <v>441</v>
      </c>
      <c r="C104" t="s">
        <v>710</v>
      </c>
      <c r="D104" s="12" t="s">
        <v>443</v>
      </c>
      <c r="M104">
        <v>2</v>
      </c>
      <c r="P104">
        <v>4</v>
      </c>
      <c r="Q104">
        <v>1</v>
      </c>
      <c r="V104" s="1" t="s">
        <v>711</v>
      </c>
      <c r="W104">
        <v>12</v>
      </c>
      <c r="X104" s="23">
        <v>-0.1</v>
      </c>
      <c r="Y104" t="s">
        <v>712</v>
      </c>
      <c r="Z104" t="s">
        <v>713</v>
      </c>
      <c r="AA104" t="s">
        <v>714</v>
      </c>
    </row>
    <row r="105" spans="1:23">
      <c r="A105" s="1" t="s">
        <v>715</v>
      </c>
      <c r="B105" t="s">
        <v>459</v>
      </c>
      <c r="C105" t="s">
        <v>716</v>
      </c>
      <c r="D105" s="12" t="s">
        <v>461</v>
      </c>
      <c r="E105">
        <v>-1</v>
      </c>
      <c r="F105">
        <v>3</v>
      </c>
      <c r="K105">
        <v>3</v>
      </c>
      <c r="N105">
        <v>1</v>
      </c>
      <c r="Q105">
        <v>1</v>
      </c>
      <c r="W105">
        <v>6</v>
      </c>
    </row>
    <row r="106" spans="1:23">
      <c r="A106" s="1" t="s">
        <v>717</v>
      </c>
      <c r="B106" t="s">
        <v>459</v>
      </c>
      <c r="C106" t="s">
        <v>718</v>
      </c>
      <c r="D106" s="12" t="s">
        <v>461</v>
      </c>
      <c r="E106">
        <v>1</v>
      </c>
      <c r="F106">
        <v>3</v>
      </c>
      <c r="K106">
        <v>3</v>
      </c>
      <c r="N106">
        <v>1</v>
      </c>
      <c r="Q106">
        <v>1</v>
      </c>
      <c r="W106">
        <v>6</v>
      </c>
    </row>
    <row r="107" spans="1:17">
      <c r="A107" s="1" t="s">
        <v>719</v>
      </c>
      <c r="B107" t="s">
        <v>520</v>
      </c>
      <c r="C107" t="s">
        <v>720</v>
      </c>
      <c r="D107" s="12" t="s">
        <v>6</v>
      </c>
      <c r="G107">
        <v>12</v>
      </c>
      <c r="Q107">
        <v>1</v>
      </c>
    </row>
    <row r="108" spans="1:26">
      <c r="A108" s="1" t="s">
        <v>721</v>
      </c>
      <c r="B108" t="s">
        <v>432</v>
      </c>
      <c r="C108" t="s">
        <v>722</v>
      </c>
      <c r="D108" s="12" t="s">
        <v>434</v>
      </c>
      <c r="F108">
        <v>11</v>
      </c>
      <c r="L108">
        <v>2</v>
      </c>
      <c r="M108">
        <v>-2</v>
      </c>
      <c r="P108">
        <v>8</v>
      </c>
      <c r="Q108">
        <v>2.8</v>
      </c>
      <c r="R108">
        <v>0.35</v>
      </c>
      <c r="Z108" t="s">
        <v>723</v>
      </c>
    </row>
    <row r="109" spans="1:26">
      <c r="A109" s="1" t="s">
        <v>724</v>
      </c>
      <c r="B109" t="s">
        <v>551</v>
      </c>
      <c r="C109" t="s">
        <v>725</v>
      </c>
      <c r="D109" s="12" t="s">
        <v>553</v>
      </c>
      <c r="M109">
        <v>6</v>
      </c>
      <c r="P109">
        <v>13</v>
      </c>
      <c r="Q109">
        <v>1</v>
      </c>
      <c r="U109">
        <v>5</v>
      </c>
      <c r="Z109" t="s">
        <v>449</v>
      </c>
    </row>
    <row r="110" spans="1:26">
      <c r="A110" s="1" t="s">
        <v>726</v>
      </c>
      <c r="B110" t="s">
        <v>727</v>
      </c>
      <c r="C110" t="s">
        <v>728</v>
      </c>
      <c r="D110" s="12" t="s">
        <v>729</v>
      </c>
      <c r="I110">
        <v>12</v>
      </c>
      <c r="J110">
        <v>3</v>
      </c>
      <c r="K110">
        <v>3</v>
      </c>
      <c r="Q110">
        <v>1</v>
      </c>
      <c r="U110">
        <v>4</v>
      </c>
      <c r="Z110" t="s">
        <v>514</v>
      </c>
    </row>
    <row r="111" spans="1:17">
      <c r="A111" s="1" t="s">
        <v>730</v>
      </c>
      <c r="B111" t="s">
        <v>432</v>
      </c>
      <c r="C111" t="s">
        <v>731</v>
      </c>
      <c r="D111" s="12" t="s">
        <v>434</v>
      </c>
      <c r="F111">
        <v>28</v>
      </c>
      <c r="K111">
        <v>2</v>
      </c>
      <c r="L111">
        <v>3</v>
      </c>
      <c r="Q111">
        <v>1</v>
      </c>
    </row>
    <row r="112" spans="1:27">
      <c r="A112" s="1" t="s">
        <v>732</v>
      </c>
      <c r="B112" t="s">
        <v>494</v>
      </c>
      <c r="C112" t="s">
        <v>733</v>
      </c>
      <c r="D112" s="12" t="s">
        <v>496</v>
      </c>
      <c r="F112">
        <v>7</v>
      </c>
      <c r="K112">
        <v>1</v>
      </c>
      <c r="Q112">
        <v>1</v>
      </c>
      <c r="V112" s="1" t="s">
        <v>503</v>
      </c>
      <c r="W112">
        <v>3</v>
      </c>
      <c r="X112" s="23">
        <v>0.25</v>
      </c>
      <c r="Y112" t="s">
        <v>734</v>
      </c>
      <c r="Z112" t="s">
        <v>735</v>
      </c>
      <c r="AA112" t="s">
        <v>736</v>
      </c>
    </row>
    <row r="113" spans="1:26">
      <c r="A113" s="1" t="s">
        <v>737</v>
      </c>
      <c r="B113" t="s">
        <v>446</v>
      </c>
      <c r="C113" t="s">
        <v>738</v>
      </c>
      <c r="D113" s="12" t="s">
        <v>448</v>
      </c>
      <c r="I113">
        <v>2</v>
      </c>
      <c r="O113">
        <v>9</v>
      </c>
      <c r="P113">
        <v>2</v>
      </c>
      <c r="Q113">
        <v>1</v>
      </c>
      <c r="U113">
        <v>5</v>
      </c>
      <c r="Z113" t="s">
        <v>449</v>
      </c>
    </row>
    <row r="114" spans="1:17">
      <c r="A114" s="1" t="s">
        <v>739</v>
      </c>
      <c r="B114" t="s">
        <v>432</v>
      </c>
      <c r="C114" t="s">
        <v>740</v>
      </c>
      <c r="D114" s="12" t="s">
        <v>434</v>
      </c>
      <c r="F114">
        <v>13</v>
      </c>
      <c r="L114">
        <v>3</v>
      </c>
      <c r="P114">
        <v>2</v>
      </c>
      <c r="Q114">
        <v>1</v>
      </c>
    </row>
    <row r="115" spans="1:27">
      <c r="A115" s="1" t="s">
        <v>741</v>
      </c>
      <c r="B115" t="s">
        <v>587</v>
      </c>
      <c r="C115" t="s">
        <v>742</v>
      </c>
      <c r="D115" s="12" t="s">
        <v>589</v>
      </c>
      <c r="F115">
        <v>22</v>
      </c>
      <c r="Q115">
        <v>1</v>
      </c>
      <c r="S115">
        <v>26</v>
      </c>
      <c r="U115">
        <v>10</v>
      </c>
      <c r="V115" s="1" t="s">
        <v>503</v>
      </c>
      <c r="W115">
        <v>3</v>
      </c>
      <c r="X115" s="23">
        <v>0.1</v>
      </c>
      <c r="Y115" t="s">
        <v>590</v>
      </c>
      <c r="Z115" t="s">
        <v>743</v>
      </c>
      <c r="AA115" t="s">
        <v>592</v>
      </c>
    </row>
    <row r="116" spans="1:26">
      <c r="A116" s="1" t="s">
        <v>744</v>
      </c>
      <c r="B116" t="s">
        <v>432</v>
      </c>
      <c r="C116" t="s">
        <v>745</v>
      </c>
      <c r="D116" s="12" t="s">
        <v>434</v>
      </c>
      <c r="F116">
        <v>28</v>
      </c>
      <c r="K116">
        <v>-1</v>
      </c>
      <c r="L116">
        <v>3</v>
      </c>
      <c r="M116">
        <v>-1</v>
      </c>
      <c r="P116">
        <v>7</v>
      </c>
      <c r="Q116">
        <v>1</v>
      </c>
      <c r="R116">
        <v>0.25</v>
      </c>
      <c r="Z116" t="s">
        <v>435</v>
      </c>
    </row>
    <row r="117" spans="1:17">
      <c r="A117" s="1" t="s">
        <v>746</v>
      </c>
      <c r="B117" t="s">
        <v>459</v>
      </c>
      <c r="C117" t="s">
        <v>747</v>
      </c>
      <c r="D117" s="12" t="s">
        <v>461</v>
      </c>
      <c r="G117">
        <v>3</v>
      </c>
      <c r="J117">
        <v>7</v>
      </c>
      <c r="K117">
        <v>3</v>
      </c>
      <c r="M117">
        <v>2</v>
      </c>
      <c r="Q117">
        <v>1</v>
      </c>
    </row>
    <row r="118" spans="1:26">
      <c r="A118" s="1" t="s">
        <v>748</v>
      </c>
      <c r="B118" t="s">
        <v>508</v>
      </c>
      <c r="C118" t="s">
        <v>749</v>
      </c>
      <c r="D118" s="12" t="s">
        <v>510</v>
      </c>
      <c r="G118">
        <v>15</v>
      </c>
      <c r="I118">
        <v>5</v>
      </c>
      <c r="Q118">
        <v>1</v>
      </c>
      <c r="U118">
        <v>6</v>
      </c>
      <c r="Z118" t="s">
        <v>656</v>
      </c>
    </row>
    <row r="119" spans="1:26">
      <c r="A119" s="1" t="s">
        <v>750</v>
      </c>
      <c r="B119" t="s">
        <v>441</v>
      </c>
      <c r="C119" t="s">
        <v>751</v>
      </c>
      <c r="D119" s="12" t="s">
        <v>443</v>
      </c>
      <c r="M119">
        <v>2</v>
      </c>
      <c r="P119">
        <v>10</v>
      </c>
      <c r="Q119">
        <v>3</v>
      </c>
      <c r="R119">
        <v>0.25</v>
      </c>
      <c r="Z119" t="s">
        <v>752</v>
      </c>
    </row>
    <row r="120" spans="1:17">
      <c r="A120" s="1" t="s">
        <v>753</v>
      </c>
      <c r="B120" t="s">
        <v>520</v>
      </c>
      <c r="C120" t="s">
        <v>754</v>
      </c>
      <c r="D120" s="12" t="s">
        <v>6</v>
      </c>
      <c r="G120">
        <v>12</v>
      </c>
      <c r="K120">
        <v>2</v>
      </c>
      <c r="M120">
        <v>2</v>
      </c>
      <c r="Q120">
        <v>1</v>
      </c>
    </row>
    <row r="121" spans="1:17">
      <c r="A121" s="1" t="s">
        <v>755</v>
      </c>
      <c r="B121" t="s">
        <v>459</v>
      </c>
      <c r="C121" t="s">
        <v>756</v>
      </c>
      <c r="D121" s="12" t="s">
        <v>461</v>
      </c>
      <c r="H121">
        <v>9</v>
      </c>
      <c r="Q121">
        <v>1</v>
      </c>
    </row>
    <row r="122" spans="1:26">
      <c r="A122" s="1" t="s">
        <v>757</v>
      </c>
      <c r="B122" t="s">
        <v>432</v>
      </c>
      <c r="C122" t="s">
        <v>758</v>
      </c>
      <c r="D122" s="12" t="s">
        <v>434</v>
      </c>
      <c r="F122">
        <v>28</v>
      </c>
      <c r="K122">
        <v>2</v>
      </c>
      <c r="L122">
        <v>3</v>
      </c>
      <c r="Q122">
        <v>1</v>
      </c>
      <c r="Z122" t="s">
        <v>759</v>
      </c>
    </row>
    <row r="123" spans="1:17">
      <c r="A123" s="1" t="s">
        <v>760</v>
      </c>
      <c r="B123" t="s">
        <v>476</v>
      </c>
      <c r="C123" t="s">
        <v>761</v>
      </c>
      <c r="D123" s="12" t="s">
        <v>478</v>
      </c>
      <c r="I123">
        <v>12</v>
      </c>
      <c r="J123">
        <v>3</v>
      </c>
      <c r="M123">
        <v>3</v>
      </c>
      <c r="Q123">
        <v>1</v>
      </c>
    </row>
    <row r="124" spans="1:26">
      <c r="A124" s="1" t="s">
        <v>762</v>
      </c>
      <c r="B124" t="s">
        <v>597</v>
      </c>
      <c r="C124" t="s">
        <v>763</v>
      </c>
      <c r="D124" s="12" t="s">
        <v>599</v>
      </c>
      <c r="F124">
        <v>11</v>
      </c>
      <c r="P124">
        <v>16</v>
      </c>
      <c r="Q124">
        <v>3.9</v>
      </c>
      <c r="R124">
        <v>0.7</v>
      </c>
      <c r="T124">
        <v>27</v>
      </c>
      <c r="U124">
        <v>8</v>
      </c>
      <c r="Z124" t="s">
        <v>764</v>
      </c>
    </row>
    <row r="125" spans="1:17">
      <c r="A125" s="1" t="s">
        <v>765</v>
      </c>
      <c r="B125" t="s">
        <v>432</v>
      </c>
      <c r="C125" t="s">
        <v>766</v>
      </c>
      <c r="D125" s="12" t="s">
        <v>434</v>
      </c>
      <c r="F125">
        <v>10</v>
      </c>
      <c r="L125">
        <v>3</v>
      </c>
      <c r="Q125">
        <v>1</v>
      </c>
    </row>
    <row r="126" spans="1:17">
      <c r="A126" s="1" t="s">
        <v>767</v>
      </c>
      <c r="B126" t="s">
        <v>432</v>
      </c>
      <c r="C126" t="s">
        <v>768</v>
      </c>
      <c r="D126" s="12" t="s">
        <v>434</v>
      </c>
      <c r="F126">
        <v>9</v>
      </c>
      <c r="K126">
        <v>1</v>
      </c>
      <c r="L126">
        <v>3</v>
      </c>
      <c r="M126">
        <v>1</v>
      </c>
      <c r="Q126">
        <v>1</v>
      </c>
    </row>
    <row r="127" spans="1:26">
      <c r="A127" s="1" t="s">
        <v>769</v>
      </c>
      <c r="B127" t="s">
        <v>508</v>
      </c>
      <c r="C127" t="s">
        <v>770</v>
      </c>
      <c r="D127" s="12" t="s">
        <v>510</v>
      </c>
      <c r="G127">
        <v>8</v>
      </c>
      <c r="I127">
        <v>3</v>
      </c>
      <c r="P127">
        <v>9</v>
      </c>
      <c r="Q127">
        <v>1</v>
      </c>
      <c r="U127">
        <v>5</v>
      </c>
      <c r="Z127" t="s">
        <v>449</v>
      </c>
    </row>
    <row r="128" spans="1:17">
      <c r="A128" s="1" t="s">
        <v>771</v>
      </c>
      <c r="B128" t="s">
        <v>432</v>
      </c>
      <c r="C128" t="s">
        <v>772</v>
      </c>
      <c r="D128" s="12" t="s">
        <v>434</v>
      </c>
      <c r="F128">
        <v>30</v>
      </c>
      <c r="L128">
        <v>4</v>
      </c>
      <c r="M128">
        <v>-2</v>
      </c>
      <c r="Q128">
        <v>1</v>
      </c>
    </row>
    <row r="129" spans="1:17">
      <c r="A129" s="1" t="s">
        <v>773</v>
      </c>
      <c r="B129" t="s">
        <v>451</v>
      </c>
      <c r="C129" t="s">
        <v>774</v>
      </c>
      <c r="D129" s="12" t="s">
        <v>453</v>
      </c>
      <c r="J129">
        <v>12</v>
      </c>
      <c r="K129">
        <v>6</v>
      </c>
      <c r="M129">
        <v>3</v>
      </c>
      <c r="N129">
        <v>3</v>
      </c>
      <c r="Q129">
        <v>1</v>
      </c>
    </row>
    <row r="130" spans="1:26">
      <c r="A130" s="1" t="s">
        <v>775</v>
      </c>
      <c r="B130" t="s">
        <v>441</v>
      </c>
      <c r="C130" t="s">
        <v>776</v>
      </c>
      <c r="D130" s="12" t="s">
        <v>443</v>
      </c>
      <c r="F130">
        <v>3</v>
      </c>
      <c r="K130">
        <v>2</v>
      </c>
      <c r="M130">
        <v>2</v>
      </c>
      <c r="P130">
        <v>9</v>
      </c>
      <c r="Q130">
        <v>3.1</v>
      </c>
      <c r="R130">
        <v>0.35</v>
      </c>
      <c r="Z130" t="s">
        <v>444</v>
      </c>
    </row>
    <row r="131" spans="1:26">
      <c r="A131" s="1" t="s">
        <v>777</v>
      </c>
      <c r="B131" t="s">
        <v>432</v>
      </c>
      <c r="C131" t="s">
        <v>778</v>
      </c>
      <c r="D131" s="12" t="s">
        <v>434</v>
      </c>
      <c r="F131">
        <v>22</v>
      </c>
      <c r="J131">
        <v>3</v>
      </c>
      <c r="K131">
        <v>7</v>
      </c>
      <c r="L131">
        <v>3</v>
      </c>
      <c r="N131">
        <v>3</v>
      </c>
      <c r="P131">
        <v>4</v>
      </c>
      <c r="Q131">
        <v>1</v>
      </c>
      <c r="R131">
        <v>0.25</v>
      </c>
      <c r="Z131" t="s">
        <v>435</v>
      </c>
    </row>
    <row r="132" spans="1:26">
      <c r="A132" s="1" t="s">
        <v>779</v>
      </c>
      <c r="B132" t="s">
        <v>597</v>
      </c>
      <c r="C132" t="s">
        <v>780</v>
      </c>
      <c r="D132" s="12" t="s">
        <v>599</v>
      </c>
      <c r="F132">
        <v>15</v>
      </c>
      <c r="P132">
        <v>15</v>
      </c>
      <c r="Q132">
        <v>3.7</v>
      </c>
      <c r="R132">
        <v>0.65</v>
      </c>
      <c r="T132">
        <v>20</v>
      </c>
      <c r="U132">
        <v>9</v>
      </c>
      <c r="Z132" t="s">
        <v>781</v>
      </c>
    </row>
    <row r="133" spans="1:13">
      <c r="A133" s="1" t="s">
        <v>782</v>
      </c>
      <c r="B133" t="s">
        <v>583</v>
      </c>
      <c r="C133" t="s">
        <v>783</v>
      </c>
      <c r="D133" s="12" t="s">
        <v>595</v>
      </c>
      <c r="K133">
        <v>2</v>
      </c>
      <c r="M133">
        <v>2</v>
      </c>
    </row>
    <row r="134" spans="1:26">
      <c r="A134" s="1" t="s">
        <v>784</v>
      </c>
      <c r="B134" t="s">
        <v>597</v>
      </c>
      <c r="C134" t="s">
        <v>785</v>
      </c>
      <c r="D134" s="12" t="s">
        <v>599</v>
      </c>
      <c r="F134">
        <v>20</v>
      </c>
      <c r="P134">
        <v>18</v>
      </c>
      <c r="Q134">
        <v>3.8</v>
      </c>
      <c r="R134">
        <v>0.78</v>
      </c>
      <c r="T134">
        <v>24</v>
      </c>
      <c r="U134">
        <v>10</v>
      </c>
      <c r="Z134" t="s">
        <v>786</v>
      </c>
    </row>
    <row r="135" spans="1:13">
      <c r="A135" s="1" t="s">
        <v>787</v>
      </c>
      <c r="B135" t="s">
        <v>583</v>
      </c>
      <c r="C135" t="s">
        <v>788</v>
      </c>
      <c r="D135" s="12" t="s">
        <v>595</v>
      </c>
      <c r="K135">
        <v>3</v>
      </c>
      <c r="M135">
        <v>-2</v>
      </c>
    </row>
    <row r="136" spans="1:26">
      <c r="A136" s="1" t="s">
        <v>789</v>
      </c>
      <c r="B136" t="s">
        <v>441</v>
      </c>
      <c r="C136" t="s">
        <v>790</v>
      </c>
      <c r="D136" s="12" t="s">
        <v>443</v>
      </c>
      <c r="F136">
        <v>2</v>
      </c>
      <c r="L136">
        <v>1</v>
      </c>
      <c r="M136">
        <v>1</v>
      </c>
      <c r="P136">
        <v>9</v>
      </c>
      <c r="Q136">
        <v>3</v>
      </c>
      <c r="R136">
        <v>0.38</v>
      </c>
      <c r="Z136" t="s">
        <v>791</v>
      </c>
    </row>
    <row r="137" spans="1:26">
      <c r="A137" s="1" t="s">
        <v>792</v>
      </c>
      <c r="B137" t="s">
        <v>597</v>
      </c>
      <c r="C137" t="s">
        <v>793</v>
      </c>
      <c r="D137" s="12" t="s">
        <v>599</v>
      </c>
      <c r="F137">
        <v>26</v>
      </c>
      <c r="P137">
        <v>8</v>
      </c>
      <c r="Q137">
        <v>3</v>
      </c>
      <c r="R137">
        <v>0.6</v>
      </c>
      <c r="T137">
        <v>20</v>
      </c>
      <c r="U137">
        <v>9</v>
      </c>
      <c r="Z137" t="s">
        <v>794</v>
      </c>
    </row>
    <row r="138" spans="1:27">
      <c r="A138" s="1" t="s">
        <v>795</v>
      </c>
      <c r="B138" t="s">
        <v>432</v>
      </c>
      <c r="C138" t="s">
        <v>796</v>
      </c>
      <c r="D138" s="12" t="s">
        <v>434</v>
      </c>
      <c r="F138">
        <v>10</v>
      </c>
      <c r="K138">
        <v>5</v>
      </c>
      <c r="L138">
        <v>2</v>
      </c>
      <c r="P138">
        <v>3</v>
      </c>
      <c r="Q138">
        <v>1.2</v>
      </c>
      <c r="V138" s="1" t="s">
        <v>497</v>
      </c>
      <c r="W138">
        <v>4</v>
      </c>
      <c r="X138" s="23">
        <v>0.1</v>
      </c>
      <c r="Y138" t="s">
        <v>797</v>
      </c>
      <c r="Z138" t="s">
        <v>798</v>
      </c>
      <c r="AA138" t="s">
        <v>799</v>
      </c>
    </row>
    <row r="139" spans="1:27">
      <c r="A139" s="1" t="s">
        <v>800</v>
      </c>
      <c r="B139" t="s">
        <v>587</v>
      </c>
      <c r="C139" t="s">
        <v>801</v>
      </c>
      <c r="D139" s="12" t="s">
        <v>589</v>
      </c>
      <c r="F139">
        <v>21</v>
      </c>
      <c r="Q139">
        <v>1</v>
      </c>
      <c r="S139">
        <v>25</v>
      </c>
      <c r="U139">
        <v>10</v>
      </c>
      <c r="V139" s="1" t="s">
        <v>503</v>
      </c>
      <c r="W139">
        <v>3</v>
      </c>
      <c r="X139" s="23">
        <v>0.1</v>
      </c>
      <c r="Y139" t="s">
        <v>590</v>
      </c>
      <c r="Z139" t="s">
        <v>591</v>
      </c>
      <c r="AA139" t="s">
        <v>592</v>
      </c>
    </row>
    <row r="140" spans="1:17">
      <c r="A140" s="1" t="s">
        <v>802</v>
      </c>
      <c r="B140" t="s">
        <v>583</v>
      </c>
      <c r="C140" t="s">
        <v>803</v>
      </c>
      <c r="D140" s="12" t="s">
        <v>585</v>
      </c>
      <c r="M140">
        <v>2</v>
      </c>
      <c r="Q140">
        <v>1</v>
      </c>
    </row>
    <row r="141" spans="1:17">
      <c r="A141" s="1" t="s">
        <v>804</v>
      </c>
      <c r="B141" t="s">
        <v>520</v>
      </c>
      <c r="C141" t="s">
        <v>805</v>
      </c>
      <c r="D141" s="12" t="s">
        <v>6</v>
      </c>
      <c r="G141">
        <v>11</v>
      </c>
      <c r="I141">
        <v>10</v>
      </c>
      <c r="Q141">
        <v>1</v>
      </c>
    </row>
    <row r="142" spans="1:17">
      <c r="A142" s="1" t="s">
        <v>806</v>
      </c>
      <c r="B142" t="s">
        <v>432</v>
      </c>
      <c r="C142" t="s">
        <v>807</v>
      </c>
      <c r="D142" s="12" t="s">
        <v>434</v>
      </c>
      <c r="F142">
        <v>27</v>
      </c>
      <c r="K142">
        <v>3</v>
      </c>
      <c r="L142">
        <v>3</v>
      </c>
      <c r="Q142">
        <v>1</v>
      </c>
    </row>
    <row r="143" spans="1:26">
      <c r="A143" s="1" t="s">
        <v>808</v>
      </c>
      <c r="B143" t="s">
        <v>508</v>
      </c>
      <c r="C143" t="s">
        <v>809</v>
      </c>
      <c r="D143" s="12" t="s">
        <v>510</v>
      </c>
      <c r="G143">
        <v>15</v>
      </c>
      <c r="I143">
        <v>2</v>
      </c>
      <c r="Q143">
        <v>1</v>
      </c>
      <c r="U143">
        <v>6</v>
      </c>
      <c r="Z143" t="s">
        <v>656</v>
      </c>
    </row>
    <row r="144" spans="1:26">
      <c r="A144" s="1" t="s">
        <v>810</v>
      </c>
      <c r="B144" t="s">
        <v>597</v>
      </c>
      <c r="C144" t="s">
        <v>811</v>
      </c>
      <c r="D144" s="12" t="s">
        <v>599</v>
      </c>
      <c r="F144">
        <v>10</v>
      </c>
      <c r="P144">
        <v>17</v>
      </c>
      <c r="Q144">
        <v>4</v>
      </c>
      <c r="R144">
        <v>0.7</v>
      </c>
      <c r="T144">
        <v>28</v>
      </c>
      <c r="U144">
        <v>8</v>
      </c>
      <c r="Z144" t="s">
        <v>812</v>
      </c>
    </row>
    <row r="145" spans="1:17">
      <c r="A145" s="1" t="s">
        <v>813</v>
      </c>
      <c r="B145" t="s">
        <v>583</v>
      </c>
      <c r="C145" t="s">
        <v>814</v>
      </c>
      <c r="D145" s="12" t="s">
        <v>595</v>
      </c>
      <c r="F145">
        <v>3</v>
      </c>
      <c r="K145">
        <v>1</v>
      </c>
      <c r="Q145">
        <v>1</v>
      </c>
    </row>
    <row r="146" spans="1:17">
      <c r="A146" s="1" t="s">
        <v>815</v>
      </c>
      <c r="B146" t="s">
        <v>432</v>
      </c>
      <c r="C146" t="s">
        <v>816</v>
      </c>
      <c r="D146" s="12" t="s">
        <v>434</v>
      </c>
      <c r="F146">
        <v>9</v>
      </c>
      <c r="K146">
        <v>2</v>
      </c>
      <c r="L146">
        <v>3</v>
      </c>
      <c r="Q146">
        <v>1</v>
      </c>
    </row>
    <row r="147" spans="1:26">
      <c r="A147" s="1" t="s">
        <v>817</v>
      </c>
      <c r="B147" t="s">
        <v>508</v>
      </c>
      <c r="C147" t="s">
        <v>818</v>
      </c>
      <c r="D147" s="12" t="s">
        <v>510</v>
      </c>
      <c r="G147">
        <v>13</v>
      </c>
      <c r="P147">
        <v>10</v>
      </c>
      <c r="Q147">
        <v>1</v>
      </c>
      <c r="U147">
        <v>7</v>
      </c>
      <c r="Z147" t="s">
        <v>630</v>
      </c>
    </row>
    <row r="148" spans="1:17">
      <c r="A148" s="1" t="s">
        <v>819</v>
      </c>
      <c r="B148" t="s">
        <v>432</v>
      </c>
      <c r="C148" t="s">
        <v>820</v>
      </c>
      <c r="D148" s="12" t="s">
        <v>434</v>
      </c>
      <c r="F148">
        <v>26</v>
      </c>
      <c r="H148">
        <v>3</v>
      </c>
      <c r="K148">
        <v>2</v>
      </c>
      <c r="L148">
        <v>3</v>
      </c>
      <c r="Q148">
        <v>1</v>
      </c>
    </row>
    <row r="149" spans="1:17">
      <c r="A149" s="1" t="s">
        <v>821</v>
      </c>
      <c r="B149" t="s">
        <v>459</v>
      </c>
      <c r="C149" t="s">
        <v>822</v>
      </c>
      <c r="D149" s="12" t="s">
        <v>461</v>
      </c>
      <c r="G149">
        <v>8</v>
      </c>
      <c r="K149">
        <v>6</v>
      </c>
      <c r="M149">
        <v>6</v>
      </c>
      <c r="Q149">
        <v>1</v>
      </c>
    </row>
    <row r="150" spans="1:26">
      <c r="A150" s="1" t="s">
        <v>823</v>
      </c>
      <c r="B150" t="s">
        <v>597</v>
      </c>
      <c r="C150" t="s">
        <v>824</v>
      </c>
      <c r="D150" s="12" t="s">
        <v>599</v>
      </c>
      <c r="F150">
        <v>13</v>
      </c>
      <c r="P150">
        <v>12</v>
      </c>
      <c r="Q150">
        <v>4</v>
      </c>
      <c r="R150">
        <v>0.7</v>
      </c>
      <c r="T150">
        <v>25</v>
      </c>
      <c r="U150">
        <v>7</v>
      </c>
      <c r="Z150" t="s">
        <v>825</v>
      </c>
    </row>
    <row r="151" spans="1:17">
      <c r="A151" s="1" t="s">
        <v>826</v>
      </c>
      <c r="B151" t="s">
        <v>476</v>
      </c>
      <c r="C151" t="s">
        <v>827</v>
      </c>
      <c r="D151" s="12" t="s">
        <v>478</v>
      </c>
      <c r="F151">
        <v>2</v>
      </c>
      <c r="I151">
        <v>16</v>
      </c>
      <c r="Q151">
        <v>1</v>
      </c>
    </row>
    <row r="152" spans="1:17">
      <c r="A152" s="1" t="s">
        <v>828</v>
      </c>
      <c r="B152" t="s">
        <v>432</v>
      </c>
      <c r="C152" t="s">
        <v>829</v>
      </c>
      <c r="D152" s="12" t="s">
        <v>434</v>
      </c>
      <c r="F152">
        <v>25</v>
      </c>
      <c r="K152">
        <v>5</v>
      </c>
      <c r="L152">
        <v>3</v>
      </c>
      <c r="Q152">
        <v>1</v>
      </c>
    </row>
    <row r="153" spans="1:17">
      <c r="A153" s="1" t="s">
        <v>830</v>
      </c>
      <c r="B153" t="s">
        <v>459</v>
      </c>
      <c r="C153" t="s">
        <v>831</v>
      </c>
      <c r="D153" s="12" t="s">
        <v>461</v>
      </c>
      <c r="J153">
        <v>9</v>
      </c>
      <c r="K153">
        <v>2</v>
      </c>
      <c r="M153">
        <v>3</v>
      </c>
      <c r="Q153">
        <v>1</v>
      </c>
    </row>
    <row r="154" spans="1:26">
      <c r="A154" s="1" t="s">
        <v>832</v>
      </c>
      <c r="B154" t="s">
        <v>446</v>
      </c>
      <c r="C154" t="s">
        <v>833</v>
      </c>
      <c r="D154" s="12" t="s">
        <v>448</v>
      </c>
      <c r="I154">
        <v>10</v>
      </c>
      <c r="J154">
        <v>9</v>
      </c>
      <c r="O154">
        <v>4</v>
      </c>
      <c r="Q154">
        <v>1</v>
      </c>
      <c r="U154">
        <v>5</v>
      </c>
      <c r="Z154" t="s">
        <v>449</v>
      </c>
    </row>
    <row r="155" spans="1:17">
      <c r="A155" s="1" t="s">
        <v>834</v>
      </c>
      <c r="B155" t="s">
        <v>451</v>
      </c>
      <c r="C155" t="s">
        <v>835</v>
      </c>
      <c r="D155" s="12" t="s">
        <v>453</v>
      </c>
      <c r="F155">
        <v>2</v>
      </c>
      <c r="I155">
        <v>7</v>
      </c>
      <c r="J155">
        <v>8</v>
      </c>
      <c r="K155">
        <v>3</v>
      </c>
      <c r="M155">
        <v>3</v>
      </c>
      <c r="Q155">
        <v>1</v>
      </c>
    </row>
    <row r="156" spans="1:17">
      <c r="A156" s="1" t="s">
        <v>836</v>
      </c>
      <c r="B156" t="s">
        <v>432</v>
      </c>
      <c r="C156" t="s">
        <v>837</v>
      </c>
      <c r="D156" s="12" t="s">
        <v>434</v>
      </c>
      <c r="F156">
        <v>24</v>
      </c>
      <c r="J156">
        <v>2</v>
      </c>
      <c r="K156">
        <v>7</v>
      </c>
      <c r="L156">
        <v>3</v>
      </c>
      <c r="P156">
        <v>2</v>
      </c>
      <c r="Q156">
        <v>1</v>
      </c>
    </row>
    <row r="157" spans="1:17">
      <c r="A157" s="1" t="s">
        <v>838</v>
      </c>
      <c r="B157" t="s">
        <v>520</v>
      </c>
      <c r="C157" t="s">
        <v>839</v>
      </c>
      <c r="D157" s="12" t="s">
        <v>6</v>
      </c>
      <c r="G157">
        <v>13</v>
      </c>
      <c r="K157">
        <v>3</v>
      </c>
      <c r="M157">
        <v>4</v>
      </c>
      <c r="Q157">
        <v>1</v>
      </c>
    </row>
    <row r="158" spans="1:26">
      <c r="A158" s="1" t="s">
        <v>840</v>
      </c>
      <c r="B158" t="s">
        <v>432</v>
      </c>
      <c r="C158" t="s">
        <v>841</v>
      </c>
      <c r="D158" s="12" t="s">
        <v>434</v>
      </c>
      <c r="F158">
        <v>24</v>
      </c>
      <c r="J158">
        <v>5</v>
      </c>
      <c r="K158">
        <v>4</v>
      </c>
      <c r="L158">
        <v>3</v>
      </c>
      <c r="N158">
        <v>2</v>
      </c>
      <c r="P158">
        <v>3</v>
      </c>
      <c r="Q158">
        <v>1</v>
      </c>
      <c r="R158">
        <v>0.25</v>
      </c>
      <c r="Z158" t="s">
        <v>435</v>
      </c>
    </row>
    <row r="159" spans="1:17">
      <c r="A159" s="1" t="s">
        <v>842</v>
      </c>
      <c r="B159" t="s">
        <v>520</v>
      </c>
      <c r="C159" t="s">
        <v>843</v>
      </c>
      <c r="D159" s="12" t="s">
        <v>6</v>
      </c>
      <c r="G159">
        <v>18</v>
      </c>
      <c r="K159">
        <v>-1</v>
      </c>
      <c r="M159">
        <v>-2</v>
      </c>
      <c r="Q159">
        <v>1</v>
      </c>
    </row>
    <row r="160" spans="1:17">
      <c r="A160" s="1" t="s">
        <v>844</v>
      </c>
      <c r="B160" t="s">
        <v>520</v>
      </c>
      <c r="C160" t="s">
        <v>845</v>
      </c>
      <c r="D160" s="12" t="s">
        <v>6</v>
      </c>
      <c r="G160">
        <v>12</v>
      </c>
      <c r="K160">
        <v>5</v>
      </c>
      <c r="M160">
        <v>4</v>
      </c>
      <c r="Q160">
        <v>1</v>
      </c>
    </row>
    <row r="161" spans="1:26">
      <c r="A161" s="1" t="s">
        <v>846</v>
      </c>
      <c r="B161" t="s">
        <v>446</v>
      </c>
      <c r="C161" t="s">
        <v>847</v>
      </c>
      <c r="D161" s="12" t="s">
        <v>448</v>
      </c>
      <c r="L161">
        <v>0</v>
      </c>
      <c r="O161">
        <v>23</v>
      </c>
      <c r="Q161">
        <v>1</v>
      </c>
      <c r="U161">
        <v>15</v>
      </c>
      <c r="Z161" t="s">
        <v>492</v>
      </c>
    </row>
    <row r="162" spans="1:26">
      <c r="A162" s="1" t="s">
        <v>848</v>
      </c>
      <c r="B162" t="s">
        <v>551</v>
      </c>
      <c r="C162" t="s">
        <v>849</v>
      </c>
      <c r="D162" s="12" t="s">
        <v>553</v>
      </c>
      <c r="P162">
        <v>14</v>
      </c>
      <c r="Q162">
        <v>1</v>
      </c>
      <c r="U162">
        <v>6</v>
      </c>
      <c r="Z162" t="s">
        <v>656</v>
      </c>
    </row>
    <row r="163" spans="1:26">
      <c r="A163" s="1" t="s">
        <v>850</v>
      </c>
      <c r="B163" t="s">
        <v>597</v>
      </c>
      <c r="C163" t="s">
        <v>851</v>
      </c>
      <c r="D163" s="12" t="s">
        <v>599</v>
      </c>
      <c r="F163">
        <v>18</v>
      </c>
      <c r="P163">
        <v>17</v>
      </c>
      <c r="Q163">
        <v>3.8</v>
      </c>
      <c r="R163">
        <v>0.75</v>
      </c>
      <c r="T163">
        <v>24</v>
      </c>
      <c r="U163">
        <v>8</v>
      </c>
      <c r="Z163" t="s">
        <v>852</v>
      </c>
    </row>
    <row r="164" spans="1:17">
      <c r="A164" s="1" t="s">
        <v>853</v>
      </c>
      <c r="B164" t="s">
        <v>432</v>
      </c>
      <c r="C164" t="s">
        <v>854</v>
      </c>
      <c r="D164" s="12" t="s">
        <v>434</v>
      </c>
      <c r="F164">
        <v>28</v>
      </c>
      <c r="K164">
        <v>2</v>
      </c>
      <c r="L164">
        <v>3</v>
      </c>
      <c r="N164">
        <v>2</v>
      </c>
      <c r="Q164">
        <v>1</v>
      </c>
    </row>
    <row r="165" spans="1:26">
      <c r="A165" s="1" t="s">
        <v>855</v>
      </c>
      <c r="B165" t="s">
        <v>446</v>
      </c>
      <c r="C165" t="s">
        <v>856</v>
      </c>
      <c r="D165" s="12" t="s">
        <v>448</v>
      </c>
      <c r="I165">
        <v>6</v>
      </c>
      <c r="J165">
        <v>2</v>
      </c>
      <c r="O165">
        <v>13</v>
      </c>
      <c r="Q165">
        <v>1</v>
      </c>
      <c r="U165">
        <v>5</v>
      </c>
      <c r="Z165" t="s">
        <v>449</v>
      </c>
    </row>
    <row r="166" spans="1:17">
      <c r="A166" s="1" t="s">
        <v>857</v>
      </c>
      <c r="B166" t="s">
        <v>520</v>
      </c>
      <c r="C166" t="s">
        <v>858</v>
      </c>
      <c r="D166" s="12" t="s">
        <v>6</v>
      </c>
      <c r="G166">
        <v>12</v>
      </c>
      <c r="K166">
        <v>4</v>
      </c>
      <c r="M166">
        <v>2</v>
      </c>
      <c r="Q166">
        <v>1</v>
      </c>
    </row>
    <row r="167" spans="1:26">
      <c r="A167" s="1" t="s">
        <v>859</v>
      </c>
      <c r="B167" t="s">
        <v>432</v>
      </c>
      <c r="C167" t="s">
        <v>860</v>
      </c>
      <c r="D167" s="12" t="s">
        <v>434</v>
      </c>
      <c r="F167">
        <v>13</v>
      </c>
      <c r="L167">
        <v>2</v>
      </c>
      <c r="M167">
        <v>-2</v>
      </c>
      <c r="P167">
        <v>8</v>
      </c>
      <c r="Q167">
        <v>2.8</v>
      </c>
      <c r="R167">
        <v>0.35</v>
      </c>
      <c r="Z167" t="s">
        <v>723</v>
      </c>
    </row>
    <row r="168" spans="1:26">
      <c r="A168" s="1" t="s">
        <v>861</v>
      </c>
      <c r="B168" t="s">
        <v>432</v>
      </c>
      <c r="C168" t="s">
        <v>862</v>
      </c>
      <c r="D168" s="12" t="s">
        <v>434</v>
      </c>
      <c r="F168">
        <v>30</v>
      </c>
      <c r="L168">
        <v>4</v>
      </c>
      <c r="M168">
        <v>-2</v>
      </c>
      <c r="P168">
        <v>3</v>
      </c>
      <c r="Q168">
        <v>1</v>
      </c>
      <c r="R168">
        <v>0.25</v>
      </c>
      <c r="Z168" t="s">
        <v>435</v>
      </c>
    </row>
    <row r="169" spans="1:17">
      <c r="A169" s="1" t="s">
        <v>863</v>
      </c>
      <c r="B169" t="s">
        <v>432</v>
      </c>
      <c r="C169" t="s">
        <v>864</v>
      </c>
      <c r="D169" s="12" t="s">
        <v>434</v>
      </c>
      <c r="F169">
        <v>5</v>
      </c>
      <c r="L169">
        <v>3</v>
      </c>
      <c r="Q169">
        <v>1</v>
      </c>
    </row>
    <row r="170" spans="1:17">
      <c r="A170" s="1" t="s">
        <v>865</v>
      </c>
      <c r="B170" t="s">
        <v>476</v>
      </c>
      <c r="C170" t="s">
        <v>866</v>
      </c>
      <c r="D170" s="12" t="s">
        <v>478</v>
      </c>
      <c r="F170">
        <v>4</v>
      </c>
      <c r="I170">
        <v>15</v>
      </c>
      <c r="Q170">
        <v>1</v>
      </c>
    </row>
    <row r="171" spans="1:17">
      <c r="A171" s="1" t="s">
        <v>867</v>
      </c>
      <c r="B171" t="s">
        <v>451</v>
      </c>
      <c r="C171" t="s">
        <v>868</v>
      </c>
      <c r="D171" s="12" t="s">
        <v>453</v>
      </c>
      <c r="G171">
        <v>4</v>
      </c>
      <c r="J171">
        <v>6</v>
      </c>
      <c r="K171">
        <v>1</v>
      </c>
      <c r="M171">
        <v>2</v>
      </c>
      <c r="Q171">
        <v>1</v>
      </c>
    </row>
    <row r="172" spans="1:17">
      <c r="A172" s="1" t="s">
        <v>869</v>
      </c>
      <c r="B172" t="s">
        <v>432</v>
      </c>
      <c r="C172" t="s">
        <v>870</v>
      </c>
      <c r="D172" s="12" t="s">
        <v>434</v>
      </c>
      <c r="F172">
        <v>14</v>
      </c>
      <c r="L172">
        <v>3</v>
      </c>
      <c r="Q172">
        <v>1</v>
      </c>
    </row>
    <row r="173" spans="1:26">
      <c r="A173" s="1" t="s">
        <v>871</v>
      </c>
      <c r="B173" t="s">
        <v>432</v>
      </c>
      <c r="C173" t="s">
        <v>872</v>
      </c>
      <c r="D173" s="12" t="s">
        <v>434</v>
      </c>
      <c r="F173">
        <v>28</v>
      </c>
      <c r="L173">
        <v>4</v>
      </c>
      <c r="P173">
        <v>3</v>
      </c>
      <c r="Q173">
        <v>1</v>
      </c>
      <c r="R173">
        <v>0.25</v>
      </c>
      <c r="Z173" t="s">
        <v>435</v>
      </c>
    </row>
    <row r="174" spans="1:26">
      <c r="A174" s="1" t="s">
        <v>873</v>
      </c>
      <c r="B174" t="s">
        <v>432</v>
      </c>
      <c r="C174" t="s">
        <v>874</v>
      </c>
      <c r="D174" s="12" t="s">
        <v>434</v>
      </c>
      <c r="F174">
        <v>25</v>
      </c>
      <c r="L174">
        <v>4</v>
      </c>
      <c r="P174">
        <v>2</v>
      </c>
      <c r="Q174">
        <v>1</v>
      </c>
      <c r="R174">
        <v>0.25</v>
      </c>
      <c r="Z174" t="s">
        <v>435</v>
      </c>
    </row>
    <row r="175" spans="1:17">
      <c r="A175" s="1" t="s">
        <v>875</v>
      </c>
      <c r="B175" t="s">
        <v>432</v>
      </c>
      <c r="C175" t="s">
        <v>876</v>
      </c>
      <c r="D175" s="12" t="s">
        <v>434</v>
      </c>
      <c r="F175">
        <v>13</v>
      </c>
      <c r="K175">
        <v>2</v>
      </c>
      <c r="L175">
        <v>3</v>
      </c>
      <c r="Q175">
        <v>1</v>
      </c>
    </row>
    <row r="176" spans="1:17">
      <c r="A176" s="1" t="s">
        <v>877</v>
      </c>
      <c r="B176" t="s">
        <v>432</v>
      </c>
      <c r="C176" t="s">
        <v>878</v>
      </c>
      <c r="D176" s="12" t="s">
        <v>434</v>
      </c>
      <c r="F176">
        <v>10</v>
      </c>
      <c r="L176">
        <v>1</v>
      </c>
      <c r="Q176">
        <v>1</v>
      </c>
    </row>
    <row r="177" spans="1:26">
      <c r="A177" s="1" t="s">
        <v>879</v>
      </c>
      <c r="B177" t="s">
        <v>441</v>
      </c>
      <c r="C177" t="s">
        <v>880</v>
      </c>
      <c r="D177" s="12" t="s">
        <v>443</v>
      </c>
      <c r="F177">
        <v>2</v>
      </c>
      <c r="M177">
        <v>2</v>
      </c>
      <c r="P177">
        <v>14</v>
      </c>
      <c r="Q177">
        <v>3.3</v>
      </c>
      <c r="R177">
        <v>0.55</v>
      </c>
      <c r="Z177" t="s">
        <v>881</v>
      </c>
    </row>
    <row r="178" spans="1:26">
      <c r="A178" s="1" t="s">
        <v>882</v>
      </c>
      <c r="B178" t="s">
        <v>597</v>
      </c>
      <c r="C178" t="s">
        <v>883</v>
      </c>
      <c r="D178" s="12" t="s">
        <v>599</v>
      </c>
      <c r="F178">
        <v>14</v>
      </c>
      <c r="P178">
        <v>16</v>
      </c>
      <c r="Q178">
        <v>3.5</v>
      </c>
      <c r="R178">
        <v>0.72</v>
      </c>
      <c r="T178">
        <v>25</v>
      </c>
      <c r="U178">
        <v>8</v>
      </c>
      <c r="Z178" t="s">
        <v>884</v>
      </c>
    </row>
    <row r="179" spans="1:17">
      <c r="A179" s="1" t="s">
        <v>885</v>
      </c>
      <c r="B179" t="s">
        <v>432</v>
      </c>
      <c r="C179" t="s">
        <v>886</v>
      </c>
      <c r="D179" s="12" t="s">
        <v>434</v>
      </c>
      <c r="F179">
        <v>8</v>
      </c>
      <c r="L179">
        <v>2</v>
      </c>
      <c r="Q179">
        <v>1</v>
      </c>
    </row>
    <row r="180" spans="1:17">
      <c r="A180" s="1" t="s">
        <v>887</v>
      </c>
      <c r="B180" t="s">
        <v>432</v>
      </c>
      <c r="C180" t="s">
        <v>888</v>
      </c>
      <c r="D180" s="12" t="s">
        <v>434</v>
      </c>
      <c r="F180">
        <v>24</v>
      </c>
      <c r="K180">
        <v>6</v>
      </c>
      <c r="L180">
        <v>3</v>
      </c>
      <c r="N180">
        <v>3</v>
      </c>
      <c r="Q180">
        <v>1</v>
      </c>
    </row>
    <row r="181" spans="1:26">
      <c r="A181" s="1" t="s">
        <v>889</v>
      </c>
      <c r="B181" t="s">
        <v>432</v>
      </c>
      <c r="C181" t="s">
        <v>890</v>
      </c>
      <c r="D181" s="12" t="s">
        <v>434</v>
      </c>
      <c r="F181">
        <v>7</v>
      </c>
      <c r="K181">
        <v>2</v>
      </c>
      <c r="L181">
        <v>2</v>
      </c>
      <c r="P181">
        <v>7</v>
      </c>
      <c r="Q181">
        <v>1</v>
      </c>
      <c r="R181">
        <v>0.25</v>
      </c>
      <c r="Z181" t="s">
        <v>435</v>
      </c>
    </row>
    <row r="182" spans="1:17">
      <c r="A182" s="1" t="s">
        <v>891</v>
      </c>
      <c r="B182" t="s">
        <v>432</v>
      </c>
      <c r="C182" t="s">
        <v>892</v>
      </c>
      <c r="D182" s="12" t="s">
        <v>434</v>
      </c>
      <c r="F182">
        <v>29</v>
      </c>
      <c r="K182">
        <v>3</v>
      </c>
      <c r="L182">
        <v>4</v>
      </c>
      <c r="M182">
        <v>-2</v>
      </c>
      <c r="Q182">
        <v>1</v>
      </c>
    </row>
    <row r="183" spans="1:26">
      <c r="A183" s="1" t="s">
        <v>893</v>
      </c>
      <c r="B183" t="s">
        <v>451</v>
      </c>
      <c r="C183" t="s">
        <v>894</v>
      </c>
      <c r="D183" s="12" t="s">
        <v>453</v>
      </c>
      <c r="J183">
        <v>5</v>
      </c>
      <c r="K183">
        <v>3</v>
      </c>
      <c r="M183">
        <v>2</v>
      </c>
      <c r="P183">
        <v>11</v>
      </c>
      <c r="Q183">
        <v>3.3</v>
      </c>
      <c r="R183">
        <v>0.75</v>
      </c>
      <c r="Z183" t="s">
        <v>895</v>
      </c>
    </row>
    <row r="184" spans="1:17">
      <c r="A184" s="1" t="s">
        <v>896</v>
      </c>
      <c r="B184" t="s">
        <v>455</v>
      </c>
      <c r="C184" t="s">
        <v>897</v>
      </c>
      <c r="D184" s="12" t="s">
        <v>457</v>
      </c>
      <c r="I184">
        <v>12</v>
      </c>
      <c r="K184">
        <v>2</v>
      </c>
      <c r="M184">
        <v>2</v>
      </c>
      <c r="Q184">
        <v>1</v>
      </c>
    </row>
    <row r="185" spans="1:17">
      <c r="A185" s="1" t="s">
        <v>898</v>
      </c>
      <c r="B185" t="s">
        <v>583</v>
      </c>
      <c r="C185" t="s">
        <v>899</v>
      </c>
      <c r="D185" s="12" t="s">
        <v>585</v>
      </c>
      <c r="K185">
        <v>2</v>
      </c>
      <c r="M185">
        <v>2</v>
      </c>
      <c r="Q185">
        <v>1</v>
      </c>
    </row>
    <row r="186" spans="1:26">
      <c r="A186" s="1" t="s">
        <v>900</v>
      </c>
      <c r="B186" t="s">
        <v>587</v>
      </c>
      <c r="C186" t="s">
        <v>901</v>
      </c>
      <c r="D186" s="12" t="s">
        <v>589</v>
      </c>
      <c r="F186">
        <v>21</v>
      </c>
      <c r="Q186">
        <v>1</v>
      </c>
      <c r="S186">
        <v>24</v>
      </c>
      <c r="U186">
        <v>8</v>
      </c>
      <c r="Z186" t="s">
        <v>579</v>
      </c>
    </row>
    <row r="187" spans="1:26">
      <c r="A187" s="1" t="s">
        <v>902</v>
      </c>
      <c r="B187" t="s">
        <v>508</v>
      </c>
      <c r="C187" t="s">
        <v>903</v>
      </c>
      <c r="D187" s="12" t="s">
        <v>510</v>
      </c>
      <c r="G187">
        <v>12</v>
      </c>
      <c r="I187">
        <v>4</v>
      </c>
      <c r="Q187">
        <v>1</v>
      </c>
      <c r="U187">
        <v>5</v>
      </c>
      <c r="Z187" t="s">
        <v>449</v>
      </c>
    </row>
    <row r="188" spans="1:26">
      <c r="A188" s="1" t="s">
        <v>904</v>
      </c>
      <c r="B188" t="s">
        <v>451</v>
      </c>
      <c r="C188" t="s">
        <v>905</v>
      </c>
      <c r="D188" s="12" t="s">
        <v>453</v>
      </c>
      <c r="F188">
        <v>2</v>
      </c>
      <c r="J188">
        <v>5</v>
      </c>
      <c r="K188">
        <v>9</v>
      </c>
      <c r="P188">
        <v>4</v>
      </c>
      <c r="Q188">
        <v>2.2</v>
      </c>
      <c r="R188">
        <v>0.35</v>
      </c>
      <c r="Z188" t="s">
        <v>906</v>
      </c>
    </row>
    <row r="189" spans="1:17">
      <c r="A189" s="1" t="s">
        <v>907</v>
      </c>
      <c r="B189" t="s">
        <v>476</v>
      </c>
      <c r="C189" t="s">
        <v>908</v>
      </c>
      <c r="D189" s="12" t="s">
        <v>478</v>
      </c>
      <c r="I189">
        <v>15</v>
      </c>
      <c r="K189">
        <v>6</v>
      </c>
      <c r="Q189">
        <v>1</v>
      </c>
    </row>
    <row r="190" spans="1:26">
      <c r="A190" s="1" t="s">
        <v>909</v>
      </c>
      <c r="B190" t="s">
        <v>441</v>
      </c>
      <c r="C190" t="s">
        <v>910</v>
      </c>
      <c r="D190" s="12" t="s">
        <v>443</v>
      </c>
      <c r="L190">
        <v>1</v>
      </c>
      <c r="M190">
        <v>1</v>
      </c>
      <c r="P190">
        <v>15</v>
      </c>
      <c r="Q190">
        <v>3.4</v>
      </c>
      <c r="R190">
        <v>0.5</v>
      </c>
      <c r="Z190" t="s">
        <v>911</v>
      </c>
    </row>
    <row r="191" spans="1:26">
      <c r="A191" s="1" t="s">
        <v>912</v>
      </c>
      <c r="B191" t="s">
        <v>551</v>
      </c>
      <c r="C191" t="s">
        <v>913</v>
      </c>
      <c r="D191" s="12" t="s">
        <v>553</v>
      </c>
      <c r="M191">
        <v>4</v>
      </c>
      <c r="P191">
        <v>13</v>
      </c>
      <c r="Q191">
        <v>1</v>
      </c>
      <c r="U191">
        <v>8</v>
      </c>
      <c r="Z191" t="s">
        <v>579</v>
      </c>
    </row>
    <row r="192" spans="1:17">
      <c r="A192" s="1" t="s">
        <v>914</v>
      </c>
      <c r="B192" t="s">
        <v>432</v>
      </c>
      <c r="C192" t="s">
        <v>915</v>
      </c>
      <c r="D192" s="12" t="s">
        <v>434</v>
      </c>
      <c r="F192">
        <v>29</v>
      </c>
      <c r="K192">
        <v>2</v>
      </c>
      <c r="L192">
        <v>4</v>
      </c>
      <c r="Q192">
        <v>1</v>
      </c>
    </row>
    <row r="193" spans="1:26">
      <c r="A193" s="1" t="s">
        <v>916</v>
      </c>
      <c r="B193" t="s">
        <v>432</v>
      </c>
      <c r="C193" t="s">
        <v>917</v>
      </c>
      <c r="D193" s="12" t="s">
        <v>434</v>
      </c>
      <c r="F193">
        <v>30</v>
      </c>
      <c r="K193">
        <v>-1</v>
      </c>
      <c r="L193">
        <v>4</v>
      </c>
      <c r="P193">
        <v>10</v>
      </c>
      <c r="Q193">
        <v>1</v>
      </c>
      <c r="R193">
        <v>0.25</v>
      </c>
      <c r="Z193" t="s">
        <v>435</v>
      </c>
    </row>
    <row r="194" spans="1:27">
      <c r="A194" s="1" t="s">
        <v>918</v>
      </c>
      <c r="B194" t="s">
        <v>459</v>
      </c>
      <c r="C194" t="s">
        <v>919</v>
      </c>
      <c r="D194" s="12" t="s">
        <v>461</v>
      </c>
      <c r="F194">
        <v>6</v>
      </c>
      <c r="K194">
        <v>3</v>
      </c>
      <c r="N194">
        <v>3</v>
      </c>
      <c r="Q194">
        <v>1</v>
      </c>
      <c r="V194" s="1" t="s">
        <v>503</v>
      </c>
      <c r="W194">
        <v>3</v>
      </c>
      <c r="X194" s="23">
        <v>0.25</v>
      </c>
      <c r="Y194" t="s">
        <v>734</v>
      </c>
      <c r="Z194" t="s">
        <v>735</v>
      </c>
      <c r="AA194" t="s">
        <v>736</v>
      </c>
    </row>
    <row r="195" spans="1:17">
      <c r="A195" s="1" t="s">
        <v>920</v>
      </c>
      <c r="B195" t="s">
        <v>476</v>
      </c>
      <c r="C195" t="s">
        <v>921</v>
      </c>
      <c r="D195" s="12" t="s">
        <v>478</v>
      </c>
      <c r="G195">
        <v>4</v>
      </c>
      <c r="I195">
        <v>13</v>
      </c>
      <c r="Q195">
        <v>1</v>
      </c>
    </row>
    <row r="196" spans="1:17">
      <c r="A196" s="1" t="s">
        <v>922</v>
      </c>
      <c r="B196" t="s">
        <v>520</v>
      </c>
      <c r="C196" t="s">
        <v>923</v>
      </c>
      <c r="D196" s="12" t="s">
        <v>6</v>
      </c>
      <c r="G196">
        <v>14</v>
      </c>
      <c r="K196">
        <v>3</v>
      </c>
      <c r="Q196">
        <v>1</v>
      </c>
    </row>
    <row r="197" spans="1:26">
      <c r="A197" s="1" t="s">
        <v>924</v>
      </c>
      <c r="B197" t="s">
        <v>551</v>
      </c>
      <c r="C197" t="s">
        <v>925</v>
      </c>
      <c r="D197" s="12" t="s">
        <v>553</v>
      </c>
      <c r="P197">
        <v>14</v>
      </c>
      <c r="Q197">
        <v>1</v>
      </c>
      <c r="U197">
        <v>7</v>
      </c>
      <c r="Z197" t="s">
        <v>630</v>
      </c>
    </row>
    <row r="198" spans="1:17">
      <c r="A198" s="1" t="s">
        <v>926</v>
      </c>
      <c r="B198" t="s">
        <v>520</v>
      </c>
      <c r="C198" t="s">
        <v>927</v>
      </c>
      <c r="D198" s="12" t="s">
        <v>6</v>
      </c>
      <c r="G198">
        <v>13</v>
      </c>
      <c r="K198">
        <v>3</v>
      </c>
      <c r="M198">
        <v>6</v>
      </c>
      <c r="Q198">
        <v>1</v>
      </c>
    </row>
    <row r="199" spans="1:26">
      <c r="A199" s="1" t="s">
        <v>928</v>
      </c>
      <c r="B199" t="s">
        <v>432</v>
      </c>
      <c r="C199" t="s">
        <v>929</v>
      </c>
      <c r="D199" s="12" t="s">
        <v>434</v>
      </c>
      <c r="F199">
        <v>6</v>
      </c>
      <c r="K199">
        <v>1</v>
      </c>
      <c r="L199">
        <v>2</v>
      </c>
      <c r="M199">
        <v>2</v>
      </c>
      <c r="P199">
        <v>6</v>
      </c>
      <c r="Q199">
        <v>1</v>
      </c>
      <c r="R199">
        <v>0.25</v>
      </c>
      <c r="Z199" t="s">
        <v>435</v>
      </c>
    </row>
    <row r="200" spans="1:26">
      <c r="A200" s="1" t="s">
        <v>930</v>
      </c>
      <c r="B200" t="s">
        <v>441</v>
      </c>
      <c r="C200" t="s">
        <v>931</v>
      </c>
      <c r="D200" s="12" t="s">
        <v>443</v>
      </c>
      <c r="M200">
        <v>4</v>
      </c>
      <c r="P200">
        <v>13</v>
      </c>
      <c r="Q200">
        <v>3.3</v>
      </c>
      <c r="R200">
        <v>0.45</v>
      </c>
      <c r="Z200" t="s">
        <v>932</v>
      </c>
    </row>
    <row r="201" spans="1:26">
      <c r="A201" s="1" t="s">
        <v>933</v>
      </c>
      <c r="B201" t="s">
        <v>451</v>
      </c>
      <c r="C201" t="s">
        <v>934</v>
      </c>
      <c r="D201" s="12" t="s">
        <v>453</v>
      </c>
      <c r="J201">
        <v>12</v>
      </c>
      <c r="K201">
        <v>2</v>
      </c>
      <c r="M201">
        <v>3</v>
      </c>
      <c r="P201">
        <v>5</v>
      </c>
      <c r="Q201">
        <v>3.2</v>
      </c>
      <c r="R201">
        <v>0.4</v>
      </c>
      <c r="Z201" t="s">
        <v>935</v>
      </c>
    </row>
    <row r="202" spans="1:27">
      <c r="A202" s="1" t="s">
        <v>936</v>
      </c>
      <c r="B202" t="s">
        <v>494</v>
      </c>
      <c r="C202" t="s">
        <v>937</v>
      </c>
      <c r="D202" s="12" t="s">
        <v>496</v>
      </c>
      <c r="F202">
        <v>7</v>
      </c>
      <c r="K202">
        <v>1</v>
      </c>
      <c r="Q202">
        <v>1</v>
      </c>
      <c r="V202" s="1" t="s">
        <v>497</v>
      </c>
      <c r="W202">
        <v>4</v>
      </c>
      <c r="X202" s="23">
        <v>0.25</v>
      </c>
      <c r="Y202" t="s">
        <v>498</v>
      </c>
      <c r="Z202" t="s">
        <v>499</v>
      </c>
      <c r="AA202" t="s">
        <v>500</v>
      </c>
    </row>
    <row r="203" spans="1:26">
      <c r="A203" s="1" t="s">
        <v>938</v>
      </c>
      <c r="B203" t="s">
        <v>451</v>
      </c>
      <c r="C203" t="s">
        <v>939</v>
      </c>
      <c r="D203" s="12" t="s">
        <v>453</v>
      </c>
      <c r="F203">
        <v>2</v>
      </c>
      <c r="K203">
        <v>7</v>
      </c>
      <c r="P203">
        <v>8</v>
      </c>
      <c r="Q203">
        <v>3.4</v>
      </c>
      <c r="R203">
        <v>0.65</v>
      </c>
      <c r="Z203" t="s">
        <v>940</v>
      </c>
    </row>
    <row r="204" spans="1:17">
      <c r="A204" s="1" t="s">
        <v>941</v>
      </c>
      <c r="B204" t="s">
        <v>432</v>
      </c>
      <c r="C204" t="s">
        <v>942</v>
      </c>
      <c r="D204" s="12" t="s">
        <v>434</v>
      </c>
      <c r="F204">
        <v>13</v>
      </c>
      <c r="K204">
        <v>1</v>
      </c>
      <c r="L204">
        <v>3</v>
      </c>
      <c r="Q204">
        <v>1</v>
      </c>
    </row>
    <row r="205" spans="1:26">
      <c r="A205" s="1" t="s">
        <v>943</v>
      </c>
      <c r="B205" t="s">
        <v>508</v>
      </c>
      <c r="C205" t="s">
        <v>944</v>
      </c>
      <c r="D205" s="12" t="s">
        <v>510</v>
      </c>
      <c r="G205">
        <v>6</v>
      </c>
      <c r="I205">
        <v>12</v>
      </c>
      <c r="J205">
        <v>5</v>
      </c>
      <c r="Q205">
        <v>1</v>
      </c>
      <c r="U205">
        <v>5</v>
      </c>
      <c r="Z205" t="s">
        <v>449</v>
      </c>
    </row>
    <row r="206" spans="1:26">
      <c r="A206" s="1" t="s">
        <v>945</v>
      </c>
      <c r="B206" t="s">
        <v>508</v>
      </c>
      <c r="C206" t="s">
        <v>946</v>
      </c>
      <c r="D206" s="12" t="s">
        <v>510</v>
      </c>
      <c r="G206">
        <v>14</v>
      </c>
      <c r="I206">
        <v>3</v>
      </c>
      <c r="K206">
        <v>2</v>
      </c>
      <c r="Q206">
        <v>1</v>
      </c>
      <c r="U206">
        <v>6</v>
      </c>
      <c r="Z206" t="s">
        <v>656</v>
      </c>
    </row>
    <row r="207" spans="1:26">
      <c r="A207" s="1" t="s">
        <v>947</v>
      </c>
      <c r="B207" t="s">
        <v>583</v>
      </c>
      <c r="C207" t="s">
        <v>948</v>
      </c>
      <c r="D207" s="12" t="s">
        <v>595</v>
      </c>
      <c r="F207">
        <v>3</v>
      </c>
      <c r="J207">
        <v>5</v>
      </c>
      <c r="K207">
        <v>5</v>
      </c>
      <c r="P207">
        <v>5</v>
      </c>
      <c r="Q207">
        <v>3.5</v>
      </c>
      <c r="R207">
        <v>0.75</v>
      </c>
      <c r="Z207" t="s">
        <v>949</v>
      </c>
    </row>
    <row r="208" spans="1:17">
      <c r="A208" s="1" t="s">
        <v>950</v>
      </c>
      <c r="B208" t="s">
        <v>520</v>
      </c>
      <c r="C208" t="s">
        <v>951</v>
      </c>
      <c r="D208" s="12" t="s">
        <v>6</v>
      </c>
      <c r="F208">
        <v>9</v>
      </c>
      <c r="G208">
        <v>5</v>
      </c>
      <c r="Q208">
        <v>1</v>
      </c>
    </row>
    <row r="209" spans="1:26">
      <c r="A209" s="1" t="s">
        <v>952</v>
      </c>
      <c r="B209" t="s">
        <v>432</v>
      </c>
      <c r="C209" t="s">
        <v>953</v>
      </c>
      <c r="D209" s="12" t="s">
        <v>434</v>
      </c>
      <c r="F209">
        <v>30</v>
      </c>
      <c r="L209">
        <v>4</v>
      </c>
      <c r="P209">
        <v>5</v>
      </c>
      <c r="Q209">
        <v>1</v>
      </c>
      <c r="R209">
        <v>0.25</v>
      </c>
      <c r="Z209" t="s">
        <v>435</v>
      </c>
    </row>
    <row r="210" spans="1:26">
      <c r="A210" s="1" t="s">
        <v>954</v>
      </c>
      <c r="B210" t="s">
        <v>451</v>
      </c>
      <c r="C210" t="s">
        <v>955</v>
      </c>
      <c r="D210" s="12" t="s">
        <v>453</v>
      </c>
      <c r="J210">
        <v>6</v>
      </c>
      <c r="M210">
        <v>5</v>
      </c>
      <c r="P210">
        <v>13</v>
      </c>
      <c r="Q210">
        <v>3.7</v>
      </c>
      <c r="R210">
        <v>0.78</v>
      </c>
      <c r="Z210" t="s">
        <v>956</v>
      </c>
    </row>
    <row r="211" spans="1:17">
      <c r="A211" s="1" t="s">
        <v>957</v>
      </c>
      <c r="B211" t="s">
        <v>583</v>
      </c>
      <c r="C211" t="s">
        <v>958</v>
      </c>
      <c r="D211" s="12" t="s">
        <v>585</v>
      </c>
      <c r="F211">
        <v>7</v>
      </c>
      <c r="K211">
        <v>2</v>
      </c>
      <c r="N211">
        <v>2</v>
      </c>
      <c r="Q211">
        <v>1</v>
      </c>
    </row>
    <row r="212" spans="1:17">
      <c r="A212" s="1" t="s">
        <v>959</v>
      </c>
      <c r="B212" t="s">
        <v>432</v>
      </c>
      <c r="C212" t="s">
        <v>960</v>
      </c>
      <c r="D212" s="12" t="s">
        <v>434</v>
      </c>
      <c r="F212">
        <v>28</v>
      </c>
      <c r="K212">
        <v>4</v>
      </c>
      <c r="L212">
        <v>4</v>
      </c>
      <c r="Q212">
        <v>1</v>
      </c>
    </row>
    <row r="213" spans="1:17">
      <c r="A213" s="1" t="s">
        <v>961</v>
      </c>
      <c r="B213" t="s">
        <v>476</v>
      </c>
      <c r="C213" t="s">
        <v>962</v>
      </c>
      <c r="D213" s="12" t="s">
        <v>478</v>
      </c>
      <c r="G213">
        <v>3</v>
      </c>
      <c r="I213">
        <v>17</v>
      </c>
      <c r="Q213">
        <v>1</v>
      </c>
    </row>
    <row r="214" spans="1:17">
      <c r="A214" s="1" t="s">
        <v>963</v>
      </c>
      <c r="B214" t="s">
        <v>432</v>
      </c>
      <c r="C214" t="s">
        <v>964</v>
      </c>
      <c r="D214" s="12" t="s">
        <v>434</v>
      </c>
      <c r="F214">
        <v>29</v>
      </c>
      <c r="H214">
        <v>1</v>
      </c>
      <c r="L214">
        <v>3</v>
      </c>
      <c r="Q214">
        <v>1</v>
      </c>
    </row>
    <row r="215" spans="1:17">
      <c r="A215" s="1" t="s">
        <v>965</v>
      </c>
      <c r="B215" t="s">
        <v>520</v>
      </c>
      <c r="C215" t="s">
        <v>966</v>
      </c>
      <c r="D215" s="12" t="s">
        <v>6</v>
      </c>
      <c r="G215">
        <v>13</v>
      </c>
      <c r="I215">
        <v>5</v>
      </c>
      <c r="K215">
        <v>2</v>
      </c>
      <c r="Q215">
        <v>1</v>
      </c>
    </row>
    <row r="216" spans="1:17">
      <c r="A216" s="1" t="s">
        <v>967</v>
      </c>
      <c r="B216" t="s">
        <v>432</v>
      </c>
      <c r="C216" t="s">
        <v>968</v>
      </c>
      <c r="D216" s="12" t="s">
        <v>434</v>
      </c>
      <c r="F216">
        <v>12</v>
      </c>
      <c r="K216">
        <v>3</v>
      </c>
      <c r="L216">
        <v>3</v>
      </c>
      <c r="Q216">
        <v>1</v>
      </c>
    </row>
    <row r="217" spans="1:26">
      <c r="A217" s="1" t="s">
        <v>969</v>
      </c>
      <c r="B217" t="s">
        <v>508</v>
      </c>
      <c r="C217" t="s">
        <v>970</v>
      </c>
      <c r="D217" t="s">
        <v>510</v>
      </c>
      <c r="G217">
        <v>15</v>
      </c>
      <c r="I217">
        <v>4</v>
      </c>
      <c r="K217">
        <v>2</v>
      </c>
      <c r="Q217">
        <v>1</v>
      </c>
      <c r="U217">
        <v>6</v>
      </c>
      <c r="Z217" t="s">
        <v>656</v>
      </c>
    </row>
    <row r="218" spans="1:17">
      <c r="A218" s="1" t="s">
        <v>971</v>
      </c>
      <c r="B218" t="s">
        <v>432</v>
      </c>
      <c r="C218" t="s">
        <v>972</v>
      </c>
      <c r="D218" s="12" t="s">
        <v>434</v>
      </c>
      <c r="F218">
        <v>8</v>
      </c>
      <c r="K218">
        <v>2</v>
      </c>
      <c r="L218">
        <v>2</v>
      </c>
      <c r="Q218">
        <v>1</v>
      </c>
    </row>
    <row r="219" spans="1:26">
      <c r="A219" s="1" t="s">
        <v>973</v>
      </c>
      <c r="B219" t="s">
        <v>551</v>
      </c>
      <c r="C219" t="s">
        <v>974</v>
      </c>
      <c r="D219" t="s">
        <v>553</v>
      </c>
      <c r="N219">
        <v>1</v>
      </c>
      <c r="P219">
        <v>14</v>
      </c>
      <c r="Q219">
        <v>1</v>
      </c>
      <c r="U219">
        <v>7</v>
      </c>
      <c r="Z219" t="s">
        <v>630</v>
      </c>
    </row>
    <row r="220" spans="1:26">
      <c r="A220" s="1" t="s">
        <v>975</v>
      </c>
      <c r="B220" t="s">
        <v>551</v>
      </c>
      <c r="C220" t="s">
        <v>976</v>
      </c>
      <c r="D220" t="s">
        <v>553</v>
      </c>
      <c r="M220">
        <v>3</v>
      </c>
      <c r="P220">
        <v>12</v>
      </c>
      <c r="Q220">
        <v>1</v>
      </c>
      <c r="U220">
        <v>6</v>
      </c>
      <c r="Z220" t="s">
        <v>656</v>
      </c>
    </row>
    <row r="221" spans="1:26">
      <c r="A221" s="1" t="s">
        <v>977</v>
      </c>
      <c r="B221" t="s">
        <v>508</v>
      </c>
      <c r="C221" t="s">
        <v>978</v>
      </c>
      <c r="D221" t="s">
        <v>510</v>
      </c>
      <c r="G221">
        <v>12</v>
      </c>
      <c r="I221">
        <v>2</v>
      </c>
      <c r="P221">
        <v>4</v>
      </c>
      <c r="Q221">
        <v>1</v>
      </c>
      <c r="U221">
        <v>6</v>
      </c>
      <c r="Z221" t="s">
        <v>656</v>
      </c>
    </row>
    <row r="222" spans="1:18">
      <c r="A222" s="1" t="s">
        <v>979</v>
      </c>
      <c r="B222" t="s">
        <v>432</v>
      </c>
      <c r="C222" t="s">
        <v>980</v>
      </c>
      <c r="D222" s="12" t="s">
        <v>434</v>
      </c>
      <c r="F222">
        <v>30</v>
      </c>
      <c r="K222">
        <v>3</v>
      </c>
      <c r="L222">
        <v>4</v>
      </c>
      <c r="P222">
        <v>6</v>
      </c>
      <c r="Q222">
        <v>1</v>
      </c>
      <c r="R222">
        <v>0.25</v>
      </c>
    </row>
    <row r="223" spans="1:17">
      <c r="A223" s="1" t="s">
        <v>981</v>
      </c>
      <c r="B223" t="s">
        <v>583</v>
      </c>
      <c r="C223" t="s">
        <v>982</v>
      </c>
      <c r="D223" s="12" t="s">
        <v>595</v>
      </c>
      <c r="F223">
        <v>10</v>
      </c>
      <c r="K223">
        <v>2</v>
      </c>
      <c r="Q223">
        <v>1</v>
      </c>
    </row>
    <row r="224" spans="1:17">
      <c r="A224" s="1" t="s">
        <v>983</v>
      </c>
      <c r="B224" t="s">
        <v>520</v>
      </c>
      <c r="C224" t="s">
        <v>984</v>
      </c>
      <c r="D224" t="s">
        <v>6</v>
      </c>
      <c r="G224">
        <v>6</v>
      </c>
      <c r="I224">
        <v>10</v>
      </c>
      <c r="M224">
        <v>2</v>
      </c>
      <c r="Q224">
        <v>1</v>
      </c>
    </row>
    <row r="225" spans="1:17">
      <c r="A225" s="1" t="s">
        <v>985</v>
      </c>
      <c r="B225" t="s">
        <v>459</v>
      </c>
      <c r="C225" t="s">
        <v>986</v>
      </c>
      <c r="D225" t="s">
        <v>461</v>
      </c>
      <c r="G225">
        <v>3</v>
      </c>
      <c r="J225">
        <v>7</v>
      </c>
      <c r="K225">
        <v>3</v>
      </c>
      <c r="Q225">
        <v>1</v>
      </c>
    </row>
    <row r="226" spans="1:17">
      <c r="A226" s="1" t="s">
        <v>987</v>
      </c>
      <c r="B226" t="s">
        <v>432</v>
      </c>
      <c r="C226" t="s">
        <v>988</v>
      </c>
      <c r="D226" s="12" t="s">
        <v>434</v>
      </c>
      <c r="F226">
        <v>28</v>
      </c>
      <c r="K226">
        <v>4</v>
      </c>
      <c r="L226">
        <v>3</v>
      </c>
      <c r="Q226">
        <v>1</v>
      </c>
    </row>
    <row r="227" spans="1:26">
      <c r="A227" s="1" t="s">
        <v>989</v>
      </c>
      <c r="B227" t="s">
        <v>551</v>
      </c>
      <c r="C227" t="s">
        <v>990</v>
      </c>
      <c r="D227" t="s">
        <v>553</v>
      </c>
      <c r="O227">
        <v>2</v>
      </c>
      <c r="P227">
        <v>13</v>
      </c>
      <c r="Q227">
        <v>1</v>
      </c>
      <c r="U227">
        <v>5</v>
      </c>
      <c r="Z227" t="s">
        <v>449</v>
      </c>
    </row>
    <row r="228" spans="1:26">
      <c r="A228" s="1" t="s">
        <v>991</v>
      </c>
      <c r="B228" t="s">
        <v>551</v>
      </c>
      <c r="C228" t="s">
        <v>992</v>
      </c>
      <c r="D228" t="s">
        <v>553</v>
      </c>
      <c r="P228">
        <v>14</v>
      </c>
      <c r="Q228">
        <v>1</v>
      </c>
      <c r="U228">
        <v>5</v>
      </c>
      <c r="Z228" t="s">
        <v>449</v>
      </c>
    </row>
    <row r="229" spans="1:17">
      <c r="A229" s="1" t="s">
        <v>993</v>
      </c>
      <c r="B229" t="s">
        <v>476</v>
      </c>
      <c r="C229" t="s">
        <v>994</v>
      </c>
      <c r="D229" t="s">
        <v>478</v>
      </c>
      <c r="I229">
        <v>15</v>
      </c>
      <c r="M229">
        <v>3</v>
      </c>
      <c r="Q229">
        <v>1</v>
      </c>
    </row>
    <row r="230" spans="1:26">
      <c r="A230" s="1" t="s">
        <v>995</v>
      </c>
      <c r="B230" t="s">
        <v>508</v>
      </c>
      <c r="C230" t="s">
        <v>996</v>
      </c>
      <c r="D230" t="s">
        <v>510</v>
      </c>
      <c r="G230">
        <v>15</v>
      </c>
      <c r="I230">
        <v>2</v>
      </c>
      <c r="J230">
        <v>2</v>
      </c>
      <c r="K230">
        <v>3</v>
      </c>
      <c r="Q230">
        <v>1</v>
      </c>
      <c r="U230">
        <v>7</v>
      </c>
      <c r="Z230" t="s">
        <v>630</v>
      </c>
    </row>
    <row r="231" spans="1:17">
      <c r="A231" s="1" t="s">
        <v>997</v>
      </c>
      <c r="B231" t="s">
        <v>520</v>
      </c>
      <c r="C231" t="s">
        <v>998</v>
      </c>
      <c r="D231" s="12" t="s">
        <v>6</v>
      </c>
      <c r="G231">
        <v>19</v>
      </c>
      <c r="K231">
        <v>1</v>
      </c>
      <c r="Q231">
        <v>1</v>
      </c>
    </row>
    <row r="232" spans="1:17">
      <c r="A232" s="1" t="s">
        <v>999</v>
      </c>
      <c r="B232" t="s">
        <v>432</v>
      </c>
      <c r="C232" t="s">
        <v>1000</v>
      </c>
      <c r="D232" s="12" t="s">
        <v>434</v>
      </c>
      <c r="F232">
        <v>32</v>
      </c>
      <c r="L232">
        <v>4</v>
      </c>
      <c r="Q232">
        <v>1</v>
      </c>
    </row>
    <row r="233" spans="1:21">
      <c r="A233" s="1" t="s">
        <v>1001</v>
      </c>
      <c r="B233" t="s">
        <v>551</v>
      </c>
      <c r="C233" t="s">
        <v>1002</v>
      </c>
      <c r="D233" s="12" t="s">
        <v>553</v>
      </c>
      <c r="O233">
        <v>4</v>
      </c>
      <c r="P233">
        <v>16</v>
      </c>
      <c r="Q233">
        <v>1</v>
      </c>
      <c r="U233">
        <v>9</v>
      </c>
    </row>
    <row r="234" spans="1:17">
      <c r="A234" s="1" t="s">
        <v>1003</v>
      </c>
      <c r="B234" t="s">
        <v>432</v>
      </c>
      <c r="C234" t="s">
        <v>1004</v>
      </c>
      <c r="D234" s="12" t="s">
        <v>434</v>
      </c>
      <c r="F234">
        <v>13</v>
      </c>
      <c r="K234">
        <v>-3</v>
      </c>
      <c r="L234">
        <v>1</v>
      </c>
      <c r="Q234">
        <v>1</v>
      </c>
    </row>
    <row r="235" spans="1:17">
      <c r="A235" s="1" t="s">
        <v>1005</v>
      </c>
      <c r="B235" t="s">
        <v>459</v>
      </c>
      <c r="C235" t="s">
        <v>1006</v>
      </c>
      <c r="D235" t="s">
        <v>461</v>
      </c>
      <c r="M235">
        <v>12</v>
      </c>
      <c r="Q235">
        <v>1</v>
      </c>
    </row>
    <row r="236" spans="1:17">
      <c r="A236" s="1" t="s">
        <v>1007</v>
      </c>
      <c r="B236" t="s">
        <v>432</v>
      </c>
      <c r="C236" t="s">
        <v>1008</v>
      </c>
      <c r="D236" t="s">
        <v>434</v>
      </c>
      <c r="F236">
        <v>10</v>
      </c>
      <c r="L236">
        <v>3</v>
      </c>
      <c r="Q236">
        <v>1</v>
      </c>
    </row>
    <row r="237" spans="1:21">
      <c r="A237" s="1" t="s">
        <v>1009</v>
      </c>
      <c r="B237" t="s">
        <v>597</v>
      </c>
      <c r="C237" t="s">
        <v>1010</v>
      </c>
      <c r="D237" s="12" t="s">
        <v>599</v>
      </c>
      <c r="F237">
        <v>19</v>
      </c>
      <c r="P237">
        <v>17</v>
      </c>
      <c r="Q237">
        <v>3.7</v>
      </c>
      <c r="R237">
        <v>0.8</v>
      </c>
      <c r="T237">
        <v>21</v>
      </c>
      <c r="U237">
        <v>9</v>
      </c>
    </row>
    <row r="238" spans="1:17">
      <c r="A238" s="1" t="s">
        <v>1011</v>
      </c>
      <c r="B238" t="s">
        <v>459</v>
      </c>
      <c r="C238" t="s">
        <v>1012</v>
      </c>
      <c r="D238" t="s">
        <v>461</v>
      </c>
      <c r="J238">
        <v>3</v>
      </c>
      <c r="M238">
        <v>7</v>
      </c>
      <c r="Q238">
        <v>1</v>
      </c>
    </row>
    <row r="239" spans="1:26">
      <c r="A239" s="1" t="s">
        <v>1013</v>
      </c>
      <c r="B239" t="s">
        <v>508</v>
      </c>
      <c r="C239" t="s">
        <v>1014</v>
      </c>
      <c r="D239" t="s">
        <v>510</v>
      </c>
      <c r="G239">
        <v>12</v>
      </c>
      <c r="I239">
        <v>6</v>
      </c>
      <c r="J239">
        <v>2</v>
      </c>
      <c r="Q239">
        <v>1</v>
      </c>
      <c r="U239">
        <v>6</v>
      </c>
      <c r="Z239" t="s">
        <v>656</v>
      </c>
    </row>
    <row r="240" spans="1:26">
      <c r="A240" s="1" t="s">
        <v>1015</v>
      </c>
      <c r="B240" t="s">
        <v>432</v>
      </c>
      <c r="C240" t="s">
        <v>1016</v>
      </c>
      <c r="D240" t="s">
        <v>434</v>
      </c>
      <c r="F240">
        <v>21</v>
      </c>
      <c r="K240">
        <v>5</v>
      </c>
      <c r="L240">
        <v>3</v>
      </c>
      <c r="P240">
        <v>6</v>
      </c>
      <c r="Q240">
        <v>1</v>
      </c>
      <c r="R240">
        <v>0.25</v>
      </c>
      <c r="Z240" t="s">
        <v>435</v>
      </c>
    </row>
    <row r="241" spans="1:27">
      <c r="A241" s="1" t="s">
        <v>1017</v>
      </c>
      <c r="B241" t="s">
        <v>446</v>
      </c>
      <c r="C241" t="s">
        <v>1018</v>
      </c>
      <c r="D241" t="s">
        <v>448</v>
      </c>
      <c r="K241">
        <v>-1</v>
      </c>
      <c r="O241">
        <v>12</v>
      </c>
      <c r="Q241">
        <v>1</v>
      </c>
      <c r="U241">
        <v>5</v>
      </c>
      <c r="V241" s="1" t="s">
        <v>503</v>
      </c>
      <c r="X241">
        <v>0.15</v>
      </c>
      <c r="Z241" t="s">
        <v>1019</v>
      </c>
      <c r="AA241" s="1" t="s">
        <v>613</v>
      </c>
    </row>
    <row r="242" spans="1:17">
      <c r="A242" s="1" t="s">
        <v>1020</v>
      </c>
      <c r="B242" t="s">
        <v>432</v>
      </c>
      <c r="C242" t="s">
        <v>1021</v>
      </c>
      <c r="D242" t="s">
        <v>434</v>
      </c>
      <c r="F242">
        <v>13</v>
      </c>
      <c r="K242">
        <v>1</v>
      </c>
      <c r="L242">
        <v>3</v>
      </c>
      <c r="Q242">
        <v>1</v>
      </c>
    </row>
    <row r="243" spans="1:26">
      <c r="A243" s="1" t="s">
        <v>1022</v>
      </c>
      <c r="B243" t="s">
        <v>508</v>
      </c>
      <c r="C243" t="s">
        <v>1023</v>
      </c>
      <c r="D243" t="s">
        <v>510</v>
      </c>
      <c r="G243">
        <v>2</v>
      </c>
      <c r="I243">
        <v>11</v>
      </c>
      <c r="J243">
        <v>3</v>
      </c>
      <c r="Q243">
        <v>1</v>
      </c>
      <c r="U243">
        <v>4</v>
      </c>
      <c r="Z243" t="s">
        <v>514</v>
      </c>
    </row>
    <row r="244" spans="1:17">
      <c r="A244" s="1" t="s">
        <v>1024</v>
      </c>
      <c r="B244" t="s">
        <v>520</v>
      </c>
      <c r="C244" t="s">
        <v>1025</v>
      </c>
      <c r="D244" t="s">
        <v>6</v>
      </c>
      <c r="G244">
        <v>13</v>
      </c>
      <c r="K244">
        <v>4</v>
      </c>
      <c r="Q244">
        <v>1</v>
      </c>
    </row>
    <row r="245" spans="1:26">
      <c r="A245" s="1" t="s">
        <v>1026</v>
      </c>
      <c r="B245" t="s">
        <v>446</v>
      </c>
      <c r="C245" t="s">
        <v>1027</v>
      </c>
      <c r="D245" t="s">
        <v>448</v>
      </c>
      <c r="K245">
        <v>3</v>
      </c>
      <c r="O245">
        <v>13</v>
      </c>
      <c r="Q245">
        <v>1</v>
      </c>
      <c r="U245">
        <v>5</v>
      </c>
      <c r="Z245" t="s">
        <v>449</v>
      </c>
    </row>
    <row r="246" spans="1:26">
      <c r="A246" s="1" t="s">
        <v>1028</v>
      </c>
      <c r="B246" t="s">
        <v>551</v>
      </c>
      <c r="C246" t="s">
        <v>1029</v>
      </c>
      <c r="D246" t="s">
        <v>553</v>
      </c>
      <c r="O246">
        <v>2</v>
      </c>
      <c r="P246">
        <v>14</v>
      </c>
      <c r="Q246">
        <v>1</v>
      </c>
      <c r="U246">
        <v>7</v>
      </c>
      <c r="Z246" t="s">
        <v>630</v>
      </c>
    </row>
    <row r="247" spans="1:17">
      <c r="A247" s="1" t="s">
        <v>1030</v>
      </c>
      <c r="B247" t="s">
        <v>432</v>
      </c>
      <c r="C247" t="s">
        <v>1031</v>
      </c>
      <c r="D247" s="12" t="s">
        <v>434</v>
      </c>
      <c r="F247">
        <v>32</v>
      </c>
      <c r="K247">
        <v>1</v>
      </c>
      <c r="L247">
        <v>4</v>
      </c>
      <c r="M247">
        <v>-3</v>
      </c>
      <c r="Q247">
        <v>1</v>
      </c>
    </row>
    <row r="248" spans="1:17">
      <c r="A248" s="1" t="s">
        <v>1032</v>
      </c>
      <c r="B248" t="s">
        <v>432</v>
      </c>
      <c r="C248" t="s">
        <v>1033</v>
      </c>
      <c r="D248" t="s">
        <v>434</v>
      </c>
      <c r="F248">
        <v>12</v>
      </c>
      <c r="H248">
        <v>2</v>
      </c>
      <c r="K248">
        <v>1</v>
      </c>
      <c r="L248">
        <v>3</v>
      </c>
      <c r="Q248">
        <v>1</v>
      </c>
    </row>
    <row r="249" spans="1:17">
      <c r="A249" s="1" t="s">
        <v>1034</v>
      </c>
      <c r="B249" t="s">
        <v>583</v>
      </c>
      <c r="C249" t="s">
        <v>1035</v>
      </c>
      <c r="D249" s="12" t="s">
        <v>585</v>
      </c>
      <c r="F249">
        <v>1</v>
      </c>
      <c r="K249">
        <v>2</v>
      </c>
      <c r="M249">
        <v>6</v>
      </c>
      <c r="Q249">
        <v>1</v>
      </c>
    </row>
    <row r="250" spans="1:27">
      <c r="A250" s="1" t="s">
        <v>1036</v>
      </c>
      <c r="B250" t="s">
        <v>446</v>
      </c>
      <c r="C250" t="s">
        <v>1037</v>
      </c>
      <c r="D250" s="12" t="s">
        <v>448</v>
      </c>
      <c r="O250">
        <v>10</v>
      </c>
      <c r="P250">
        <v>9</v>
      </c>
      <c r="Q250">
        <v>1</v>
      </c>
      <c r="U250">
        <v>6</v>
      </c>
      <c r="V250" s="1" t="s">
        <v>503</v>
      </c>
      <c r="X250" s="23">
        <v>0.1</v>
      </c>
      <c r="AA250" t="s">
        <v>592</v>
      </c>
    </row>
    <row r="251" spans="1:27">
      <c r="A251" s="1" t="s">
        <v>1038</v>
      </c>
      <c r="B251" t="s">
        <v>587</v>
      </c>
      <c r="C251" t="s">
        <v>1039</v>
      </c>
      <c r="D251" s="12" t="s">
        <v>589</v>
      </c>
      <c r="F251">
        <v>22</v>
      </c>
      <c r="Q251">
        <v>1</v>
      </c>
      <c r="S251">
        <v>22</v>
      </c>
      <c r="U251">
        <v>10</v>
      </c>
      <c r="V251" s="1" t="s">
        <v>1040</v>
      </c>
      <c r="Z251" t="s">
        <v>1041</v>
      </c>
      <c r="AA251" s="1" t="s">
        <v>1042</v>
      </c>
    </row>
    <row r="252" spans="1:27">
      <c r="A252" s="1" t="s">
        <v>1043</v>
      </c>
      <c r="B252" t="s">
        <v>583</v>
      </c>
      <c r="C252" t="s">
        <v>1044</v>
      </c>
      <c r="D252" s="12" t="s">
        <v>585</v>
      </c>
      <c r="F252">
        <v>3</v>
      </c>
      <c r="K252">
        <v>2</v>
      </c>
      <c r="Q252">
        <v>1</v>
      </c>
      <c r="V252" s="1" t="s">
        <v>1045</v>
      </c>
      <c r="Z252" t="s">
        <v>1046</v>
      </c>
      <c r="AA252" s="1" t="s">
        <v>1047</v>
      </c>
    </row>
    <row r="253" spans="1:21">
      <c r="A253" s="1" t="s">
        <v>1048</v>
      </c>
      <c r="B253" t="s">
        <v>587</v>
      </c>
      <c r="C253" t="s">
        <v>1049</v>
      </c>
      <c r="D253" s="12" t="s">
        <v>589</v>
      </c>
      <c r="F253">
        <v>23</v>
      </c>
      <c r="P253">
        <v>15</v>
      </c>
      <c r="Q253">
        <v>3.7</v>
      </c>
      <c r="R253">
        <v>0.75</v>
      </c>
      <c r="S253">
        <v>26</v>
      </c>
      <c r="U253">
        <v>10</v>
      </c>
    </row>
    <row r="254" spans="1:17">
      <c r="A254" s="1" t="s">
        <v>1050</v>
      </c>
      <c r="B254" t="s">
        <v>583</v>
      </c>
      <c r="C254" t="s">
        <v>1051</v>
      </c>
      <c r="D254" s="12" t="s">
        <v>585</v>
      </c>
      <c r="F254">
        <v>6</v>
      </c>
      <c r="P254">
        <v>6</v>
      </c>
      <c r="Q254">
        <v>1</v>
      </c>
    </row>
    <row r="255" spans="1:27">
      <c r="A255" s="1" t="s">
        <v>1052</v>
      </c>
      <c r="B255" t="s">
        <v>520</v>
      </c>
      <c r="C255" t="s">
        <v>1053</v>
      </c>
      <c r="D255" s="12" t="s">
        <v>6</v>
      </c>
      <c r="G255">
        <v>12</v>
      </c>
      <c r="Q255">
        <v>1</v>
      </c>
      <c r="V255" s="1" t="s">
        <v>1054</v>
      </c>
      <c r="Z255" s="26" t="s">
        <v>1055</v>
      </c>
      <c r="AA255" s="27" t="s">
        <v>1056</v>
      </c>
    </row>
    <row r="256" spans="1:27">
      <c r="A256" s="1" t="s">
        <v>1057</v>
      </c>
      <c r="B256" t="s">
        <v>446</v>
      </c>
      <c r="C256" t="s">
        <v>1058</v>
      </c>
      <c r="D256" s="12" t="s">
        <v>448</v>
      </c>
      <c r="O256">
        <v>12</v>
      </c>
      <c r="Q256">
        <v>1</v>
      </c>
      <c r="U256">
        <v>5</v>
      </c>
      <c r="V256" s="1" t="s">
        <v>503</v>
      </c>
      <c r="X256" s="23">
        <v>0.25</v>
      </c>
      <c r="AA256" t="s">
        <v>736</v>
      </c>
    </row>
    <row r="257" spans="1:27">
      <c r="A257" s="1" t="s">
        <v>1059</v>
      </c>
      <c r="B257" t="s">
        <v>508</v>
      </c>
      <c r="C257" t="s">
        <v>1060</v>
      </c>
      <c r="D257" s="12" t="s">
        <v>510</v>
      </c>
      <c r="G257">
        <v>12</v>
      </c>
      <c r="K257">
        <v>2</v>
      </c>
      <c r="Q257">
        <v>1</v>
      </c>
      <c r="U257">
        <v>5</v>
      </c>
      <c r="V257" s="1" t="s">
        <v>1061</v>
      </c>
      <c r="Z257" t="s">
        <v>1062</v>
      </c>
      <c r="AA257" s="1" t="s">
        <v>1063</v>
      </c>
    </row>
    <row r="258" spans="1:17">
      <c r="A258" s="1" t="s">
        <v>1064</v>
      </c>
      <c r="B258" t="s">
        <v>451</v>
      </c>
      <c r="C258" t="s">
        <v>1065</v>
      </c>
      <c r="D258" s="12" t="s">
        <v>453</v>
      </c>
      <c r="E258">
        <v>1</v>
      </c>
      <c r="J258">
        <v>6</v>
      </c>
      <c r="K258">
        <v>9</v>
      </c>
      <c r="M258">
        <v>3</v>
      </c>
      <c r="Q258">
        <v>1</v>
      </c>
    </row>
    <row r="259" spans="1:26">
      <c r="A259" s="1" t="s">
        <v>1066</v>
      </c>
      <c r="B259" t="s">
        <v>432</v>
      </c>
      <c r="C259" t="s">
        <v>1067</v>
      </c>
      <c r="D259" t="s">
        <v>434</v>
      </c>
      <c r="F259">
        <v>21</v>
      </c>
      <c r="K259">
        <v>6</v>
      </c>
      <c r="L259">
        <v>3</v>
      </c>
      <c r="Q259">
        <v>1</v>
      </c>
      <c r="Z259" t="s">
        <v>1068</v>
      </c>
    </row>
    <row r="260" spans="1:27">
      <c r="A260" s="1" t="s">
        <v>1069</v>
      </c>
      <c r="B260" t="s">
        <v>451</v>
      </c>
      <c r="C260" t="s">
        <v>1070</v>
      </c>
      <c r="D260" s="12" t="s">
        <v>453</v>
      </c>
      <c r="J260">
        <v>5</v>
      </c>
      <c r="K260">
        <v>1</v>
      </c>
      <c r="M260">
        <v>3</v>
      </c>
      <c r="P260">
        <v>10</v>
      </c>
      <c r="Q260">
        <v>3.2</v>
      </c>
      <c r="R260">
        <v>0.75</v>
      </c>
      <c r="V260" s="1" t="s">
        <v>1071</v>
      </c>
      <c r="X260" s="23" t="s">
        <v>1072</v>
      </c>
      <c r="Z260" s="26" t="s">
        <v>1073</v>
      </c>
      <c r="AA260" s="27" t="s">
        <v>1074</v>
      </c>
    </row>
    <row r="261" spans="1:27">
      <c r="A261" s="1" t="s">
        <v>1075</v>
      </c>
      <c r="B261" t="s">
        <v>520</v>
      </c>
      <c r="C261" t="s">
        <v>1076</v>
      </c>
      <c r="D261" s="12" t="s">
        <v>6</v>
      </c>
      <c r="G261">
        <v>6</v>
      </c>
      <c r="M261">
        <v>2</v>
      </c>
      <c r="Q261">
        <v>1</v>
      </c>
      <c r="V261" s="1" t="s">
        <v>1077</v>
      </c>
      <c r="Z261" s="26" t="s">
        <v>1078</v>
      </c>
      <c r="AA261" s="27" t="s">
        <v>1079</v>
      </c>
    </row>
    <row r="262" spans="1:18">
      <c r="A262" s="1" t="s">
        <v>1080</v>
      </c>
      <c r="B262" t="s">
        <v>432</v>
      </c>
      <c r="C262" t="s">
        <v>1081</v>
      </c>
      <c r="D262" s="12" t="s">
        <v>434</v>
      </c>
      <c r="F262">
        <v>27</v>
      </c>
      <c r="K262">
        <v>1</v>
      </c>
      <c r="L262">
        <v>4</v>
      </c>
      <c r="P262">
        <v>1</v>
      </c>
      <c r="Q262">
        <v>1</v>
      </c>
      <c r="R262">
        <v>0.25</v>
      </c>
    </row>
    <row r="263" spans="1:18">
      <c r="A263" s="1" t="s">
        <v>1082</v>
      </c>
      <c r="B263" t="s">
        <v>441</v>
      </c>
      <c r="C263" t="s">
        <v>1083</v>
      </c>
      <c r="D263" s="12" t="s">
        <v>443</v>
      </c>
      <c r="F263">
        <v>3</v>
      </c>
      <c r="P263">
        <v>14</v>
      </c>
      <c r="Q263">
        <v>3.5</v>
      </c>
      <c r="R263">
        <v>0.5</v>
      </c>
    </row>
    <row r="264" spans="1:27">
      <c r="A264" s="1" t="s">
        <v>1084</v>
      </c>
      <c r="B264" t="s">
        <v>446</v>
      </c>
      <c r="C264" t="s">
        <v>1085</v>
      </c>
      <c r="D264" s="12" t="s">
        <v>448</v>
      </c>
      <c r="O264">
        <v>20</v>
      </c>
      <c r="Q264">
        <v>1</v>
      </c>
      <c r="U264">
        <v>14</v>
      </c>
      <c r="V264" s="1" t="s">
        <v>1086</v>
      </c>
      <c r="Z264" s="26" t="s">
        <v>1087</v>
      </c>
      <c r="AA264" s="27" t="s">
        <v>1088</v>
      </c>
    </row>
    <row r="265" spans="1:27">
      <c r="A265" s="1" t="s">
        <v>1089</v>
      </c>
      <c r="B265" t="s">
        <v>459</v>
      </c>
      <c r="C265" t="s">
        <v>1090</v>
      </c>
      <c r="D265" s="12" t="s">
        <v>461</v>
      </c>
      <c r="G265">
        <v>2</v>
      </c>
      <c r="K265">
        <v>3</v>
      </c>
      <c r="M265">
        <v>5</v>
      </c>
      <c r="Q265">
        <v>1</v>
      </c>
      <c r="V265" s="1" t="s">
        <v>1091</v>
      </c>
      <c r="X265" s="23">
        <v>0.25</v>
      </c>
      <c r="Z265" s="26" t="s">
        <v>1092</v>
      </c>
      <c r="AA265" s="27" t="s">
        <v>1093</v>
      </c>
    </row>
    <row r="266" spans="1:27">
      <c r="A266" s="1" t="s">
        <v>1094</v>
      </c>
      <c r="B266" t="s">
        <v>451</v>
      </c>
      <c r="C266" t="s">
        <v>1095</v>
      </c>
      <c r="D266" s="12" t="s">
        <v>453</v>
      </c>
      <c r="J266">
        <v>4</v>
      </c>
      <c r="K266">
        <v>4</v>
      </c>
      <c r="P266">
        <v>11</v>
      </c>
      <c r="Q266">
        <v>3.5</v>
      </c>
      <c r="R266">
        <v>0.7</v>
      </c>
      <c r="V266" s="1" t="s">
        <v>1071</v>
      </c>
      <c r="X266" s="23" t="s">
        <v>1096</v>
      </c>
      <c r="Z266" s="26" t="s">
        <v>1097</v>
      </c>
      <c r="AA266" s="27" t="s">
        <v>1098</v>
      </c>
    </row>
    <row r="267" spans="1:18">
      <c r="A267" s="1" t="s">
        <v>1099</v>
      </c>
      <c r="B267" t="s">
        <v>432</v>
      </c>
      <c r="C267" t="s">
        <v>1100</v>
      </c>
      <c r="D267" s="12" t="s">
        <v>434</v>
      </c>
      <c r="F267">
        <v>27</v>
      </c>
      <c r="K267">
        <v>2</v>
      </c>
      <c r="L267">
        <v>3</v>
      </c>
      <c r="P267">
        <v>2</v>
      </c>
      <c r="Q267">
        <v>1</v>
      </c>
      <c r="R267">
        <v>0.25</v>
      </c>
    </row>
    <row r="268" spans="1:27">
      <c r="A268" s="1" t="s">
        <v>1101</v>
      </c>
      <c r="B268" t="s">
        <v>551</v>
      </c>
      <c r="C268" t="s">
        <v>1102</v>
      </c>
      <c r="D268" s="12" t="s">
        <v>553</v>
      </c>
      <c r="M268">
        <v>4</v>
      </c>
      <c r="P268">
        <v>14</v>
      </c>
      <c r="Q268">
        <v>1</v>
      </c>
      <c r="U268">
        <v>8</v>
      </c>
      <c r="V268" s="1" t="s">
        <v>1103</v>
      </c>
      <c r="Z268" t="s">
        <v>1104</v>
      </c>
      <c r="AA268" s="1" t="s">
        <v>1105</v>
      </c>
    </row>
    <row r="269" spans="1:18">
      <c r="A269" s="1" t="s">
        <v>1106</v>
      </c>
      <c r="B269" t="s">
        <v>432</v>
      </c>
      <c r="C269" t="s">
        <v>1107</v>
      </c>
      <c r="D269" s="12" t="s">
        <v>434</v>
      </c>
      <c r="F269">
        <v>29</v>
      </c>
      <c r="L269">
        <v>3</v>
      </c>
      <c r="P269">
        <v>3</v>
      </c>
      <c r="Q269">
        <v>1</v>
      </c>
      <c r="R269">
        <v>0.25</v>
      </c>
    </row>
    <row r="270" spans="1:27">
      <c r="A270" s="1" t="s">
        <v>1108</v>
      </c>
      <c r="B270" t="s">
        <v>551</v>
      </c>
      <c r="C270" t="s">
        <v>1109</v>
      </c>
      <c r="D270" s="12" t="s">
        <v>553</v>
      </c>
      <c r="M270">
        <v>1</v>
      </c>
      <c r="P270">
        <v>15</v>
      </c>
      <c r="Q270">
        <v>1</v>
      </c>
      <c r="U270">
        <v>5</v>
      </c>
      <c r="V270" s="1" t="s">
        <v>1110</v>
      </c>
      <c r="Z270" s="26" t="s">
        <v>1111</v>
      </c>
      <c r="AA270" s="27" t="s">
        <v>1112</v>
      </c>
    </row>
    <row r="271" spans="1:17">
      <c r="A271" s="1" t="s">
        <v>1113</v>
      </c>
      <c r="B271" t="s">
        <v>432</v>
      </c>
      <c r="C271" t="s">
        <v>1114</v>
      </c>
      <c r="D271" s="12" t="s">
        <v>434</v>
      </c>
      <c r="F271">
        <v>30</v>
      </c>
      <c r="K271">
        <v>2</v>
      </c>
      <c r="L271">
        <v>4</v>
      </c>
      <c r="Q271">
        <v>1</v>
      </c>
    </row>
    <row r="272" spans="1:27">
      <c r="A272" s="1" t="s">
        <v>1115</v>
      </c>
      <c r="B272" t="s">
        <v>432</v>
      </c>
      <c r="C272" t="s">
        <v>1116</v>
      </c>
      <c r="D272" s="12" t="s">
        <v>434</v>
      </c>
      <c r="F272">
        <v>20</v>
      </c>
      <c r="K272">
        <v>4</v>
      </c>
      <c r="L272">
        <v>3</v>
      </c>
      <c r="Q272">
        <v>1</v>
      </c>
      <c r="V272" s="1" t="s">
        <v>1117</v>
      </c>
      <c r="Z272" s="26" t="s">
        <v>1118</v>
      </c>
      <c r="AA272" s="27" t="s">
        <v>1119</v>
      </c>
    </row>
    <row r="273" spans="1:27">
      <c r="A273" s="1" t="s">
        <v>1120</v>
      </c>
      <c r="B273" t="s">
        <v>508</v>
      </c>
      <c r="C273" t="s">
        <v>1121</v>
      </c>
      <c r="D273" s="12" t="s">
        <v>510</v>
      </c>
      <c r="G273">
        <v>18</v>
      </c>
      <c r="I273">
        <v>5</v>
      </c>
      <c r="K273">
        <v>1</v>
      </c>
      <c r="Q273">
        <v>1</v>
      </c>
      <c r="U273">
        <v>8</v>
      </c>
      <c r="V273" s="1" t="s">
        <v>503</v>
      </c>
      <c r="X273" s="23">
        <v>0.25</v>
      </c>
      <c r="AA273" t="s">
        <v>736</v>
      </c>
    </row>
    <row r="274" spans="1:18">
      <c r="A274" s="1" t="s">
        <v>1122</v>
      </c>
      <c r="B274" t="s">
        <v>441</v>
      </c>
      <c r="C274" t="s">
        <v>1123</v>
      </c>
      <c r="D274" s="12" t="s">
        <v>443</v>
      </c>
      <c r="K274">
        <v>1</v>
      </c>
      <c r="P274">
        <v>16</v>
      </c>
      <c r="Q274">
        <v>3.5</v>
      </c>
      <c r="R274">
        <v>0.5</v>
      </c>
    </row>
    <row r="275" spans="1:26">
      <c r="A275" s="1" t="s">
        <v>1124</v>
      </c>
      <c r="B275" t="s">
        <v>551</v>
      </c>
      <c r="C275" t="s">
        <v>1125</v>
      </c>
      <c r="D275" t="s">
        <v>553</v>
      </c>
      <c r="O275">
        <v>3</v>
      </c>
      <c r="P275">
        <v>13</v>
      </c>
      <c r="Q275">
        <v>1</v>
      </c>
      <c r="U275">
        <v>6</v>
      </c>
      <c r="Z275" t="s">
        <v>656</v>
      </c>
    </row>
    <row r="276" spans="1:17">
      <c r="A276" s="1" t="s">
        <v>1126</v>
      </c>
      <c r="B276" t="s">
        <v>432</v>
      </c>
      <c r="C276" t="s">
        <v>1127</v>
      </c>
      <c r="D276" s="12" t="s">
        <v>434</v>
      </c>
      <c r="F276">
        <v>31</v>
      </c>
      <c r="L276">
        <v>3</v>
      </c>
      <c r="Q276">
        <v>1</v>
      </c>
    </row>
    <row r="277" spans="1:17">
      <c r="A277" s="1" t="s">
        <v>1128</v>
      </c>
      <c r="B277" t="s">
        <v>432</v>
      </c>
      <c r="C277" t="s">
        <v>1129</v>
      </c>
      <c r="D277" s="12" t="s">
        <v>434</v>
      </c>
      <c r="F277">
        <v>24</v>
      </c>
      <c r="H277">
        <v>4</v>
      </c>
      <c r="K277">
        <v>2</v>
      </c>
      <c r="L277">
        <v>3</v>
      </c>
      <c r="Q277">
        <v>1</v>
      </c>
    </row>
    <row r="278" spans="1:27">
      <c r="A278" s="1" t="s">
        <v>1130</v>
      </c>
      <c r="B278" t="s">
        <v>1131</v>
      </c>
      <c r="C278" t="s">
        <v>1132</v>
      </c>
      <c r="D278" s="12" t="s">
        <v>1133</v>
      </c>
      <c r="F278">
        <v>25</v>
      </c>
      <c r="Q278">
        <v>1</v>
      </c>
      <c r="S278">
        <v>22</v>
      </c>
      <c r="U278">
        <v>12</v>
      </c>
      <c r="V278" s="1" t="s">
        <v>1134</v>
      </c>
      <c r="Z278" t="s">
        <v>1135</v>
      </c>
      <c r="AA278" s="1" t="s">
        <v>1136</v>
      </c>
    </row>
    <row r="279" spans="1:27">
      <c r="A279" s="1" t="s">
        <v>1137</v>
      </c>
      <c r="B279" t="s">
        <v>583</v>
      </c>
      <c r="C279" t="s">
        <v>1138</v>
      </c>
      <c r="D279" s="12" t="s">
        <v>585</v>
      </c>
      <c r="F279">
        <v>4</v>
      </c>
      <c r="K279">
        <v>2</v>
      </c>
      <c r="Q279">
        <v>1</v>
      </c>
      <c r="V279" s="1" t="s">
        <v>1139</v>
      </c>
      <c r="Z279" t="s">
        <v>1140</v>
      </c>
      <c r="AA279" s="1" t="s">
        <v>1141</v>
      </c>
    </row>
    <row r="280" spans="1:21">
      <c r="A280" s="1" t="s">
        <v>1142</v>
      </c>
      <c r="B280" t="s">
        <v>551</v>
      </c>
      <c r="C280" t="s">
        <v>1143</v>
      </c>
      <c r="D280" s="12" t="s">
        <v>553</v>
      </c>
      <c r="O280">
        <v>6</v>
      </c>
      <c r="P280">
        <v>15</v>
      </c>
      <c r="Q280">
        <v>1</v>
      </c>
      <c r="U280">
        <v>8</v>
      </c>
    </row>
    <row r="281" spans="1:17">
      <c r="A281" s="1" t="s">
        <v>1144</v>
      </c>
      <c r="B281" t="s">
        <v>432</v>
      </c>
      <c r="C281" t="s">
        <v>1145</v>
      </c>
      <c r="D281" s="12" t="s">
        <v>434</v>
      </c>
      <c r="F281">
        <v>28</v>
      </c>
      <c r="L281">
        <v>3</v>
      </c>
      <c r="Q281">
        <v>1</v>
      </c>
    </row>
    <row r="282" spans="1:17">
      <c r="A282" s="1" t="s">
        <v>1146</v>
      </c>
      <c r="B282" t="s">
        <v>432</v>
      </c>
      <c r="C282" t="s">
        <v>1147</v>
      </c>
      <c r="D282" s="12" t="s">
        <v>434</v>
      </c>
      <c r="F282">
        <v>33</v>
      </c>
      <c r="L282">
        <v>4</v>
      </c>
      <c r="Q282">
        <v>1</v>
      </c>
    </row>
    <row r="283" spans="1:27">
      <c r="A283" s="1" t="s">
        <v>1148</v>
      </c>
      <c r="B283" t="s">
        <v>508</v>
      </c>
      <c r="C283" t="s">
        <v>1149</v>
      </c>
      <c r="D283" s="12" t="s">
        <v>510</v>
      </c>
      <c r="G283">
        <v>15</v>
      </c>
      <c r="I283">
        <v>3</v>
      </c>
      <c r="J283">
        <v>2</v>
      </c>
      <c r="K283">
        <v>1</v>
      </c>
      <c r="Q283">
        <v>1</v>
      </c>
      <c r="U283">
        <v>6</v>
      </c>
      <c r="V283" s="1" t="s">
        <v>1150</v>
      </c>
      <c r="Z283" t="s">
        <v>1151</v>
      </c>
      <c r="AA283" s="1" t="s">
        <v>1152</v>
      </c>
    </row>
    <row r="284" spans="1:27">
      <c r="A284" s="1" t="s">
        <v>1153</v>
      </c>
      <c r="B284" t="s">
        <v>597</v>
      </c>
      <c r="C284" t="s">
        <v>1154</v>
      </c>
      <c r="D284" s="12" t="s">
        <v>599</v>
      </c>
      <c r="F284">
        <v>14</v>
      </c>
      <c r="P284">
        <v>17</v>
      </c>
      <c r="Q284">
        <v>3.8</v>
      </c>
      <c r="R284">
        <v>0.8</v>
      </c>
      <c r="T284">
        <v>21</v>
      </c>
      <c r="U284">
        <v>6</v>
      </c>
      <c r="V284" s="1" t="s">
        <v>1155</v>
      </c>
      <c r="X284" s="23">
        <v>0.1</v>
      </c>
      <c r="Z284" t="s">
        <v>1156</v>
      </c>
      <c r="AA284" t="s">
        <v>1157</v>
      </c>
    </row>
    <row r="285" spans="1:17">
      <c r="A285" s="1" t="s">
        <v>1158</v>
      </c>
      <c r="B285" t="s">
        <v>432</v>
      </c>
      <c r="C285" t="s">
        <v>1159</v>
      </c>
      <c r="D285" t="s">
        <v>434</v>
      </c>
      <c r="F285">
        <v>19</v>
      </c>
      <c r="J285">
        <v>6</v>
      </c>
      <c r="K285">
        <v>4</v>
      </c>
      <c r="L285">
        <v>3</v>
      </c>
      <c r="Q285">
        <v>1</v>
      </c>
    </row>
    <row r="286" spans="1:26">
      <c r="A286" s="1" t="s">
        <v>1160</v>
      </c>
      <c r="B286" t="s">
        <v>508</v>
      </c>
      <c r="C286" t="s">
        <v>1161</v>
      </c>
      <c r="D286" t="s">
        <v>510</v>
      </c>
      <c r="G286">
        <v>15</v>
      </c>
      <c r="K286">
        <v>2</v>
      </c>
      <c r="Q286">
        <v>1</v>
      </c>
      <c r="U286">
        <v>6</v>
      </c>
      <c r="Z286" t="s">
        <v>656</v>
      </c>
    </row>
    <row r="287" spans="1:26">
      <c r="A287" s="1" t="s">
        <v>1162</v>
      </c>
      <c r="B287" t="s">
        <v>551</v>
      </c>
      <c r="C287" t="s">
        <v>1163</v>
      </c>
      <c r="D287" t="s">
        <v>553</v>
      </c>
      <c r="P287">
        <v>9</v>
      </c>
      <c r="Q287">
        <v>1</v>
      </c>
      <c r="U287">
        <v>4</v>
      </c>
      <c r="Z287" t="s">
        <v>1164</v>
      </c>
    </row>
    <row r="288" spans="1:17">
      <c r="A288" s="1" t="s">
        <v>1165</v>
      </c>
      <c r="B288" t="s">
        <v>432</v>
      </c>
      <c r="C288" t="s">
        <v>1166</v>
      </c>
      <c r="D288" s="12" t="s">
        <v>434</v>
      </c>
      <c r="F288">
        <v>28</v>
      </c>
      <c r="K288">
        <v>2</v>
      </c>
      <c r="L288">
        <v>3</v>
      </c>
      <c r="Q288">
        <v>1</v>
      </c>
    </row>
    <row r="289" spans="1:27">
      <c r="A289" s="1" t="s">
        <v>1167</v>
      </c>
      <c r="B289" t="s">
        <v>446</v>
      </c>
      <c r="C289" t="s">
        <v>1168</v>
      </c>
      <c r="D289" s="12" t="s">
        <v>448</v>
      </c>
      <c r="K289">
        <v>2</v>
      </c>
      <c r="O289">
        <v>13</v>
      </c>
      <c r="Q289">
        <v>1</v>
      </c>
      <c r="U289">
        <v>5</v>
      </c>
      <c r="V289" s="1" t="s">
        <v>503</v>
      </c>
      <c r="X289" s="23">
        <v>0.25</v>
      </c>
      <c r="AA289" t="s">
        <v>736</v>
      </c>
    </row>
    <row r="290" spans="1:17">
      <c r="A290" s="1" t="s">
        <v>1169</v>
      </c>
      <c r="B290" t="s">
        <v>476</v>
      </c>
      <c r="C290" t="s">
        <v>1170</v>
      </c>
      <c r="D290" t="s">
        <v>478</v>
      </c>
      <c r="G290">
        <v>5</v>
      </c>
      <c r="I290">
        <v>15</v>
      </c>
      <c r="K290">
        <v>2</v>
      </c>
      <c r="Q290">
        <v>1</v>
      </c>
    </row>
    <row r="291" spans="1:27">
      <c r="A291" s="1" t="s">
        <v>1171</v>
      </c>
      <c r="B291" t="s">
        <v>551</v>
      </c>
      <c r="C291" t="s">
        <v>1172</v>
      </c>
      <c r="D291" s="12" t="s">
        <v>553</v>
      </c>
      <c r="O291">
        <v>7</v>
      </c>
      <c r="P291">
        <v>9</v>
      </c>
      <c r="Q291">
        <v>1</v>
      </c>
      <c r="U291">
        <v>5</v>
      </c>
      <c r="V291" s="1" t="s">
        <v>711</v>
      </c>
      <c r="X291" s="23">
        <v>-0.15</v>
      </c>
      <c r="Z291" t="s">
        <v>1173</v>
      </c>
      <c r="AA291" t="s">
        <v>1174</v>
      </c>
    </row>
    <row r="292" spans="1:26">
      <c r="A292" s="1" t="s">
        <v>1175</v>
      </c>
      <c r="B292" t="s">
        <v>551</v>
      </c>
      <c r="C292" t="s">
        <v>1176</v>
      </c>
      <c r="D292" t="s">
        <v>553</v>
      </c>
      <c r="M292">
        <v>3</v>
      </c>
      <c r="P292">
        <v>13</v>
      </c>
      <c r="Q292">
        <v>1</v>
      </c>
      <c r="U292">
        <v>5</v>
      </c>
      <c r="Z292" t="s">
        <v>449</v>
      </c>
    </row>
    <row r="293" spans="1:27">
      <c r="A293" s="1" t="s">
        <v>1177</v>
      </c>
      <c r="B293" t="s">
        <v>446</v>
      </c>
      <c r="C293" t="s">
        <v>1178</v>
      </c>
      <c r="D293" s="12" t="s">
        <v>448</v>
      </c>
      <c r="O293">
        <v>12</v>
      </c>
      <c r="P293">
        <v>9</v>
      </c>
      <c r="Q293">
        <v>1</v>
      </c>
      <c r="U293">
        <v>6</v>
      </c>
      <c r="V293" s="1" t="s">
        <v>1179</v>
      </c>
      <c r="X293" s="23">
        <v>0.15</v>
      </c>
      <c r="Z293" t="s">
        <v>1180</v>
      </c>
      <c r="AA293" t="s">
        <v>1181</v>
      </c>
    </row>
    <row r="294" spans="1:27">
      <c r="A294" s="1" t="s">
        <v>1182</v>
      </c>
      <c r="B294" t="s">
        <v>597</v>
      </c>
      <c r="C294" t="s">
        <v>1183</v>
      </c>
      <c r="D294" s="12" t="s">
        <v>599</v>
      </c>
      <c r="F294">
        <v>20</v>
      </c>
      <c r="P294">
        <v>20</v>
      </c>
      <c r="Q294">
        <v>3.7</v>
      </c>
      <c r="R294">
        <v>0.8</v>
      </c>
      <c r="T294">
        <v>22</v>
      </c>
      <c r="U294">
        <v>9</v>
      </c>
      <c r="V294" s="1" t="s">
        <v>1184</v>
      </c>
      <c r="Z294" t="s">
        <v>1185</v>
      </c>
      <c r="AA294" s="1" t="s">
        <v>1186</v>
      </c>
    </row>
    <row r="295" spans="1:27">
      <c r="A295" s="1" t="s">
        <v>1187</v>
      </c>
      <c r="B295" t="s">
        <v>583</v>
      </c>
      <c r="C295" t="s">
        <v>1188</v>
      </c>
      <c r="D295" s="12" t="s">
        <v>595</v>
      </c>
      <c r="J295">
        <v>10</v>
      </c>
      <c r="K295">
        <v>2</v>
      </c>
      <c r="P295">
        <v>3</v>
      </c>
      <c r="Q295">
        <v>1</v>
      </c>
      <c r="V295" s="1" t="s">
        <v>1189</v>
      </c>
      <c r="Z295" t="s">
        <v>1190</v>
      </c>
      <c r="AA295" s="1" t="s">
        <v>1191</v>
      </c>
    </row>
    <row r="296" spans="1:27">
      <c r="A296" s="1" t="s">
        <v>1192</v>
      </c>
      <c r="B296" t="s">
        <v>446</v>
      </c>
      <c r="C296" t="s">
        <v>1193</v>
      </c>
      <c r="D296" s="12" t="s">
        <v>448</v>
      </c>
      <c r="O296">
        <v>13</v>
      </c>
      <c r="P296">
        <v>8</v>
      </c>
      <c r="Q296">
        <v>1</v>
      </c>
      <c r="U296">
        <v>6</v>
      </c>
      <c r="V296" s="1" t="s">
        <v>1179</v>
      </c>
      <c r="X296" s="23">
        <v>0.1</v>
      </c>
      <c r="Z296" t="s">
        <v>1194</v>
      </c>
      <c r="AA296" t="s">
        <v>1195</v>
      </c>
    </row>
    <row r="297" spans="1:27">
      <c r="A297" s="1" t="s">
        <v>1196</v>
      </c>
      <c r="B297" t="s">
        <v>432</v>
      </c>
      <c r="C297" t="s">
        <v>1197</v>
      </c>
      <c r="D297" s="12" t="s">
        <v>434</v>
      </c>
      <c r="F297">
        <v>12</v>
      </c>
      <c r="L297">
        <v>2</v>
      </c>
      <c r="Q297">
        <v>1</v>
      </c>
      <c r="V297" s="1" t="s">
        <v>1091</v>
      </c>
      <c r="X297" s="23">
        <v>0.05</v>
      </c>
      <c r="Z297" s="26" t="s">
        <v>1198</v>
      </c>
      <c r="AA297" s="27" t="s">
        <v>1199</v>
      </c>
    </row>
    <row r="298" spans="1:21">
      <c r="A298" s="1" t="s">
        <v>1200</v>
      </c>
      <c r="B298" t="s">
        <v>551</v>
      </c>
      <c r="C298" t="s">
        <v>1201</v>
      </c>
      <c r="D298" s="12" t="s">
        <v>553</v>
      </c>
      <c r="P298">
        <v>15</v>
      </c>
      <c r="Q298">
        <v>1</v>
      </c>
      <c r="U298">
        <v>7</v>
      </c>
    </row>
    <row r="299" spans="1:17">
      <c r="A299" s="1" t="s">
        <v>1202</v>
      </c>
      <c r="B299" t="s">
        <v>432</v>
      </c>
      <c r="C299" t="s">
        <v>1203</v>
      </c>
      <c r="D299" s="12" t="s">
        <v>434</v>
      </c>
      <c r="F299">
        <v>28</v>
      </c>
      <c r="J299">
        <v>2</v>
      </c>
      <c r="K299">
        <v>6</v>
      </c>
      <c r="L299">
        <v>4</v>
      </c>
      <c r="Q299">
        <v>1</v>
      </c>
    </row>
    <row r="300" spans="1:27">
      <c r="A300" s="1" t="s">
        <v>1204</v>
      </c>
      <c r="B300" t="s">
        <v>583</v>
      </c>
      <c r="C300" t="s">
        <v>1205</v>
      </c>
      <c r="D300" s="12" t="s">
        <v>585</v>
      </c>
      <c r="F300">
        <v>7</v>
      </c>
      <c r="K300">
        <v>2</v>
      </c>
      <c r="Q300">
        <v>1</v>
      </c>
      <c r="V300" s="1" t="s">
        <v>1091</v>
      </c>
      <c r="X300" s="23">
        <v>0.1</v>
      </c>
      <c r="Z300" s="26" t="s">
        <v>1206</v>
      </c>
      <c r="AA300" s="27" t="s">
        <v>1207</v>
      </c>
    </row>
    <row r="301" spans="1:21">
      <c r="A301" s="1" t="s">
        <v>1208</v>
      </c>
      <c r="B301" t="s">
        <v>597</v>
      </c>
      <c r="C301" t="s">
        <v>1209</v>
      </c>
      <c r="D301" s="12" t="s">
        <v>599</v>
      </c>
      <c r="F301">
        <v>11</v>
      </c>
      <c r="I301">
        <v>14</v>
      </c>
      <c r="P301">
        <v>16</v>
      </c>
      <c r="Q301">
        <v>3.9</v>
      </c>
      <c r="R301">
        <v>0.7</v>
      </c>
      <c r="T301">
        <v>27</v>
      </c>
      <c r="U301">
        <v>9</v>
      </c>
    </row>
    <row r="302" spans="1:17">
      <c r="A302" s="1" t="s">
        <v>1210</v>
      </c>
      <c r="B302" t="s">
        <v>520</v>
      </c>
      <c r="C302" t="s">
        <v>1211</v>
      </c>
      <c r="D302" s="12" t="s">
        <v>6</v>
      </c>
      <c r="G302">
        <v>17</v>
      </c>
      <c r="K302">
        <v>2</v>
      </c>
      <c r="Q302">
        <v>1</v>
      </c>
    </row>
    <row r="303" spans="1:21">
      <c r="A303" s="1" t="s">
        <v>1212</v>
      </c>
      <c r="B303" t="s">
        <v>551</v>
      </c>
      <c r="C303" t="s">
        <v>1213</v>
      </c>
      <c r="D303" s="12" t="s">
        <v>553</v>
      </c>
      <c r="O303">
        <v>6</v>
      </c>
      <c r="P303">
        <v>16</v>
      </c>
      <c r="Q303">
        <v>1</v>
      </c>
      <c r="U303">
        <v>9</v>
      </c>
    </row>
    <row r="304" spans="1:27">
      <c r="A304" s="1" t="s">
        <v>1214</v>
      </c>
      <c r="B304" t="s">
        <v>432</v>
      </c>
      <c r="C304" t="s">
        <v>1215</v>
      </c>
      <c r="D304" s="12" t="s">
        <v>434</v>
      </c>
      <c r="F304">
        <v>10</v>
      </c>
      <c r="L304">
        <v>2</v>
      </c>
      <c r="Q304">
        <v>1</v>
      </c>
      <c r="V304" s="1" t="s">
        <v>503</v>
      </c>
      <c r="X304" s="23">
        <v>0.15</v>
      </c>
      <c r="Z304" t="s">
        <v>1216</v>
      </c>
      <c r="AA304" t="s">
        <v>613</v>
      </c>
    </row>
    <row r="305" spans="1:18">
      <c r="A305" s="1" t="s">
        <v>1217</v>
      </c>
      <c r="B305" t="s">
        <v>432</v>
      </c>
      <c r="C305" t="s">
        <v>1218</v>
      </c>
      <c r="D305" s="12" t="s">
        <v>434</v>
      </c>
      <c r="F305">
        <v>31</v>
      </c>
      <c r="L305">
        <v>4</v>
      </c>
      <c r="M305">
        <v>-1</v>
      </c>
      <c r="P305">
        <v>3</v>
      </c>
      <c r="Q305">
        <v>1</v>
      </c>
      <c r="R305">
        <v>0.25</v>
      </c>
    </row>
    <row r="306" spans="1:18">
      <c r="A306" s="1" t="s">
        <v>1219</v>
      </c>
      <c r="B306" t="s">
        <v>432</v>
      </c>
      <c r="C306" t="s">
        <v>1220</v>
      </c>
      <c r="D306" s="12" t="s">
        <v>434</v>
      </c>
      <c r="F306">
        <v>3</v>
      </c>
      <c r="K306">
        <v>1</v>
      </c>
      <c r="L306">
        <v>1</v>
      </c>
      <c r="M306">
        <v>1</v>
      </c>
      <c r="P306">
        <v>15</v>
      </c>
      <c r="Q306">
        <v>3.4</v>
      </c>
      <c r="R306">
        <v>0.5</v>
      </c>
    </row>
    <row r="307" spans="1:17">
      <c r="A307" s="1" t="s">
        <v>1221</v>
      </c>
      <c r="B307" t="s">
        <v>520</v>
      </c>
      <c r="C307" t="s">
        <v>1222</v>
      </c>
      <c r="D307" s="12" t="s">
        <v>6</v>
      </c>
      <c r="G307">
        <v>13</v>
      </c>
      <c r="K307">
        <v>5</v>
      </c>
      <c r="M307">
        <v>3</v>
      </c>
      <c r="Q307">
        <v>1</v>
      </c>
    </row>
    <row r="308" spans="1:21">
      <c r="A308" s="1" t="s">
        <v>1223</v>
      </c>
      <c r="B308" t="s">
        <v>551</v>
      </c>
      <c r="C308" t="s">
        <v>1224</v>
      </c>
      <c r="D308" s="12" t="s">
        <v>553</v>
      </c>
      <c r="P308">
        <v>15</v>
      </c>
      <c r="Q308">
        <v>1</v>
      </c>
      <c r="U308">
        <v>9</v>
      </c>
    </row>
    <row r="309" spans="1:27">
      <c r="A309" s="1" t="s">
        <v>1225</v>
      </c>
      <c r="B309" t="s">
        <v>451</v>
      </c>
      <c r="C309" t="s">
        <v>1226</v>
      </c>
      <c r="D309" s="12" t="s">
        <v>453</v>
      </c>
      <c r="F309">
        <v>2</v>
      </c>
      <c r="J309">
        <v>5</v>
      </c>
      <c r="K309">
        <v>10</v>
      </c>
      <c r="P309">
        <v>4</v>
      </c>
      <c r="Q309">
        <v>1</v>
      </c>
      <c r="V309" s="1" t="s">
        <v>1227</v>
      </c>
      <c r="Z309" t="s">
        <v>1228</v>
      </c>
      <c r="AA309" s="1" t="s">
        <v>1229</v>
      </c>
    </row>
    <row r="310" spans="1:27">
      <c r="A310" s="1" t="s">
        <v>1230</v>
      </c>
      <c r="B310" t="s">
        <v>446</v>
      </c>
      <c r="C310" t="s">
        <v>1231</v>
      </c>
      <c r="D310" s="12" t="s">
        <v>448</v>
      </c>
      <c r="O310">
        <v>17</v>
      </c>
      <c r="Q310">
        <v>1</v>
      </c>
      <c r="U310">
        <v>10</v>
      </c>
      <c r="V310" s="1" t="s">
        <v>1232</v>
      </c>
      <c r="Z310" t="s">
        <v>1233</v>
      </c>
      <c r="AA310" s="1" t="s">
        <v>1234</v>
      </c>
    </row>
    <row r="311" spans="1:27">
      <c r="A311" s="1" t="s">
        <v>1235</v>
      </c>
      <c r="B311" t="s">
        <v>446</v>
      </c>
      <c r="C311" t="s">
        <v>1236</v>
      </c>
      <c r="D311" s="12" t="s">
        <v>448</v>
      </c>
      <c r="O311">
        <v>19</v>
      </c>
      <c r="P311">
        <v>3</v>
      </c>
      <c r="Q311">
        <v>1</v>
      </c>
      <c r="U311">
        <v>12</v>
      </c>
      <c r="V311" s="1" t="s">
        <v>1237</v>
      </c>
      <c r="Z311" t="s">
        <v>1238</v>
      </c>
      <c r="AA311" s="1" t="s">
        <v>1239</v>
      </c>
    </row>
    <row r="312" spans="1:27">
      <c r="A312" s="1" t="s">
        <v>1240</v>
      </c>
      <c r="B312" t="s">
        <v>597</v>
      </c>
      <c r="C312" t="s">
        <v>1241</v>
      </c>
      <c r="D312" s="12" t="s">
        <v>599</v>
      </c>
      <c r="F312">
        <v>12</v>
      </c>
      <c r="P312">
        <v>17</v>
      </c>
      <c r="Q312">
        <v>3.9</v>
      </c>
      <c r="R312">
        <v>0.7</v>
      </c>
      <c r="T312">
        <v>27</v>
      </c>
      <c r="U312">
        <v>8</v>
      </c>
      <c r="V312" s="1" t="s">
        <v>1242</v>
      </c>
      <c r="Z312" t="s">
        <v>1243</v>
      </c>
      <c r="AA312" s="1" t="s">
        <v>1244</v>
      </c>
    </row>
    <row r="313" spans="1:27">
      <c r="A313" s="1" t="s">
        <v>1245</v>
      </c>
      <c r="B313" t="s">
        <v>583</v>
      </c>
      <c r="C313" t="s">
        <v>1246</v>
      </c>
      <c r="D313" s="12" t="s">
        <v>595</v>
      </c>
      <c r="F313">
        <v>3</v>
      </c>
      <c r="J313">
        <v>6</v>
      </c>
      <c r="K313">
        <v>1</v>
      </c>
      <c r="Q313">
        <v>1</v>
      </c>
      <c r="V313" s="1" t="s">
        <v>1247</v>
      </c>
      <c r="Z313" t="s">
        <v>1248</v>
      </c>
      <c r="AA313" s="1" t="s">
        <v>1249</v>
      </c>
    </row>
    <row r="314" spans="1:18">
      <c r="A314" s="1" t="s">
        <v>1250</v>
      </c>
      <c r="B314" t="s">
        <v>432</v>
      </c>
      <c r="C314" t="s">
        <v>1251</v>
      </c>
      <c r="D314" s="12" t="s">
        <v>434</v>
      </c>
      <c r="F314">
        <v>7</v>
      </c>
      <c r="L314">
        <v>1</v>
      </c>
      <c r="M314">
        <v>1</v>
      </c>
      <c r="P314">
        <v>13</v>
      </c>
      <c r="Q314">
        <v>2.7</v>
      </c>
      <c r="R314">
        <v>0.5</v>
      </c>
    </row>
    <row r="315" spans="1:27">
      <c r="A315" s="1" t="s">
        <v>1252</v>
      </c>
      <c r="B315" t="s">
        <v>446</v>
      </c>
      <c r="C315" t="s">
        <v>1253</v>
      </c>
      <c r="D315" s="12" t="s">
        <v>448</v>
      </c>
      <c r="L315">
        <v>3</v>
      </c>
      <c r="O315">
        <v>14</v>
      </c>
      <c r="Q315">
        <v>1</v>
      </c>
      <c r="U315">
        <v>10</v>
      </c>
      <c r="V315" s="1" t="s">
        <v>1254</v>
      </c>
      <c r="Z315" t="s">
        <v>1255</v>
      </c>
      <c r="AA315" s="1" t="s">
        <v>1256</v>
      </c>
    </row>
    <row r="316" spans="1:21">
      <c r="A316" s="1" t="s">
        <v>1257</v>
      </c>
      <c r="B316" t="s">
        <v>551</v>
      </c>
      <c r="C316" t="s">
        <v>1258</v>
      </c>
      <c r="D316" s="12" t="s">
        <v>553</v>
      </c>
      <c r="O316">
        <v>4</v>
      </c>
      <c r="P316">
        <v>17</v>
      </c>
      <c r="Q316">
        <v>1</v>
      </c>
      <c r="U316">
        <v>12</v>
      </c>
    </row>
    <row r="317" spans="1:17">
      <c r="A317" s="1" t="s">
        <v>1259</v>
      </c>
      <c r="B317" t="s">
        <v>432</v>
      </c>
      <c r="C317" t="s">
        <v>1260</v>
      </c>
      <c r="D317" s="12" t="s">
        <v>434</v>
      </c>
      <c r="F317">
        <v>29</v>
      </c>
      <c r="K317">
        <v>3</v>
      </c>
      <c r="L317">
        <v>3</v>
      </c>
      <c r="Q317">
        <v>1</v>
      </c>
    </row>
    <row r="318" spans="1:27">
      <c r="A318" s="1" t="s">
        <v>1261</v>
      </c>
      <c r="B318" t="s">
        <v>446</v>
      </c>
      <c r="C318" t="s">
        <v>1262</v>
      </c>
      <c r="D318" s="12" t="s">
        <v>448</v>
      </c>
      <c r="I318">
        <v>5</v>
      </c>
      <c r="J318">
        <v>10</v>
      </c>
      <c r="K318">
        <v>3</v>
      </c>
      <c r="M318">
        <v>5</v>
      </c>
      <c r="O318">
        <v>12</v>
      </c>
      <c r="Q318">
        <v>1</v>
      </c>
      <c r="U318">
        <v>8</v>
      </c>
      <c r="V318" s="1" t="s">
        <v>1263</v>
      </c>
      <c r="X318" s="23" t="s">
        <v>1264</v>
      </c>
      <c r="Z318" t="s">
        <v>1265</v>
      </c>
      <c r="AA318" t="s">
        <v>1266</v>
      </c>
    </row>
    <row r="319" spans="1:27">
      <c r="A319" s="1" t="s">
        <v>1267</v>
      </c>
      <c r="B319" t="s">
        <v>441</v>
      </c>
      <c r="C319" t="s">
        <v>1268</v>
      </c>
      <c r="D319" s="12" t="s">
        <v>443</v>
      </c>
      <c r="M319">
        <v>2</v>
      </c>
      <c r="P319">
        <v>16</v>
      </c>
      <c r="Q319">
        <v>3.5</v>
      </c>
      <c r="R319">
        <v>0.5</v>
      </c>
      <c r="V319" s="1" t="s">
        <v>1269</v>
      </c>
      <c r="Z319" t="s">
        <v>1270</v>
      </c>
      <c r="AA319" s="1" t="s">
        <v>1271</v>
      </c>
    </row>
    <row r="320" spans="1:21">
      <c r="A320" s="1" t="s">
        <v>1272</v>
      </c>
      <c r="B320" t="s">
        <v>446</v>
      </c>
      <c r="C320" t="s">
        <v>1273</v>
      </c>
      <c r="D320" s="12" t="s">
        <v>448</v>
      </c>
      <c r="K320">
        <v>2</v>
      </c>
      <c r="O320">
        <v>25</v>
      </c>
      <c r="Q320">
        <v>1</v>
      </c>
      <c r="U320">
        <v>17</v>
      </c>
    </row>
    <row r="321" spans="1:17">
      <c r="A321" s="1" t="s">
        <v>1274</v>
      </c>
      <c r="B321" t="s">
        <v>476</v>
      </c>
      <c r="C321" t="s">
        <v>1275</v>
      </c>
      <c r="D321" t="s">
        <v>478</v>
      </c>
      <c r="I321">
        <v>15</v>
      </c>
      <c r="J321">
        <v>5</v>
      </c>
      <c r="K321">
        <v>2</v>
      </c>
      <c r="M321">
        <v>3</v>
      </c>
      <c r="Q321">
        <v>1</v>
      </c>
    </row>
    <row r="322" spans="1:27">
      <c r="A322" s="1" t="s">
        <v>1276</v>
      </c>
      <c r="B322" t="s">
        <v>508</v>
      </c>
      <c r="C322" t="s">
        <v>1277</v>
      </c>
      <c r="D322" s="12" t="s">
        <v>510</v>
      </c>
      <c r="G322">
        <v>10</v>
      </c>
      <c r="I322">
        <v>12</v>
      </c>
      <c r="J322">
        <v>15</v>
      </c>
      <c r="K322">
        <v>6</v>
      </c>
      <c r="M322">
        <v>6</v>
      </c>
      <c r="Q322">
        <v>1</v>
      </c>
      <c r="U322">
        <v>5</v>
      </c>
      <c r="V322" s="1" t="s">
        <v>1278</v>
      </c>
      <c r="W322" s="23"/>
      <c r="X322">
        <v>0.05</v>
      </c>
      <c r="Z322" t="s">
        <v>1279</v>
      </c>
      <c r="AA322" t="s">
        <v>1280</v>
      </c>
    </row>
    <row r="323" spans="1:27">
      <c r="A323" s="1" t="s">
        <v>1281</v>
      </c>
      <c r="B323" t="s">
        <v>520</v>
      </c>
      <c r="C323" t="s">
        <v>1282</v>
      </c>
      <c r="D323" s="12" t="s">
        <v>6</v>
      </c>
      <c r="G323">
        <v>8</v>
      </c>
      <c r="I323">
        <v>13</v>
      </c>
      <c r="K323">
        <v>3</v>
      </c>
      <c r="M323">
        <v>3</v>
      </c>
      <c r="Q323">
        <v>1</v>
      </c>
      <c r="V323" s="1" t="s">
        <v>1091</v>
      </c>
      <c r="X323" s="23">
        <v>0.1</v>
      </c>
      <c r="Z323" t="s">
        <v>1206</v>
      </c>
      <c r="AA323" t="s">
        <v>1207</v>
      </c>
    </row>
    <row r="324" spans="1:27">
      <c r="A324" s="1" t="s">
        <v>1283</v>
      </c>
      <c r="B324" t="s">
        <v>520</v>
      </c>
      <c r="C324" t="s">
        <v>1284</v>
      </c>
      <c r="D324" s="12" t="s">
        <v>6</v>
      </c>
      <c r="G324">
        <v>17</v>
      </c>
      <c r="K324">
        <v>7</v>
      </c>
      <c r="M324">
        <v>2</v>
      </c>
      <c r="Q324">
        <v>1</v>
      </c>
      <c r="V324" s="1" t="s">
        <v>1278</v>
      </c>
      <c r="X324">
        <v>0.1</v>
      </c>
      <c r="Z324" t="s">
        <v>1285</v>
      </c>
      <c r="AA324" s="1" t="s">
        <v>1286</v>
      </c>
    </row>
    <row r="325" spans="1:27">
      <c r="A325" s="1" t="s">
        <v>1287</v>
      </c>
      <c r="B325" t="s">
        <v>520</v>
      </c>
      <c r="C325" t="s">
        <v>1288</v>
      </c>
      <c r="D325" s="12" t="s">
        <v>6</v>
      </c>
      <c r="G325">
        <v>10</v>
      </c>
      <c r="K325">
        <v>6</v>
      </c>
      <c r="M325">
        <v>4</v>
      </c>
      <c r="Q325">
        <v>1</v>
      </c>
      <c r="V325" s="1" t="s">
        <v>1289</v>
      </c>
      <c r="Z325" t="s">
        <v>1290</v>
      </c>
      <c r="AA325" s="1" t="s">
        <v>1291</v>
      </c>
    </row>
    <row r="326" spans="1:27">
      <c r="A326" s="1" t="s">
        <v>1292</v>
      </c>
      <c r="B326" t="s">
        <v>508</v>
      </c>
      <c r="C326" t="s">
        <v>1293</v>
      </c>
      <c r="D326" s="12" t="s">
        <v>510</v>
      </c>
      <c r="G326">
        <v>11</v>
      </c>
      <c r="I326">
        <v>16</v>
      </c>
      <c r="J326">
        <v>5</v>
      </c>
      <c r="M326">
        <v>3</v>
      </c>
      <c r="Q326">
        <v>1</v>
      </c>
      <c r="U326">
        <v>5</v>
      </c>
      <c r="V326" s="1" t="s">
        <v>1294</v>
      </c>
      <c r="Z326" t="s">
        <v>1295</v>
      </c>
      <c r="AA326" s="1" t="s">
        <v>1296</v>
      </c>
    </row>
    <row r="327" spans="1:27">
      <c r="A327" s="1" t="s">
        <v>1297</v>
      </c>
      <c r="B327" t="s">
        <v>597</v>
      </c>
      <c r="C327" t="s">
        <v>1298</v>
      </c>
      <c r="D327" s="12" t="s">
        <v>599</v>
      </c>
      <c r="F327">
        <v>11</v>
      </c>
      <c r="P327">
        <v>15</v>
      </c>
      <c r="Q327">
        <v>3.5</v>
      </c>
      <c r="R327">
        <v>0.7</v>
      </c>
      <c r="T327">
        <v>19</v>
      </c>
      <c r="U327">
        <v>5</v>
      </c>
      <c r="V327" s="1" t="s">
        <v>1299</v>
      </c>
      <c r="Z327" t="s">
        <v>1300</v>
      </c>
      <c r="AA327" s="1" t="s">
        <v>1301</v>
      </c>
    </row>
    <row r="328" spans="1:27">
      <c r="A328" s="1" t="s">
        <v>1302</v>
      </c>
      <c r="B328" t="s">
        <v>583</v>
      </c>
      <c r="C328" t="s">
        <v>1303</v>
      </c>
      <c r="D328" s="12" t="s">
        <v>595</v>
      </c>
      <c r="F328">
        <v>3</v>
      </c>
      <c r="J328">
        <v>7</v>
      </c>
      <c r="K328">
        <v>5</v>
      </c>
      <c r="Q328">
        <v>1</v>
      </c>
      <c r="V328" s="1" t="s">
        <v>1304</v>
      </c>
      <c r="Z328" t="s">
        <v>1305</v>
      </c>
      <c r="AA328" s="1" t="s">
        <v>1306</v>
      </c>
    </row>
    <row r="329" spans="1:17">
      <c r="A329" s="1" t="s">
        <v>1307</v>
      </c>
      <c r="B329" t="s">
        <v>520</v>
      </c>
      <c r="C329" t="s">
        <v>1308</v>
      </c>
      <c r="D329" s="12" t="s">
        <v>6</v>
      </c>
      <c r="G329">
        <v>12</v>
      </c>
      <c r="K329">
        <v>7</v>
      </c>
      <c r="Q329">
        <v>1</v>
      </c>
    </row>
    <row r="330" spans="1:17">
      <c r="A330" s="1" t="s">
        <v>1309</v>
      </c>
      <c r="B330" t="s">
        <v>476</v>
      </c>
      <c r="C330" t="s">
        <v>1310</v>
      </c>
      <c r="D330" s="12" t="s">
        <v>478</v>
      </c>
      <c r="F330">
        <v>4</v>
      </c>
      <c r="I330">
        <v>17</v>
      </c>
      <c r="L330">
        <v>1</v>
      </c>
      <c r="M330">
        <v>3</v>
      </c>
      <c r="Q330">
        <v>1</v>
      </c>
    </row>
    <row r="331" spans="1:21">
      <c r="A331" s="1" t="s">
        <v>1311</v>
      </c>
      <c r="B331" t="s">
        <v>551</v>
      </c>
      <c r="C331" t="s">
        <v>1312</v>
      </c>
      <c r="D331" s="12" t="s">
        <v>553</v>
      </c>
      <c r="P331">
        <v>16</v>
      </c>
      <c r="Q331">
        <v>1</v>
      </c>
      <c r="U331">
        <v>10</v>
      </c>
    </row>
    <row r="332" spans="1:17">
      <c r="A332" s="1" t="s">
        <v>1313</v>
      </c>
      <c r="B332" t="s">
        <v>432</v>
      </c>
      <c r="C332" t="s">
        <v>1314</v>
      </c>
      <c r="D332" s="12" t="s">
        <v>434</v>
      </c>
      <c r="F332">
        <v>31</v>
      </c>
      <c r="H332">
        <v>1</v>
      </c>
      <c r="L332">
        <v>3</v>
      </c>
      <c r="Q332">
        <v>1</v>
      </c>
    </row>
    <row r="333" spans="1:27">
      <c r="A333" s="1" t="s">
        <v>1315</v>
      </c>
      <c r="B333" t="s">
        <v>587</v>
      </c>
      <c r="C333" t="s">
        <v>1316</v>
      </c>
      <c r="D333" s="12" t="s">
        <v>589</v>
      </c>
      <c r="F333">
        <v>22</v>
      </c>
      <c r="Q333">
        <v>1</v>
      </c>
      <c r="S333">
        <v>23</v>
      </c>
      <c r="U333">
        <v>8</v>
      </c>
      <c r="V333" s="1" t="s">
        <v>1317</v>
      </c>
      <c r="Z333" t="s">
        <v>1318</v>
      </c>
      <c r="AA333" s="1" t="s">
        <v>1319</v>
      </c>
    </row>
    <row r="334" spans="1:17">
      <c r="A334" s="1" t="s">
        <v>1320</v>
      </c>
      <c r="B334" t="s">
        <v>476</v>
      </c>
      <c r="C334" t="s">
        <v>1321</v>
      </c>
      <c r="D334" t="s">
        <v>478</v>
      </c>
      <c r="F334">
        <v>3</v>
      </c>
      <c r="I334">
        <v>18</v>
      </c>
      <c r="M334">
        <v>5</v>
      </c>
      <c r="N334">
        <v>2</v>
      </c>
      <c r="Q334">
        <v>1</v>
      </c>
    </row>
    <row r="335" spans="1:27">
      <c r="A335" s="1" t="s">
        <v>1322</v>
      </c>
      <c r="B335" t="s">
        <v>520</v>
      </c>
      <c r="C335" t="s">
        <v>1323</v>
      </c>
      <c r="D335" t="s">
        <v>6</v>
      </c>
      <c r="G335">
        <v>18</v>
      </c>
      <c r="K335">
        <v>-1</v>
      </c>
      <c r="Q335">
        <v>1</v>
      </c>
      <c r="V335" s="1" t="s">
        <v>1091</v>
      </c>
      <c r="X335" s="23">
        <v>0.05</v>
      </c>
      <c r="Z335" t="s">
        <v>1198</v>
      </c>
      <c r="AA335" t="s">
        <v>1199</v>
      </c>
    </row>
    <row r="336" spans="1:21">
      <c r="A336" s="1" t="s">
        <v>1324</v>
      </c>
      <c r="B336" t="s">
        <v>508</v>
      </c>
      <c r="C336" t="s">
        <v>1325</v>
      </c>
      <c r="D336" s="12" t="s">
        <v>510</v>
      </c>
      <c r="G336">
        <v>12</v>
      </c>
      <c r="I336">
        <v>8</v>
      </c>
      <c r="J336">
        <v>3</v>
      </c>
      <c r="Q336">
        <v>1</v>
      </c>
      <c r="U336">
        <v>4</v>
      </c>
    </row>
    <row r="337" spans="1:21">
      <c r="A337" s="1" t="s">
        <v>1326</v>
      </c>
      <c r="B337" t="s">
        <v>446</v>
      </c>
      <c r="C337" t="s">
        <v>1327</v>
      </c>
      <c r="D337" s="12" t="s">
        <v>448</v>
      </c>
      <c r="I337">
        <v>3</v>
      </c>
      <c r="J337">
        <v>2</v>
      </c>
      <c r="O337">
        <v>14</v>
      </c>
      <c r="Q337">
        <v>1</v>
      </c>
      <c r="U337">
        <v>9</v>
      </c>
    </row>
    <row r="338" spans="1:27">
      <c r="A338" s="1" t="s">
        <v>1328</v>
      </c>
      <c r="B338" t="s">
        <v>446</v>
      </c>
      <c r="C338" t="s">
        <v>1329</v>
      </c>
      <c r="D338" s="12" t="s">
        <v>448</v>
      </c>
      <c r="O338">
        <v>20</v>
      </c>
      <c r="P338">
        <v>5</v>
      </c>
      <c r="Q338">
        <v>1</v>
      </c>
      <c r="U338">
        <v>15</v>
      </c>
      <c r="V338" s="1" t="s">
        <v>1091</v>
      </c>
      <c r="X338">
        <v>0.1</v>
      </c>
      <c r="Z338" t="s">
        <v>1206</v>
      </c>
      <c r="AA338" s="1" t="s">
        <v>1207</v>
      </c>
    </row>
    <row r="339" spans="1:27">
      <c r="A339" s="1" t="s">
        <v>1330</v>
      </c>
      <c r="B339" t="s">
        <v>476</v>
      </c>
      <c r="C339" t="s">
        <v>1331</v>
      </c>
      <c r="D339" t="s">
        <v>478</v>
      </c>
      <c r="F339">
        <v>11</v>
      </c>
      <c r="I339">
        <v>15</v>
      </c>
      <c r="K339">
        <v>3</v>
      </c>
      <c r="Q339">
        <v>1</v>
      </c>
      <c r="V339" s="1" t="s">
        <v>1091</v>
      </c>
      <c r="X339" s="23">
        <v>0.05</v>
      </c>
      <c r="Z339" t="s">
        <v>1198</v>
      </c>
      <c r="AA339" t="s">
        <v>1199</v>
      </c>
    </row>
    <row r="340" spans="1:27">
      <c r="A340" s="1" t="s">
        <v>1332</v>
      </c>
      <c r="B340" t="s">
        <v>446</v>
      </c>
      <c r="C340" t="s">
        <v>1333</v>
      </c>
      <c r="D340" s="12" t="s">
        <v>448</v>
      </c>
      <c r="L340">
        <v>2</v>
      </c>
      <c r="M340">
        <v>1</v>
      </c>
      <c r="O340">
        <v>14</v>
      </c>
      <c r="P340">
        <v>7</v>
      </c>
      <c r="Q340">
        <v>1</v>
      </c>
      <c r="U340">
        <v>6</v>
      </c>
      <c r="V340" s="1" t="s">
        <v>1179</v>
      </c>
      <c r="X340" s="23">
        <v>0.1</v>
      </c>
      <c r="Z340" t="s">
        <v>1194</v>
      </c>
      <c r="AA340" t="s">
        <v>1195</v>
      </c>
    </row>
    <row r="341" spans="1:27">
      <c r="A341" s="1" t="s">
        <v>1334</v>
      </c>
      <c r="B341" t="s">
        <v>508</v>
      </c>
      <c r="C341" t="s">
        <v>1335</v>
      </c>
      <c r="D341" s="12" t="s">
        <v>510</v>
      </c>
      <c r="G341">
        <v>17</v>
      </c>
      <c r="I341">
        <v>3</v>
      </c>
      <c r="K341">
        <v>2</v>
      </c>
      <c r="Q341">
        <v>1</v>
      </c>
      <c r="U341">
        <v>6</v>
      </c>
      <c r="V341" s="1" t="s">
        <v>1336</v>
      </c>
      <c r="X341">
        <v>0.5</v>
      </c>
      <c r="Z341" t="s">
        <v>1337</v>
      </c>
      <c r="AA341" s="1" t="s">
        <v>1338</v>
      </c>
    </row>
    <row r="342" spans="1:27">
      <c r="A342" s="1" t="s">
        <v>1339</v>
      </c>
      <c r="B342" t="s">
        <v>508</v>
      </c>
      <c r="C342" t="s">
        <v>1340</v>
      </c>
      <c r="D342" s="12" t="s">
        <v>510</v>
      </c>
      <c r="G342">
        <v>19</v>
      </c>
      <c r="I342">
        <v>3</v>
      </c>
      <c r="Q342">
        <v>1</v>
      </c>
      <c r="U342">
        <v>9</v>
      </c>
      <c r="V342" s="1" t="s">
        <v>1336</v>
      </c>
      <c r="X342">
        <v>0.4</v>
      </c>
      <c r="Z342" t="s">
        <v>1341</v>
      </c>
      <c r="AA342" s="1" t="s">
        <v>1342</v>
      </c>
    </row>
    <row r="343" spans="1:27">
      <c r="A343" s="1" t="s">
        <v>1343</v>
      </c>
      <c r="B343" t="s">
        <v>446</v>
      </c>
      <c r="C343" t="s">
        <v>1344</v>
      </c>
      <c r="D343" s="12" t="s">
        <v>448</v>
      </c>
      <c r="J343">
        <v>2</v>
      </c>
      <c r="K343">
        <v>3</v>
      </c>
      <c r="O343">
        <v>13</v>
      </c>
      <c r="Q343">
        <v>1</v>
      </c>
      <c r="U343">
        <v>5</v>
      </c>
      <c r="V343" s="1" t="s">
        <v>1345</v>
      </c>
      <c r="Z343" t="s">
        <v>1346</v>
      </c>
      <c r="AA343" s="1" t="s">
        <v>1347</v>
      </c>
    </row>
    <row r="344" spans="1:27">
      <c r="A344" s="1" t="s">
        <v>1348</v>
      </c>
      <c r="B344" t="s">
        <v>441</v>
      </c>
      <c r="C344" t="s">
        <v>1349</v>
      </c>
      <c r="D344" s="12" t="s">
        <v>443</v>
      </c>
      <c r="F344">
        <v>4</v>
      </c>
      <c r="J344">
        <v>5</v>
      </c>
      <c r="K344">
        <v>2</v>
      </c>
      <c r="M344">
        <v>3</v>
      </c>
      <c r="P344">
        <v>12</v>
      </c>
      <c r="Q344">
        <v>4</v>
      </c>
      <c r="R344">
        <v>0.5</v>
      </c>
      <c r="V344" s="1" t="s">
        <v>1350</v>
      </c>
      <c r="Z344" t="s">
        <v>1351</v>
      </c>
      <c r="AA344" s="1" t="s">
        <v>1352</v>
      </c>
    </row>
    <row r="345" spans="1:21">
      <c r="A345" s="1" t="s">
        <v>1353</v>
      </c>
      <c r="B345" t="s">
        <v>597</v>
      </c>
      <c r="C345" t="s">
        <v>1354</v>
      </c>
      <c r="D345" s="12" t="s">
        <v>599</v>
      </c>
      <c r="F345">
        <v>14</v>
      </c>
      <c r="P345">
        <v>16</v>
      </c>
      <c r="Q345">
        <v>3.8</v>
      </c>
      <c r="R345">
        <v>0.8</v>
      </c>
      <c r="T345">
        <v>21</v>
      </c>
      <c r="U345">
        <v>6</v>
      </c>
    </row>
    <row r="346" spans="1:17">
      <c r="A346" s="1" t="s">
        <v>1355</v>
      </c>
      <c r="B346" t="s">
        <v>583</v>
      </c>
      <c r="C346" t="s">
        <v>1356</v>
      </c>
      <c r="D346" s="12" t="s">
        <v>595</v>
      </c>
      <c r="F346">
        <v>2</v>
      </c>
      <c r="J346">
        <v>3</v>
      </c>
      <c r="K346">
        <v>2</v>
      </c>
      <c r="Q346">
        <v>1</v>
      </c>
    </row>
    <row r="347" spans="1:27">
      <c r="A347" s="1" t="s">
        <v>1357</v>
      </c>
      <c r="B347" t="s">
        <v>446</v>
      </c>
      <c r="C347" t="s">
        <v>1358</v>
      </c>
      <c r="D347" s="12" t="s">
        <v>448</v>
      </c>
      <c r="K347">
        <v>2</v>
      </c>
      <c r="O347">
        <v>16</v>
      </c>
      <c r="Q347">
        <v>1</v>
      </c>
      <c r="U347">
        <v>7</v>
      </c>
      <c r="V347" s="1" t="s">
        <v>1359</v>
      </c>
      <c r="Z347" t="s">
        <v>1360</v>
      </c>
      <c r="AA347" s="1" t="s">
        <v>1361</v>
      </c>
    </row>
    <row r="348" spans="1:17">
      <c r="A348" s="1" t="s">
        <v>1362</v>
      </c>
      <c r="B348" t="s">
        <v>432</v>
      </c>
      <c r="C348" t="s">
        <v>1363</v>
      </c>
      <c r="D348" s="12" t="s">
        <v>434</v>
      </c>
      <c r="F348">
        <v>27</v>
      </c>
      <c r="K348">
        <v>3</v>
      </c>
      <c r="L348">
        <v>3</v>
      </c>
      <c r="Q348">
        <v>1</v>
      </c>
    </row>
    <row r="349" spans="1:27">
      <c r="A349" s="1" t="s">
        <v>1364</v>
      </c>
      <c r="B349" t="s">
        <v>1131</v>
      </c>
      <c r="C349" t="s">
        <v>1365</v>
      </c>
      <c r="D349" s="12" t="s">
        <v>1133</v>
      </c>
      <c r="F349">
        <v>25</v>
      </c>
      <c r="Q349">
        <v>1</v>
      </c>
      <c r="S349">
        <v>22</v>
      </c>
      <c r="U349">
        <v>12</v>
      </c>
      <c r="V349" s="1" t="s">
        <v>1366</v>
      </c>
      <c r="Z349" t="s">
        <v>1367</v>
      </c>
      <c r="AA349" s="1" t="s">
        <v>1368</v>
      </c>
    </row>
    <row r="350" spans="1:27">
      <c r="A350" s="1" t="s">
        <v>1369</v>
      </c>
      <c r="B350" t="s">
        <v>583</v>
      </c>
      <c r="C350" t="s">
        <v>1370</v>
      </c>
      <c r="D350" s="12" t="s">
        <v>585</v>
      </c>
      <c r="F350">
        <v>4</v>
      </c>
      <c r="K350">
        <v>2</v>
      </c>
      <c r="Q350">
        <v>1</v>
      </c>
      <c r="V350" s="1" t="s">
        <v>1371</v>
      </c>
      <c r="Z350" t="s">
        <v>1372</v>
      </c>
      <c r="AA350" s="1" t="s">
        <v>1373</v>
      </c>
    </row>
    <row r="351" spans="1:21">
      <c r="A351" s="1" t="s">
        <v>1374</v>
      </c>
      <c r="B351" t="s">
        <v>551</v>
      </c>
      <c r="C351" t="s">
        <v>1375</v>
      </c>
      <c r="D351" s="12" t="s">
        <v>553</v>
      </c>
      <c r="O351">
        <v>2</v>
      </c>
      <c r="P351">
        <v>17</v>
      </c>
      <c r="Q351">
        <v>1</v>
      </c>
      <c r="U351">
        <v>9</v>
      </c>
    </row>
    <row r="352" spans="1:21">
      <c r="A352" s="1" t="s">
        <v>1376</v>
      </c>
      <c r="B352" t="s">
        <v>551</v>
      </c>
      <c r="C352" t="s">
        <v>1377</v>
      </c>
      <c r="D352" s="12" t="s">
        <v>553</v>
      </c>
      <c r="O352">
        <v>10</v>
      </c>
      <c r="P352">
        <v>19</v>
      </c>
      <c r="Q352">
        <v>1</v>
      </c>
      <c r="U352">
        <v>12</v>
      </c>
    </row>
    <row r="353" spans="1:21">
      <c r="A353" s="1" t="s">
        <v>1378</v>
      </c>
      <c r="B353" t="s">
        <v>446</v>
      </c>
      <c r="C353" t="s">
        <v>1379</v>
      </c>
      <c r="D353" s="12" t="s">
        <v>448</v>
      </c>
      <c r="K353">
        <v>3</v>
      </c>
      <c r="O353">
        <v>26</v>
      </c>
      <c r="Q353">
        <v>1</v>
      </c>
      <c r="U353">
        <v>15</v>
      </c>
    </row>
    <row r="354" spans="1:27">
      <c r="A354" s="1" t="s">
        <v>1380</v>
      </c>
      <c r="B354" t="s">
        <v>446</v>
      </c>
      <c r="C354" t="s">
        <v>1381</v>
      </c>
      <c r="D354" s="12" t="s">
        <v>448</v>
      </c>
      <c r="O354">
        <v>22</v>
      </c>
      <c r="Q354">
        <v>1</v>
      </c>
      <c r="U354">
        <v>14</v>
      </c>
      <c r="V354" s="1" t="s">
        <v>1382</v>
      </c>
      <c r="Z354" t="s">
        <v>1383</v>
      </c>
      <c r="AA354" s="1" t="s">
        <v>1384</v>
      </c>
    </row>
    <row r="355" spans="1:27">
      <c r="A355" s="1" t="s">
        <v>1385</v>
      </c>
      <c r="B355" t="s">
        <v>583</v>
      </c>
      <c r="C355" t="s">
        <v>1386</v>
      </c>
      <c r="D355" s="12" t="s">
        <v>585</v>
      </c>
      <c r="F355">
        <v>9</v>
      </c>
      <c r="K355">
        <v>3</v>
      </c>
      <c r="Q355">
        <v>1</v>
      </c>
      <c r="V355" s="1" t="s">
        <v>1387</v>
      </c>
      <c r="Z355" t="s">
        <v>1388</v>
      </c>
      <c r="AA355" s="1" t="s">
        <v>1389</v>
      </c>
    </row>
    <row r="356" spans="1:17">
      <c r="A356" s="1" t="s">
        <v>1390</v>
      </c>
      <c r="B356" t="s">
        <v>432</v>
      </c>
      <c r="C356" t="s">
        <v>1391</v>
      </c>
      <c r="D356" t="s">
        <v>434</v>
      </c>
      <c r="E356">
        <v>1</v>
      </c>
      <c r="F356">
        <v>23</v>
      </c>
      <c r="L356">
        <v>3</v>
      </c>
      <c r="Q356">
        <v>1</v>
      </c>
    </row>
    <row r="357" spans="1:26">
      <c r="A357" s="1" t="s">
        <v>1392</v>
      </c>
      <c r="B357" t="s">
        <v>432</v>
      </c>
      <c r="C357" t="s">
        <v>1393</v>
      </c>
      <c r="D357" t="s">
        <v>434</v>
      </c>
      <c r="F357">
        <v>5</v>
      </c>
      <c r="P357">
        <v>15</v>
      </c>
      <c r="Q357">
        <v>4.5</v>
      </c>
      <c r="R357">
        <v>0.5</v>
      </c>
      <c r="Z357" t="s">
        <v>1394</v>
      </c>
    </row>
    <row r="358" spans="1:26">
      <c r="A358" s="1" t="s">
        <v>1395</v>
      </c>
      <c r="B358" t="s">
        <v>551</v>
      </c>
      <c r="C358" t="s">
        <v>1396</v>
      </c>
      <c r="D358" t="s">
        <v>553</v>
      </c>
      <c r="M358">
        <v>6</v>
      </c>
      <c r="P358">
        <v>13</v>
      </c>
      <c r="Q358">
        <v>1</v>
      </c>
      <c r="U358">
        <v>5</v>
      </c>
      <c r="Z358" t="s">
        <v>449</v>
      </c>
    </row>
    <row r="359" spans="1:27">
      <c r="A359" s="1" t="s">
        <v>1397</v>
      </c>
      <c r="B359" t="s">
        <v>432</v>
      </c>
      <c r="C359" t="s">
        <v>1398</v>
      </c>
      <c r="D359" s="12" t="s">
        <v>434</v>
      </c>
      <c r="F359">
        <v>12</v>
      </c>
      <c r="K359">
        <v>2</v>
      </c>
      <c r="L359">
        <v>2</v>
      </c>
      <c r="Q359">
        <v>1</v>
      </c>
      <c r="V359" s="1" t="s">
        <v>503</v>
      </c>
      <c r="X359" s="23">
        <v>0.2</v>
      </c>
      <c r="AA359" t="s">
        <v>506</v>
      </c>
    </row>
    <row r="360" spans="1:27">
      <c r="A360" s="1" t="s">
        <v>1399</v>
      </c>
      <c r="B360" t="s">
        <v>520</v>
      </c>
      <c r="C360" t="s">
        <v>1400</v>
      </c>
      <c r="D360" t="s">
        <v>6</v>
      </c>
      <c r="G360">
        <v>18</v>
      </c>
      <c r="Q360">
        <v>1</v>
      </c>
      <c r="V360" s="1" t="s">
        <v>1401</v>
      </c>
      <c r="Z360" t="s">
        <v>1402</v>
      </c>
      <c r="AA360" s="1" t="s">
        <v>1403</v>
      </c>
    </row>
    <row r="361" spans="1:27">
      <c r="A361" s="1" t="s">
        <v>1404</v>
      </c>
      <c r="B361" t="s">
        <v>587</v>
      </c>
      <c r="C361" t="s">
        <v>1405</v>
      </c>
      <c r="D361" s="12" t="s">
        <v>589</v>
      </c>
      <c r="F361">
        <v>23</v>
      </c>
      <c r="M361">
        <v>1</v>
      </c>
      <c r="Q361">
        <v>1</v>
      </c>
      <c r="S361">
        <v>29</v>
      </c>
      <c r="U361">
        <v>8</v>
      </c>
      <c r="V361" s="1" t="s">
        <v>1406</v>
      </c>
      <c r="Z361" t="s">
        <v>1407</v>
      </c>
      <c r="AA361" s="1" t="s">
        <v>1408</v>
      </c>
    </row>
    <row r="362" spans="1:27">
      <c r="A362" s="1" t="s">
        <v>1409</v>
      </c>
      <c r="B362" t="s">
        <v>446</v>
      </c>
      <c r="C362" t="s">
        <v>1410</v>
      </c>
      <c r="D362" s="12" t="s">
        <v>448</v>
      </c>
      <c r="K362">
        <v>3</v>
      </c>
      <c r="L362">
        <v>3</v>
      </c>
      <c r="O362">
        <v>12</v>
      </c>
      <c r="Q362">
        <v>1</v>
      </c>
      <c r="U362">
        <v>5</v>
      </c>
      <c r="V362" s="1" t="s">
        <v>503</v>
      </c>
      <c r="X362" s="23">
        <v>0.15</v>
      </c>
      <c r="AA362" t="s">
        <v>613</v>
      </c>
    </row>
    <row r="363" spans="1:17">
      <c r="A363" s="1" t="s">
        <v>1411</v>
      </c>
      <c r="B363" t="s">
        <v>520</v>
      </c>
      <c r="C363" t="s">
        <v>1412</v>
      </c>
      <c r="D363" t="s">
        <v>6</v>
      </c>
      <c r="G363">
        <v>14</v>
      </c>
      <c r="I363">
        <v>7</v>
      </c>
      <c r="K363">
        <v>2</v>
      </c>
      <c r="Q363">
        <v>1</v>
      </c>
    </row>
    <row r="364" spans="1:21">
      <c r="A364" s="1" t="s">
        <v>1413</v>
      </c>
      <c r="B364" t="s">
        <v>446</v>
      </c>
      <c r="C364" t="s">
        <v>1414</v>
      </c>
      <c r="D364" s="12" t="s">
        <v>448</v>
      </c>
      <c r="K364">
        <v>2</v>
      </c>
      <c r="O364">
        <v>27</v>
      </c>
      <c r="Q364">
        <v>1</v>
      </c>
      <c r="U364">
        <v>20</v>
      </c>
    </row>
    <row r="365" spans="1:17">
      <c r="A365" s="1" t="s">
        <v>1415</v>
      </c>
      <c r="B365" t="s">
        <v>432</v>
      </c>
      <c r="C365" t="s">
        <v>1416</v>
      </c>
      <c r="D365" s="12" t="s">
        <v>434</v>
      </c>
      <c r="F365">
        <v>32</v>
      </c>
      <c r="L365">
        <v>3</v>
      </c>
      <c r="Q365">
        <v>1</v>
      </c>
    </row>
    <row r="366" spans="1:27">
      <c r="A366" s="1" t="s">
        <v>1417</v>
      </c>
      <c r="B366" t="s">
        <v>446</v>
      </c>
      <c r="C366" t="s">
        <v>1418</v>
      </c>
      <c r="D366" s="12" t="s">
        <v>448</v>
      </c>
      <c r="O366">
        <v>22</v>
      </c>
      <c r="P366">
        <v>5</v>
      </c>
      <c r="Q366">
        <v>1</v>
      </c>
      <c r="U366">
        <v>18</v>
      </c>
      <c r="V366" s="1" t="s">
        <v>503</v>
      </c>
      <c r="X366" s="23">
        <v>0.15</v>
      </c>
      <c r="AA366" t="s">
        <v>613</v>
      </c>
    </row>
    <row r="367" spans="1:27">
      <c r="A367" s="1" t="s">
        <v>1419</v>
      </c>
      <c r="B367" t="s">
        <v>520</v>
      </c>
      <c r="C367" t="s">
        <v>1420</v>
      </c>
      <c r="D367" t="s">
        <v>6</v>
      </c>
      <c r="G367">
        <v>15</v>
      </c>
      <c r="K367">
        <v>3</v>
      </c>
      <c r="M367">
        <v>4</v>
      </c>
      <c r="Q367">
        <v>1</v>
      </c>
      <c r="V367" s="1" t="s">
        <v>1421</v>
      </c>
      <c r="Z367" t="s">
        <v>1422</v>
      </c>
      <c r="AA367" s="1" t="s">
        <v>1423</v>
      </c>
    </row>
    <row r="368" spans="1:27">
      <c r="A368" s="1" t="s">
        <v>1424</v>
      </c>
      <c r="B368" t="s">
        <v>587</v>
      </c>
      <c r="C368" t="s">
        <v>1425</v>
      </c>
      <c r="D368" s="12" t="s">
        <v>589</v>
      </c>
      <c r="F368">
        <v>22</v>
      </c>
      <c r="M368">
        <v>1</v>
      </c>
      <c r="Q368">
        <v>1</v>
      </c>
      <c r="S368">
        <v>23</v>
      </c>
      <c r="U368">
        <v>9</v>
      </c>
      <c r="V368" s="1" t="s">
        <v>1426</v>
      </c>
      <c r="Z368" t="s">
        <v>1427</v>
      </c>
      <c r="AA368" s="1" t="s">
        <v>1428</v>
      </c>
    </row>
    <row r="369" spans="1:27">
      <c r="A369" s="1" t="s">
        <v>1429</v>
      </c>
      <c r="B369" t="s">
        <v>583</v>
      </c>
      <c r="C369" t="s">
        <v>1430</v>
      </c>
      <c r="D369" s="12" t="s">
        <v>585</v>
      </c>
      <c r="F369">
        <v>4</v>
      </c>
      <c r="K369">
        <v>2</v>
      </c>
      <c r="Q369">
        <v>1</v>
      </c>
      <c r="V369" s="1" t="s">
        <v>1431</v>
      </c>
      <c r="Z369" t="s">
        <v>1432</v>
      </c>
      <c r="AA369" s="1" t="s">
        <v>1433</v>
      </c>
    </row>
    <row r="370" spans="1:21">
      <c r="A370" s="1" t="s">
        <v>1434</v>
      </c>
      <c r="B370" t="s">
        <v>597</v>
      </c>
      <c r="C370" t="s">
        <v>1435</v>
      </c>
      <c r="D370" s="12" t="s">
        <v>599</v>
      </c>
      <c r="F370">
        <v>23</v>
      </c>
      <c r="P370">
        <v>16</v>
      </c>
      <c r="Q370">
        <v>3.8</v>
      </c>
      <c r="R370">
        <v>0.8</v>
      </c>
      <c r="T370">
        <v>19</v>
      </c>
      <c r="U370">
        <v>7</v>
      </c>
    </row>
    <row r="371" spans="1:17">
      <c r="A371" s="1" t="s">
        <v>1436</v>
      </c>
      <c r="B371" t="s">
        <v>583</v>
      </c>
      <c r="C371" t="s">
        <v>1437</v>
      </c>
      <c r="D371" s="12" t="s">
        <v>595</v>
      </c>
      <c r="F371">
        <v>3</v>
      </c>
      <c r="J371">
        <v>3</v>
      </c>
      <c r="K371">
        <v>2</v>
      </c>
      <c r="Q371">
        <v>1</v>
      </c>
    </row>
    <row r="372" spans="1:17">
      <c r="A372" s="1" t="s">
        <v>1438</v>
      </c>
      <c r="B372" t="s">
        <v>476</v>
      </c>
      <c r="C372" t="s">
        <v>1439</v>
      </c>
      <c r="D372" s="12" t="s">
        <v>478</v>
      </c>
      <c r="G372">
        <v>11</v>
      </c>
      <c r="I372">
        <v>11</v>
      </c>
      <c r="K372">
        <v>2</v>
      </c>
      <c r="Q372">
        <v>1</v>
      </c>
    </row>
    <row r="373" spans="1:27">
      <c r="A373" s="1" t="s">
        <v>1440</v>
      </c>
      <c r="B373" t="s">
        <v>520</v>
      </c>
      <c r="C373" t="s">
        <v>1441</v>
      </c>
      <c r="D373" t="s">
        <v>6</v>
      </c>
      <c r="G373">
        <v>23</v>
      </c>
      <c r="Q373">
        <v>1</v>
      </c>
      <c r="V373" s="1" t="s">
        <v>1442</v>
      </c>
      <c r="Z373" t="s">
        <v>1443</v>
      </c>
      <c r="AA373" s="1" t="s">
        <v>1444</v>
      </c>
    </row>
    <row r="374" spans="1:27">
      <c r="A374" s="1" t="s">
        <v>1445</v>
      </c>
      <c r="B374" t="s">
        <v>520</v>
      </c>
      <c r="C374" t="s">
        <v>1446</v>
      </c>
      <c r="D374" t="s">
        <v>6</v>
      </c>
      <c r="G374">
        <v>15</v>
      </c>
      <c r="K374">
        <v>1</v>
      </c>
      <c r="L374">
        <v>3</v>
      </c>
      <c r="M374">
        <v>1</v>
      </c>
      <c r="Q374">
        <v>1</v>
      </c>
      <c r="V374" s="1" t="s">
        <v>1091</v>
      </c>
      <c r="X374" s="23">
        <v>0.15</v>
      </c>
      <c r="AA374" t="s">
        <v>1447</v>
      </c>
    </row>
    <row r="375" s="13" customFormat="1" spans="1:27">
      <c r="A375" s="16" t="s">
        <v>1448</v>
      </c>
      <c r="B375" s="13" t="s">
        <v>520</v>
      </c>
      <c r="C375" s="13" t="s">
        <v>1449</v>
      </c>
      <c r="D375" s="13" t="s">
        <v>6</v>
      </c>
      <c r="G375" s="13">
        <v>15</v>
      </c>
      <c r="K375" s="13">
        <v>3</v>
      </c>
      <c r="M375" s="13">
        <v>7</v>
      </c>
      <c r="Q375" s="13">
        <v>1</v>
      </c>
      <c r="V375" s="16" t="s">
        <v>1450</v>
      </c>
      <c r="X375" s="28"/>
      <c r="Z375" t="s">
        <v>1451</v>
      </c>
      <c r="AA375" s="13" t="s">
        <v>1452</v>
      </c>
    </row>
    <row r="376" spans="1:27">
      <c r="A376" s="16" t="s">
        <v>1453</v>
      </c>
      <c r="B376" t="s">
        <v>432</v>
      </c>
      <c r="C376" t="s">
        <v>1454</v>
      </c>
      <c r="D376" s="12" t="s">
        <v>434</v>
      </c>
      <c r="F376">
        <v>28</v>
      </c>
      <c r="J376">
        <v>2</v>
      </c>
      <c r="K376">
        <v>5</v>
      </c>
      <c r="L376">
        <v>3</v>
      </c>
      <c r="P376">
        <v>8</v>
      </c>
      <c r="Q376">
        <v>2</v>
      </c>
      <c r="R376">
        <v>0.5</v>
      </c>
      <c r="V376" s="1" t="s">
        <v>1455</v>
      </c>
      <c r="Z376" t="s">
        <v>1456</v>
      </c>
      <c r="AA376" s="1" t="s">
        <v>1457</v>
      </c>
    </row>
    <row r="377" spans="1:26">
      <c r="A377" s="16" t="s">
        <v>1458</v>
      </c>
      <c r="B377" t="s">
        <v>441</v>
      </c>
      <c r="C377" t="s">
        <v>1459</v>
      </c>
      <c r="D377" t="s">
        <v>443</v>
      </c>
      <c r="F377">
        <v>1</v>
      </c>
      <c r="M377">
        <v>3</v>
      </c>
      <c r="N377">
        <v>3</v>
      </c>
      <c r="P377">
        <v>7</v>
      </c>
      <c r="Q377">
        <v>3</v>
      </c>
      <c r="R377">
        <v>0.4</v>
      </c>
      <c r="Z377" t="s">
        <v>1460</v>
      </c>
    </row>
    <row r="378" spans="1:21">
      <c r="A378" s="16" t="s">
        <v>1461</v>
      </c>
      <c r="B378" t="s">
        <v>446</v>
      </c>
      <c r="C378" t="s">
        <v>1462</v>
      </c>
      <c r="D378" s="12" t="s">
        <v>448</v>
      </c>
      <c r="K378">
        <v>3</v>
      </c>
      <c r="O378">
        <v>16</v>
      </c>
      <c r="Q378">
        <v>1</v>
      </c>
      <c r="U378">
        <v>10</v>
      </c>
    </row>
    <row r="379" spans="1:17">
      <c r="A379" s="16" t="s">
        <v>1463</v>
      </c>
      <c r="B379" t="s">
        <v>432</v>
      </c>
      <c r="C379" t="s">
        <v>1464</v>
      </c>
      <c r="D379" s="12" t="s">
        <v>434</v>
      </c>
      <c r="F379">
        <v>29</v>
      </c>
      <c r="K379">
        <v>2</v>
      </c>
      <c r="L379">
        <v>3</v>
      </c>
      <c r="Q379">
        <v>1</v>
      </c>
    </row>
    <row r="380" spans="1:27">
      <c r="A380" s="16" t="s">
        <v>1465</v>
      </c>
      <c r="B380" t="s">
        <v>446</v>
      </c>
      <c r="C380" t="s">
        <v>1466</v>
      </c>
      <c r="D380" s="12" t="s">
        <v>448</v>
      </c>
      <c r="I380">
        <v>2</v>
      </c>
      <c r="O380">
        <v>18</v>
      </c>
      <c r="Q380">
        <v>1</v>
      </c>
      <c r="U380">
        <v>7</v>
      </c>
      <c r="V380" s="1" t="s">
        <v>503</v>
      </c>
      <c r="X380" s="23">
        <v>0.25</v>
      </c>
      <c r="Z380" t="s">
        <v>735</v>
      </c>
      <c r="AA380" t="s">
        <v>736</v>
      </c>
    </row>
    <row r="381" spans="1:27">
      <c r="A381" s="16" t="s">
        <v>1467</v>
      </c>
      <c r="B381" t="s">
        <v>551</v>
      </c>
      <c r="C381" t="s">
        <v>1468</v>
      </c>
      <c r="D381" s="12" t="s">
        <v>553</v>
      </c>
      <c r="K381">
        <v>3</v>
      </c>
      <c r="M381">
        <v>3</v>
      </c>
      <c r="P381">
        <v>17</v>
      </c>
      <c r="Q381">
        <v>1</v>
      </c>
      <c r="U381">
        <v>8</v>
      </c>
      <c r="V381" s="1" t="s">
        <v>711</v>
      </c>
      <c r="X381" s="23">
        <v>-0.2</v>
      </c>
      <c r="Z381" t="s">
        <v>1469</v>
      </c>
      <c r="AA381" t="s">
        <v>1470</v>
      </c>
    </row>
    <row r="382" spans="1:18">
      <c r="A382" s="16" t="s">
        <v>1471</v>
      </c>
      <c r="B382" t="s">
        <v>432</v>
      </c>
      <c r="C382" t="s">
        <v>1472</v>
      </c>
      <c r="D382" s="12" t="s">
        <v>434</v>
      </c>
      <c r="F382">
        <v>33</v>
      </c>
      <c r="J382">
        <v>5</v>
      </c>
      <c r="K382">
        <v>7</v>
      </c>
      <c r="L382">
        <v>4</v>
      </c>
      <c r="M382">
        <v>2</v>
      </c>
      <c r="P382">
        <v>4</v>
      </c>
      <c r="Q382">
        <v>1</v>
      </c>
      <c r="R382">
        <v>0.25</v>
      </c>
    </row>
    <row r="383" spans="1:27">
      <c r="A383" s="16" t="s">
        <v>1473</v>
      </c>
      <c r="B383" t="s">
        <v>459</v>
      </c>
      <c r="C383" t="s">
        <v>1474</v>
      </c>
      <c r="D383" s="12" t="s">
        <v>461</v>
      </c>
      <c r="F383">
        <v>9</v>
      </c>
      <c r="G383">
        <v>9</v>
      </c>
      <c r="H383">
        <v>9</v>
      </c>
      <c r="J383">
        <v>9</v>
      </c>
      <c r="M383">
        <v>9</v>
      </c>
      <c r="N383">
        <v>9</v>
      </c>
      <c r="Q383">
        <v>1</v>
      </c>
      <c r="V383" s="1" t="s">
        <v>1475</v>
      </c>
      <c r="X383" s="23">
        <v>0.09</v>
      </c>
      <c r="Z383" t="s">
        <v>1476</v>
      </c>
      <c r="AA383" t="s">
        <v>1477</v>
      </c>
    </row>
    <row r="384" spans="1:27">
      <c r="A384" s="16" t="s">
        <v>1478</v>
      </c>
      <c r="B384" t="s">
        <v>587</v>
      </c>
      <c r="C384" t="s">
        <v>1479</v>
      </c>
      <c r="D384" s="12" t="s">
        <v>589</v>
      </c>
      <c r="F384">
        <v>23</v>
      </c>
      <c r="K384">
        <v>1</v>
      </c>
      <c r="Q384">
        <v>1</v>
      </c>
      <c r="S384">
        <v>26</v>
      </c>
      <c r="U384">
        <v>10</v>
      </c>
      <c r="V384" s="1" t="s">
        <v>1480</v>
      </c>
      <c r="Z384" t="s">
        <v>1481</v>
      </c>
      <c r="AA384" s="1" t="s">
        <v>1482</v>
      </c>
    </row>
    <row r="385" spans="1:27">
      <c r="A385" s="16" t="s">
        <v>1483</v>
      </c>
      <c r="B385" t="s">
        <v>583</v>
      </c>
      <c r="C385" t="s">
        <v>1484</v>
      </c>
      <c r="D385" s="12" t="s">
        <v>585</v>
      </c>
      <c r="F385">
        <v>3</v>
      </c>
      <c r="J385">
        <v>5</v>
      </c>
      <c r="K385">
        <v>6</v>
      </c>
      <c r="Q385">
        <v>1</v>
      </c>
      <c r="V385" s="1" t="s">
        <v>1485</v>
      </c>
      <c r="Z385" t="s">
        <v>1486</v>
      </c>
      <c r="AA385" s="1" t="s">
        <v>1487</v>
      </c>
    </row>
    <row r="386" spans="1:18">
      <c r="A386" s="16" t="s">
        <v>1488</v>
      </c>
      <c r="B386" t="s">
        <v>441</v>
      </c>
      <c r="C386" t="s">
        <v>1489</v>
      </c>
      <c r="D386" s="12" t="s">
        <v>443</v>
      </c>
      <c r="F386">
        <v>4</v>
      </c>
      <c r="J386">
        <v>6</v>
      </c>
      <c r="K386">
        <v>2</v>
      </c>
      <c r="M386">
        <v>3</v>
      </c>
      <c r="P386">
        <v>15</v>
      </c>
      <c r="Q386">
        <v>5</v>
      </c>
      <c r="R386">
        <v>0.55</v>
      </c>
    </row>
    <row r="387" spans="1:17">
      <c r="A387" s="16" t="s">
        <v>1490</v>
      </c>
      <c r="B387" t="s">
        <v>432</v>
      </c>
      <c r="C387" t="s">
        <v>1491</v>
      </c>
      <c r="D387" s="12" t="s">
        <v>434</v>
      </c>
      <c r="F387">
        <v>32</v>
      </c>
      <c r="K387">
        <v>1</v>
      </c>
      <c r="L387">
        <v>4</v>
      </c>
      <c r="Q387">
        <v>1</v>
      </c>
    </row>
    <row r="388" spans="1:21">
      <c r="A388" s="16" t="s">
        <v>1492</v>
      </c>
      <c r="B388" t="s">
        <v>446</v>
      </c>
      <c r="C388" t="s">
        <v>1493</v>
      </c>
      <c r="D388" s="12" t="s">
        <v>448</v>
      </c>
      <c r="O388">
        <v>23</v>
      </c>
      <c r="Q388">
        <v>1</v>
      </c>
      <c r="U388">
        <v>14</v>
      </c>
    </row>
    <row r="389" spans="1:21">
      <c r="A389" s="16" t="s">
        <v>1494</v>
      </c>
      <c r="B389" t="s">
        <v>551</v>
      </c>
      <c r="C389" t="s">
        <v>1495</v>
      </c>
      <c r="D389" s="12" t="s">
        <v>553</v>
      </c>
      <c r="M389">
        <v>1</v>
      </c>
      <c r="O389">
        <v>1</v>
      </c>
      <c r="P389">
        <v>18</v>
      </c>
      <c r="Q389">
        <v>1</v>
      </c>
      <c r="U389">
        <v>11</v>
      </c>
    </row>
    <row r="390" spans="1:27">
      <c r="A390" s="16" t="s">
        <v>1496</v>
      </c>
      <c r="B390" t="s">
        <v>432</v>
      </c>
      <c r="C390" t="s">
        <v>1497</v>
      </c>
      <c r="D390" s="12" t="s">
        <v>434</v>
      </c>
      <c r="F390">
        <v>4</v>
      </c>
      <c r="K390">
        <v>3</v>
      </c>
      <c r="L390">
        <v>1</v>
      </c>
      <c r="M390">
        <v>4</v>
      </c>
      <c r="P390">
        <v>12</v>
      </c>
      <c r="Q390">
        <v>3</v>
      </c>
      <c r="R390">
        <v>0.25</v>
      </c>
      <c r="V390" s="1" t="s">
        <v>1498</v>
      </c>
      <c r="X390" s="23">
        <v>0.05</v>
      </c>
      <c r="Z390" t="s">
        <v>1499</v>
      </c>
      <c r="AA390" t="s">
        <v>1500</v>
      </c>
    </row>
    <row r="391" spans="1:27">
      <c r="A391" s="16" t="s">
        <v>1501</v>
      </c>
      <c r="B391" t="s">
        <v>432</v>
      </c>
      <c r="C391" t="s">
        <v>1502</v>
      </c>
      <c r="D391" s="12" t="s">
        <v>434</v>
      </c>
      <c r="F391">
        <v>10</v>
      </c>
      <c r="L391">
        <v>2</v>
      </c>
      <c r="M391">
        <v>3</v>
      </c>
      <c r="Q391">
        <v>1</v>
      </c>
      <c r="V391" s="1" t="s">
        <v>1503</v>
      </c>
      <c r="Z391" t="s">
        <v>1504</v>
      </c>
      <c r="AA391" s="1" t="s">
        <v>1505</v>
      </c>
    </row>
    <row r="392" spans="1:27">
      <c r="A392" s="16" t="s">
        <v>1506</v>
      </c>
      <c r="B392" t="s">
        <v>432</v>
      </c>
      <c r="C392" t="s">
        <v>1507</v>
      </c>
      <c r="D392" s="12" t="s">
        <v>434</v>
      </c>
      <c r="E392">
        <v>2</v>
      </c>
      <c r="F392">
        <v>3</v>
      </c>
      <c r="H392">
        <v>3</v>
      </c>
      <c r="K392">
        <v>2</v>
      </c>
      <c r="L392">
        <v>1</v>
      </c>
      <c r="M392">
        <v>4</v>
      </c>
      <c r="Q392">
        <v>1</v>
      </c>
      <c r="V392" s="1" t="s">
        <v>1508</v>
      </c>
      <c r="Z392" t="s">
        <v>1509</v>
      </c>
      <c r="AA392" s="1" t="s">
        <v>1510</v>
      </c>
    </row>
    <row r="393" spans="1:21">
      <c r="A393" s="16" t="s">
        <v>1511</v>
      </c>
      <c r="B393" t="s">
        <v>587</v>
      </c>
      <c r="C393" t="s">
        <v>1512</v>
      </c>
      <c r="D393" s="12" t="s">
        <v>589</v>
      </c>
      <c r="F393">
        <v>22</v>
      </c>
      <c r="Q393">
        <v>1</v>
      </c>
      <c r="S393">
        <v>23</v>
      </c>
      <c r="U393">
        <v>8</v>
      </c>
    </row>
    <row r="394" spans="1:17">
      <c r="A394" s="16" t="s">
        <v>1513</v>
      </c>
      <c r="B394" t="s">
        <v>583</v>
      </c>
      <c r="C394" t="s">
        <v>1514</v>
      </c>
      <c r="D394" s="12" t="s">
        <v>585</v>
      </c>
      <c r="F394">
        <v>1</v>
      </c>
      <c r="K394">
        <v>2</v>
      </c>
      <c r="M394">
        <v>1</v>
      </c>
      <c r="Q394">
        <v>1</v>
      </c>
    </row>
    <row r="395" spans="1:17">
      <c r="A395" s="16" t="s">
        <v>1515</v>
      </c>
      <c r="B395" t="s">
        <v>432</v>
      </c>
      <c r="C395" t="s">
        <v>1516</v>
      </c>
      <c r="D395" s="12" t="s">
        <v>434</v>
      </c>
      <c r="F395">
        <v>8</v>
      </c>
      <c r="H395">
        <v>3</v>
      </c>
      <c r="K395">
        <v>3</v>
      </c>
      <c r="L395">
        <v>3</v>
      </c>
      <c r="Q395">
        <v>1</v>
      </c>
    </row>
    <row r="396" spans="1:26">
      <c r="A396" s="16" t="s">
        <v>1517</v>
      </c>
      <c r="B396" t="s">
        <v>551</v>
      </c>
      <c r="C396" t="s">
        <v>1518</v>
      </c>
      <c r="D396" s="12" t="s">
        <v>553</v>
      </c>
      <c r="J396">
        <v>2</v>
      </c>
      <c r="K396">
        <v>2</v>
      </c>
      <c r="N396">
        <v>2</v>
      </c>
      <c r="P396">
        <v>15</v>
      </c>
      <c r="Q396">
        <v>1</v>
      </c>
      <c r="U396">
        <v>9</v>
      </c>
      <c r="W396">
        <v>15</v>
      </c>
      <c r="Y396" t="s">
        <v>1519</v>
      </c>
      <c r="Z396" t="s">
        <v>1520</v>
      </c>
    </row>
    <row r="397" spans="1:17">
      <c r="A397" s="16" t="s">
        <v>1521</v>
      </c>
      <c r="B397" t="s">
        <v>432</v>
      </c>
      <c r="C397" t="s">
        <v>1522</v>
      </c>
      <c r="D397" s="12" t="s">
        <v>434</v>
      </c>
      <c r="F397">
        <v>29</v>
      </c>
      <c r="L397">
        <v>3</v>
      </c>
      <c r="M397">
        <v>3</v>
      </c>
      <c r="Q397">
        <v>1</v>
      </c>
    </row>
    <row r="398" spans="1:27">
      <c r="A398" s="16" t="s">
        <v>1523</v>
      </c>
      <c r="B398" t="s">
        <v>455</v>
      </c>
      <c r="C398" t="s">
        <v>1524</v>
      </c>
      <c r="D398" s="12" t="s">
        <v>457</v>
      </c>
      <c r="I398">
        <v>15</v>
      </c>
      <c r="J398">
        <v>5</v>
      </c>
      <c r="M398">
        <v>3</v>
      </c>
      <c r="Q398">
        <v>1</v>
      </c>
      <c r="V398" s="1" t="s">
        <v>1278</v>
      </c>
      <c r="X398" s="23">
        <v>0.15</v>
      </c>
      <c r="Z398" t="s">
        <v>1525</v>
      </c>
      <c r="AA398" t="s">
        <v>1526</v>
      </c>
    </row>
    <row r="399" spans="1:27">
      <c r="A399" s="16" t="s">
        <v>1527</v>
      </c>
      <c r="B399" t="s">
        <v>508</v>
      </c>
      <c r="C399" t="s">
        <v>1528</v>
      </c>
      <c r="D399" s="12" t="s">
        <v>510</v>
      </c>
      <c r="G399">
        <v>11</v>
      </c>
      <c r="I399">
        <v>13</v>
      </c>
      <c r="J399">
        <v>4</v>
      </c>
      <c r="Q399">
        <v>1</v>
      </c>
      <c r="U399">
        <v>5</v>
      </c>
      <c r="V399" s="1" t="s">
        <v>1529</v>
      </c>
      <c r="X399" s="23" t="s">
        <v>1530</v>
      </c>
      <c r="Z399" t="s">
        <v>1531</v>
      </c>
      <c r="AA399" t="s">
        <v>1532</v>
      </c>
    </row>
    <row r="400" spans="1:27">
      <c r="A400" s="16" t="s">
        <v>1533</v>
      </c>
      <c r="B400" s="13" t="s">
        <v>520</v>
      </c>
      <c r="C400" t="s">
        <v>1534</v>
      </c>
      <c r="D400" s="12" t="s">
        <v>6</v>
      </c>
      <c r="G400">
        <v>15</v>
      </c>
      <c r="K400">
        <v>9</v>
      </c>
      <c r="M400">
        <v>4</v>
      </c>
      <c r="Q400">
        <v>1</v>
      </c>
      <c r="V400" s="1" t="s">
        <v>1535</v>
      </c>
      <c r="Z400" t="s">
        <v>1536</v>
      </c>
      <c r="AA400" s="1" t="s">
        <v>1537</v>
      </c>
    </row>
    <row r="401" spans="1:27">
      <c r="A401" s="16" t="s">
        <v>1538</v>
      </c>
      <c r="B401" s="13" t="s">
        <v>520</v>
      </c>
      <c r="C401" t="s">
        <v>1539</v>
      </c>
      <c r="D401" s="12" t="s">
        <v>6</v>
      </c>
      <c r="G401">
        <v>16</v>
      </c>
      <c r="K401">
        <v>5</v>
      </c>
      <c r="M401">
        <v>7</v>
      </c>
      <c r="Q401">
        <v>1</v>
      </c>
      <c r="V401" s="1" t="s">
        <v>1540</v>
      </c>
      <c r="X401" s="23" t="s">
        <v>1541</v>
      </c>
      <c r="Z401" t="s">
        <v>1542</v>
      </c>
      <c r="AA401" t="s">
        <v>1543</v>
      </c>
    </row>
    <row r="402" spans="1:27">
      <c r="A402" s="16" t="s">
        <v>1544</v>
      </c>
      <c r="B402" t="s">
        <v>446</v>
      </c>
      <c r="C402" t="s">
        <v>1545</v>
      </c>
      <c r="D402" s="12" t="s">
        <v>448</v>
      </c>
      <c r="I402">
        <v>6</v>
      </c>
      <c r="J402">
        <v>5</v>
      </c>
      <c r="O402">
        <v>14</v>
      </c>
      <c r="Q402">
        <v>1</v>
      </c>
      <c r="U402">
        <v>9</v>
      </c>
      <c r="V402" s="1" t="s">
        <v>1529</v>
      </c>
      <c r="X402" s="23" t="s">
        <v>1546</v>
      </c>
      <c r="Z402" t="s">
        <v>1547</v>
      </c>
      <c r="AA402" t="s">
        <v>1548</v>
      </c>
    </row>
    <row r="403" spans="1:27">
      <c r="A403" s="16" t="s">
        <v>1549</v>
      </c>
      <c r="B403" t="s">
        <v>508</v>
      </c>
      <c r="C403" t="s">
        <v>1550</v>
      </c>
      <c r="D403" s="12" t="s">
        <v>510</v>
      </c>
      <c r="G403">
        <v>15</v>
      </c>
      <c r="I403">
        <v>5</v>
      </c>
      <c r="K403">
        <v>2</v>
      </c>
      <c r="Q403">
        <v>1</v>
      </c>
      <c r="U403">
        <v>6</v>
      </c>
      <c r="V403" s="1" t="s">
        <v>1551</v>
      </c>
      <c r="Z403" t="s">
        <v>1552</v>
      </c>
      <c r="AA403" s="1" t="s">
        <v>1553</v>
      </c>
    </row>
    <row r="404" spans="1:27">
      <c r="A404" s="16" t="s">
        <v>1554</v>
      </c>
      <c r="B404" t="s">
        <v>587</v>
      </c>
      <c r="C404" t="s">
        <v>1555</v>
      </c>
      <c r="D404" s="12" t="s">
        <v>589</v>
      </c>
      <c r="F404">
        <v>29</v>
      </c>
      <c r="K404">
        <v>1</v>
      </c>
      <c r="Q404">
        <v>1</v>
      </c>
      <c r="S404">
        <v>25</v>
      </c>
      <c r="U404">
        <v>15</v>
      </c>
      <c r="V404" s="1" t="s">
        <v>1556</v>
      </c>
      <c r="Z404" t="s">
        <v>1557</v>
      </c>
      <c r="AA404" s="1" t="s">
        <v>1558</v>
      </c>
    </row>
    <row r="405" spans="1:17">
      <c r="A405" s="16" t="s">
        <v>1559</v>
      </c>
      <c r="B405" t="s">
        <v>459</v>
      </c>
      <c r="C405" t="s">
        <v>1560</v>
      </c>
      <c r="D405" t="s">
        <v>461</v>
      </c>
      <c r="J405">
        <v>5</v>
      </c>
      <c r="K405">
        <v>2</v>
      </c>
      <c r="L405">
        <v>3</v>
      </c>
      <c r="Q405">
        <v>1</v>
      </c>
    </row>
    <row r="406" spans="1:27">
      <c r="A406" s="1" t="s">
        <v>1561</v>
      </c>
      <c r="B406" t="s">
        <v>597</v>
      </c>
      <c r="C406" t="s">
        <v>1562</v>
      </c>
      <c r="D406" s="12" t="s">
        <v>599</v>
      </c>
      <c r="F406">
        <v>14</v>
      </c>
      <c r="P406">
        <v>17</v>
      </c>
      <c r="Q406">
        <v>3.5</v>
      </c>
      <c r="R406">
        <v>0.72</v>
      </c>
      <c r="T406">
        <v>25</v>
      </c>
      <c r="U406">
        <v>8</v>
      </c>
      <c r="V406" s="1" t="s">
        <v>1563</v>
      </c>
      <c r="Z406" t="s">
        <v>1564</v>
      </c>
      <c r="AA406" s="1" t="s">
        <v>1565</v>
      </c>
    </row>
    <row r="407" spans="1:27">
      <c r="A407" s="1" t="s">
        <v>1566</v>
      </c>
      <c r="B407" t="s">
        <v>583</v>
      </c>
      <c r="C407" t="s">
        <v>1567</v>
      </c>
      <c r="D407" s="12" t="s">
        <v>595</v>
      </c>
      <c r="F407">
        <v>3</v>
      </c>
      <c r="J407">
        <v>3</v>
      </c>
      <c r="K407">
        <v>1</v>
      </c>
      <c r="M407">
        <v>1</v>
      </c>
      <c r="Q407">
        <v>1</v>
      </c>
      <c r="V407" s="1" t="s">
        <v>1568</v>
      </c>
      <c r="Z407" t="s">
        <v>1569</v>
      </c>
      <c r="AA407" s="1" t="s">
        <v>1570</v>
      </c>
    </row>
    <row r="408" spans="1:27">
      <c r="A408" s="1" t="s">
        <v>1571</v>
      </c>
      <c r="B408" t="s">
        <v>432</v>
      </c>
      <c r="C408" t="s">
        <v>1572</v>
      </c>
      <c r="D408" t="s">
        <v>434</v>
      </c>
      <c r="F408">
        <v>13</v>
      </c>
      <c r="K408">
        <v>5</v>
      </c>
      <c r="L408">
        <v>3</v>
      </c>
      <c r="P408">
        <v>13</v>
      </c>
      <c r="Q408">
        <v>3.5</v>
      </c>
      <c r="R408">
        <v>0.6</v>
      </c>
      <c r="Z408" t="s">
        <v>1573</v>
      </c>
      <c r="AA408" s="1" t="s">
        <v>1574</v>
      </c>
    </row>
    <row r="409" spans="1:27">
      <c r="A409" s="1" t="s">
        <v>1575</v>
      </c>
      <c r="B409" t="s">
        <v>508</v>
      </c>
      <c r="C409" t="s">
        <v>1576</v>
      </c>
      <c r="D409" s="12" t="s">
        <v>510</v>
      </c>
      <c r="G409">
        <v>8</v>
      </c>
      <c r="I409">
        <v>15</v>
      </c>
      <c r="J409">
        <v>12</v>
      </c>
      <c r="K409">
        <v>7</v>
      </c>
      <c r="M409">
        <v>5</v>
      </c>
      <c r="Q409">
        <v>1</v>
      </c>
      <c r="U409">
        <v>5</v>
      </c>
      <c r="Z409" t="s">
        <v>1577</v>
      </c>
      <c r="AA409" s="1" t="s">
        <v>1578</v>
      </c>
    </row>
    <row r="410" spans="1:27">
      <c r="A410" s="1" t="s">
        <v>1579</v>
      </c>
      <c r="B410" t="s">
        <v>459</v>
      </c>
      <c r="C410" t="s">
        <v>1580</v>
      </c>
      <c r="D410" t="s">
        <v>461</v>
      </c>
      <c r="I410">
        <v>16</v>
      </c>
      <c r="J410">
        <v>3</v>
      </c>
      <c r="L410">
        <v>3</v>
      </c>
      <c r="M410">
        <v>2</v>
      </c>
      <c r="Q410">
        <v>1</v>
      </c>
      <c r="Z410" t="s">
        <v>1581</v>
      </c>
      <c r="AA410" s="1" t="s">
        <v>1286</v>
      </c>
    </row>
    <row r="411" spans="1:27">
      <c r="A411" s="1" t="s">
        <v>1582</v>
      </c>
      <c r="B411" t="s">
        <v>508</v>
      </c>
      <c r="C411" t="s">
        <v>1583</v>
      </c>
      <c r="D411" s="12" t="s">
        <v>510</v>
      </c>
      <c r="G411">
        <v>16</v>
      </c>
      <c r="K411">
        <v>3</v>
      </c>
      <c r="Q411">
        <v>1</v>
      </c>
      <c r="U411">
        <v>8</v>
      </c>
      <c r="Z411" t="s">
        <v>1584</v>
      </c>
      <c r="AA411" s="1" t="s">
        <v>1585</v>
      </c>
    </row>
    <row r="412" spans="1:27">
      <c r="A412" s="1" t="s">
        <v>1586</v>
      </c>
      <c r="B412" t="s">
        <v>494</v>
      </c>
      <c r="C412" t="s">
        <v>1587</v>
      </c>
      <c r="D412" s="12" t="s">
        <v>496</v>
      </c>
      <c r="F412">
        <v>9</v>
      </c>
      <c r="Q412">
        <v>1</v>
      </c>
      <c r="Z412" t="s">
        <v>1588</v>
      </c>
      <c r="AA412" t="s">
        <v>1589</v>
      </c>
    </row>
    <row r="413" spans="1:27">
      <c r="A413" s="1" t="s">
        <v>1590</v>
      </c>
      <c r="B413" t="s">
        <v>597</v>
      </c>
      <c r="C413" t="s">
        <v>1591</v>
      </c>
      <c r="D413" s="12" t="s">
        <v>599</v>
      </c>
      <c r="F413">
        <v>14</v>
      </c>
      <c r="P413">
        <v>18</v>
      </c>
      <c r="Q413">
        <v>3</v>
      </c>
      <c r="R413">
        <v>0.75</v>
      </c>
      <c r="T413">
        <v>29</v>
      </c>
      <c r="U413">
        <v>10</v>
      </c>
      <c r="Z413" t="s">
        <v>1592</v>
      </c>
      <c r="AA413" s="1" t="s">
        <v>1593</v>
      </c>
    </row>
    <row r="414" spans="1:27">
      <c r="A414" s="1" t="s">
        <v>1594</v>
      </c>
      <c r="B414" t="s">
        <v>520</v>
      </c>
      <c r="C414" t="s">
        <v>1595</v>
      </c>
      <c r="D414" s="12" t="s">
        <v>6</v>
      </c>
      <c r="G414">
        <v>12</v>
      </c>
      <c r="I414">
        <v>10</v>
      </c>
      <c r="K414">
        <v>3</v>
      </c>
      <c r="Q414">
        <v>1</v>
      </c>
      <c r="Z414" t="s">
        <v>1596</v>
      </c>
      <c r="AA414" s="1" t="s">
        <v>1597</v>
      </c>
    </row>
    <row r="415" spans="1:27">
      <c r="A415" s="1" t="s">
        <v>1598</v>
      </c>
      <c r="B415" t="s">
        <v>432</v>
      </c>
      <c r="C415" t="s">
        <v>1599</v>
      </c>
      <c r="D415" s="12" t="s">
        <v>434</v>
      </c>
      <c r="F415">
        <v>14</v>
      </c>
      <c r="K415">
        <v>1</v>
      </c>
      <c r="L415">
        <v>3</v>
      </c>
      <c r="Q415">
        <v>1</v>
      </c>
      <c r="Z415" t="s">
        <v>1600</v>
      </c>
      <c r="AA415" s="1" t="s">
        <v>1601</v>
      </c>
    </row>
    <row r="416" spans="1:27">
      <c r="A416" s="1" t="s">
        <v>1602</v>
      </c>
      <c r="B416" t="s">
        <v>446</v>
      </c>
      <c r="C416" t="s">
        <v>1603</v>
      </c>
      <c r="D416" s="12" t="s">
        <v>448</v>
      </c>
      <c r="I416">
        <v>6</v>
      </c>
      <c r="K416">
        <v>2</v>
      </c>
      <c r="O416">
        <v>18</v>
      </c>
      <c r="Q416">
        <v>1</v>
      </c>
      <c r="U416">
        <v>10</v>
      </c>
      <c r="Z416" t="s">
        <v>1604</v>
      </c>
      <c r="AA416" s="1" t="s">
        <v>1605</v>
      </c>
    </row>
    <row r="417" spans="1:27">
      <c r="A417" s="1" t="s">
        <v>1606</v>
      </c>
      <c r="B417" t="s">
        <v>446</v>
      </c>
      <c r="C417" t="s">
        <v>1607</v>
      </c>
      <c r="D417" s="12" t="s">
        <v>448</v>
      </c>
      <c r="F417">
        <v>5</v>
      </c>
      <c r="K417">
        <v>2</v>
      </c>
      <c r="M417">
        <v>3</v>
      </c>
      <c r="N417">
        <v>6</v>
      </c>
      <c r="O417">
        <v>13</v>
      </c>
      <c r="Q417">
        <v>1</v>
      </c>
      <c r="U417">
        <v>5</v>
      </c>
      <c r="Z417" t="s">
        <v>1608</v>
      </c>
      <c r="AA417" s="1" t="s">
        <v>1609</v>
      </c>
    </row>
  </sheetData>
  <autoFilter ref="A1:Z417">
    <sortState ref="A1:Z417">
      <sortCondition ref="C1"/>
    </sortState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72"/>
  <sheetViews>
    <sheetView workbookViewId="0">
      <pane xSplit="5" ySplit="1" topLeftCell="S350" activePane="bottomRight" state="frozen"/>
      <selection/>
      <selection pane="topRight"/>
      <selection pane="bottomLeft"/>
      <selection pane="bottomRight" activeCell="AA368" sqref="AA368"/>
    </sheetView>
  </sheetViews>
  <sheetFormatPr defaultColWidth="8.83333333333333" defaultRowHeight="13.5"/>
  <cols>
    <col min="1" max="1" width="9" style="1" customWidth="1"/>
    <col min="3" max="3" width="16" customWidth="1"/>
    <col min="5" max="5" width="9" style="13" customWidth="1"/>
    <col min="12" max="12" width="9" style="15" customWidth="1"/>
    <col min="18" max="18" width="18" customWidth="1"/>
    <col min="19" max="21" width="19" customWidth="1"/>
    <col min="30" max="30" width="18.3333333333333" customWidth="1"/>
  </cols>
  <sheetData>
    <row r="1" spans="1:30">
      <c r="A1" s="1" t="s">
        <v>0</v>
      </c>
      <c r="B1" t="s">
        <v>1</v>
      </c>
      <c r="C1" t="s">
        <v>2</v>
      </c>
      <c r="D1" t="s">
        <v>3</v>
      </c>
      <c r="E1" s="13" t="s">
        <v>1610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13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1611</v>
      </c>
      <c r="S1" t="s">
        <v>1612</v>
      </c>
      <c r="T1" t="s">
        <v>1613</v>
      </c>
      <c r="U1" t="s">
        <v>1614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26</v>
      </c>
      <c r="AB1" t="s">
        <v>27</v>
      </c>
      <c r="AC1" t="s">
        <v>28</v>
      </c>
      <c r="AD1" t="s">
        <v>1615</v>
      </c>
    </row>
    <row r="2" spans="1:26">
      <c r="A2" s="1" t="s">
        <v>1616</v>
      </c>
      <c r="B2" t="s">
        <v>37</v>
      </c>
      <c r="C2" t="s">
        <v>1617</v>
      </c>
      <c r="D2" t="s">
        <v>1618</v>
      </c>
      <c r="E2" s="13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3">
        <v>0</v>
      </c>
      <c r="M2" s="13">
        <v>100</v>
      </c>
      <c r="N2" s="13">
        <v>0</v>
      </c>
      <c r="O2" s="13">
        <v>27</v>
      </c>
      <c r="P2">
        <v>3</v>
      </c>
      <c r="Q2">
        <v>0</v>
      </c>
      <c r="R2" t="s">
        <v>1619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26">
      <c r="A3" s="1" t="s">
        <v>1620</v>
      </c>
      <c r="B3" t="s">
        <v>259</v>
      </c>
      <c r="C3" t="s">
        <v>1621</v>
      </c>
      <c r="D3" t="s">
        <v>1618</v>
      </c>
      <c r="E3" s="13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3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1622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26">
      <c r="A4" s="1" t="s">
        <v>1623</v>
      </c>
      <c r="B4" t="s">
        <v>259</v>
      </c>
      <c r="C4" t="s">
        <v>1624</v>
      </c>
      <c r="D4" t="s">
        <v>1618</v>
      </c>
      <c r="E4" s="13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3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1622</v>
      </c>
      <c r="S4" t="s">
        <v>1625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26">
      <c r="A5" s="1" t="s">
        <v>1626</v>
      </c>
      <c r="B5" t="s">
        <v>259</v>
      </c>
      <c r="C5" t="s">
        <v>1627</v>
      </c>
      <c r="D5" t="s">
        <v>1618</v>
      </c>
      <c r="E5" s="13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5">
        <v>60</v>
      </c>
      <c r="M5">
        <v>60</v>
      </c>
      <c r="N5">
        <v>10</v>
      </c>
      <c r="O5">
        <v>45</v>
      </c>
      <c r="P5">
        <v>1</v>
      </c>
      <c r="Q5" s="15">
        <v>30</v>
      </c>
      <c r="R5" t="s">
        <v>1628</v>
      </c>
      <c r="S5" t="s">
        <v>1629</v>
      </c>
      <c r="T5" t="s">
        <v>1630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26">
      <c r="A6" s="1" t="s">
        <v>1631</v>
      </c>
      <c r="B6" t="s">
        <v>259</v>
      </c>
      <c r="C6" t="s">
        <v>1632</v>
      </c>
      <c r="D6" t="s">
        <v>1618</v>
      </c>
      <c r="E6" s="13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3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1633</v>
      </c>
      <c r="S6" t="s">
        <v>1634</v>
      </c>
      <c r="T6" t="s">
        <v>1630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26">
      <c r="A7" s="1" t="s">
        <v>1635</v>
      </c>
      <c r="B7" t="s">
        <v>259</v>
      </c>
      <c r="C7" t="s">
        <v>1636</v>
      </c>
      <c r="D7" t="s">
        <v>1618</v>
      </c>
      <c r="E7" s="13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3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1637</v>
      </c>
      <c r="S7" t="s">
        <v>1638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26">
      <c r="A8" s="1" t="s">
        <v>1639</v>
      </c>
      <c r="B8" t="s">
        <v>259</v>
      </c>
      <c r="C8" t="s">
        <v>1640</v>
      </c>
      <c r="D8" t="s">
        <v>1618</v>
      </c>
      <c r="E8" s="13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3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1637</v>
      </c>
      <c r="S8" t="s">
        <v>1641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26">
      <c r="A9" s="1" t="s">
        <v>1642</v>
      </c>
      <c r="B9" t="s">
        <v>259</v>
      </c>
      <c r="C9" t="s">
        <v>1643</v>
      </c>
      <c r="D9" t="s">
        <v>1618</v>
      </c>
      <c r="E9" s="13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1637</v>
      </c>
      <c r="S9" t="s">
        <v>1637</v>
      </c>
      <c r="T9" t="s">
        <v>1641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26">
      <c r="A10" s="1" t="s">
        <v>1644</v>
      </c>
      <c r="B10" t="s">
        <v>259</v>
      </c>
      <c r="C10" t="s">
        <v>1645</v>
      </c>
      <c r="D10" t="s">
        <v>1618</v>
      </c>
      <c r="E10" s="13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3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1637</v>
      </c>
      <c r="S10" t="s">
        <v>1638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26">
      <c r="A11" s="1" t="s">
        <v>1646</v>
      </c>
      <c r="B11" t="s">
        <v>259</v>
      </c>
      <c r="C11" t="s">
        <v>1647</v>
      </c>
      <c r="D11" t="s">
        <v>1618</v>
      </c>
      <c r="E11" s="13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3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1637</v>
      </c>
      <c r="S11" t="s">
        <v>1641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26">
      <c r="A12" s="1" t="s">
        <v>1648</v>
      </c>
      <c r="B12" t="s">
        <v>259</v>
      </c>
      <c r="C12" t="s">
        <v>1649</v>
      </c>
      <c r="D12" t="s">
        <v>1618</v>
      </c>
      <c r="E12" s="13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1637</v>
      </c>
      <c r="S12" t="s">
        <v>1641</v>
      </c>
      <c r="T12" t="s">
        <v>1630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26">
      <c r="A13" s="1" t="s">
        <v>1650</v>
      </c>
      <c r="B13" t="s">
        <v>259</v>
      </c>
      <c r="C13" t="s">
        <v>1651</v>
      </c>
      <c r="D13" t="s">
        <v>1618</v>
      </c>
      <c r="E13" s="13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5">
        <v>70</v>
      </c>
      <c r="M13">
        <v>70</v>
      </c>
      <c r="N13">
        <v>15</v>
      </c>
      <c r="O13">
        <v>45</v>
      </c>
      <c r="P13">
        <v>1</v>
      </c>
      <c r="Q13" s="15">
        <v>30</v>
      </c>
      <c r="R13" t="s">
        <v>1637</v>
      </c>
      <c r="S13" t="s">
        <v>1641</v>
      </c>
      <c r="T13" t="s">
        <v>1630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26">
      <c r="A14" s="1" t="s">
        <v>1652</v>
      </c>
      <c r="B14" t="s">
        <v>259</v>
      </c>
      <c r="C14" t="s">
        <v>1653</v>
      </c>
      <c r="D14" t="s">
        <v>1618</v>
      </c>
      <c r="E14" s="13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3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1637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26">
      <c r="A15" s="1" t="s">
        <v>1654</v>
      </c>
      <c r="B15" t="s">
        <v>259</v>
      </c>
      <c r="C15" t="s">
        <v>1655</v>
      </c>
      <c r="D15" t="s">
        <v>1618</v>
      </c>
      <c r="E15" s="13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1637</v>
      </c>
      <c r="S15" t="s">
        <v>1625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26">
      <c r="A16" s="1" t="s">
        <v>1656</v>
      </c>
      <c r="B16" t="s">
        <v>259</v>
      </c>
      <c r="C16" t="s">
        <v>1657</v>
      </c>
      <c r="D16" t="s">
        <v>1618</v>
      </c>
      <c r="E16" s="13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3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1637</v>
      </c>
      <c r="S16" t="s">
        <v>1641</v>
      </c>
      <c r="T16" t="s">
        <v>1630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1" t="s">
        <v>1658</v>
      </c>
      <c r="B17" t="s">
        <v>259</v>
      </c>
      <c r="C17" t="s">
        <v>1659</v>
      </c>
      <c r="D17" t="s">
        <v>1618</v>
      </c>
      <c r="E17" s="13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3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1637</v>
      </c>
      <c r="S17" t="s">
        <v>1641</v>
      </c>
      <c r="T17" t="s">
        <v>1630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1" t="s">
        <v>1660</v>
      </c>
      <c r="B18" t="s">
        <v>29</v>
      </c>
      <c r="C18" t="s">
        <v>1661</v>
      </c>
      <c r="D18" t="s">
        <v>1618</v>
      </c>
      <c r="E18" s="13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3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1662</v>
      </c>
      <c r="S18" t="s">
        <v>1663</v>
      </c>
      <c r="T18" t="s">
        <v>1664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1" t="s">
        <v>1665</v>
      </c>
      <c r="B19" t="s">
        <v>29</v>
      </c>
      <c r="C19" t="s">
        <v>1666</v>
      </c>
      <c r="D19" t="s">
        <v>1618</v>
      </c>
      <c r="E19" s="13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3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1667</v>
      </c>
      <c r="S19" t="s">
        <v>1668</v>
      </c>
      <c r="T19" t="s">
        <v>1669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1" t="s">
        <v>1670</v>
      </c>
      <c r="B20" t="s">
        <v>29</v>
      </c>
      <c r="C20" t="s">
        <v>1671</v>
      </c>
      <c r="D20" t="s">
        <v>1618</v>
      </c>
      <c r="E20" s="13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3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1667</v>
      </c>
      <c r="S20" t="s">
        <v>1668</v>
      </c>
      <c r="T20" t="s">
        <v>1669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1" t="s">
        <v>1672</v>
      </c>
      <c r="B21" t="s">
        <v>29</v>
      </c>
      <c r="C21" t="s">
        <v>1673</v>
      </c>
      <c r="D21" t="s">
        <v>1618</v>
      </c>
      <c r="E21" s="13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3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1674</v>
      </c>
      <c r="S21" t="s">
        <v>1669</v>
      </c>
      <c r="T21" t="s">
        <v>1668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1" t="s">
        <v>1675</v>
      </c>
      <c r="B22" t="s">
        <v>131</v>
      </c>
      <c r="C22" t="s">
        <v>1676</v>
      </c>
      <c r="D22" t="s">
        <v>1618</v>
      </c>
      <c r="E22" s="13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3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1677</v>
      </c>
      <c r="S22" t="s">
        <v>1638</v>
      </c>
      <c r="T22" t="s">
        <v>1678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1" t="s">
        <v>1679</v>
      </c>
      <c r="B23" t="s">
        <v>131</v>
      </c>
      <c r="C23" t="s">
        <v>1680</v>
      </c>
      <c r="D23" t="s">
        <v>1618</v>
      </c>
      <c r="E23" s="13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3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1677</v>
      </c>
      <c r="S23" t="s">
        <v>1638</v>
      </c>
      <c r="T23" t="s">
        <v>1678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1" t="s">
        <v>1681</v>
      </c>
      <c r="B24" t="s">
        <v>131</v>
      </c>
      <c r="C24" t="s">
        <v>1682</v>
      </c>
      <c r="D24" t="s">
        <v>1618</v>
      </c>
      <c r="E24" s="13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3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1677</v>
      </c>
      <c r="S24" t="s">
        <v>1638</v>
      </c>
      <c r="T24" t="s">
        <v>1678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1" t="s">
        <v>1683</v>
      </c>
      <c r="B25" t="s">
        <v>131</v>
      </c>
      <c r="C25" t="s">
        <v>1684</v>
      </c>
      <c r="D25" t="s">
        <v>1618</v>
      </c>
      <c r="E25" s="13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3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1677</v>
      </c>
      <c r="S25" t="s">
        <v>1678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1" t="s">
        <v>1685</v>
      </c>
      <c r="B26" t="s">
        <v>131</v>
      </c>
      <c r="C26" t="s">
        <v>1686</v>
      </c>
      <c r="D26" t="s">
        <v>1618</v>
      </c>
      <c r="E26" s="13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3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1677</v>
      </c>
      <c r="S26" t="s">
        <v>1678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1" t="s">
        <v>1687</v>
      </c>
      <c r="B27" t="s">
        <v>131</v>
      </c>
      <c r="C27" t="s">
        <v>1688</v>
      </c>
      <c r="D27" t="s">
        <v>1618</v>
      </c>
      <c r="E27" s="13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3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1677</v>
      </c>
      <c r="S27" t="s">
        <v>1678</v>
      </c>
      <c r="T27" t="s">
        <v>1630</v>
      </c>
      <c r="U27" t="s">
        <v>1629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1" t="s">
        <v>1689</v>
      </c>
      <c r="B28" t="s">
        <v>131</v>
      </c>
      <c r="C28" t="s">
        <v>1690</v>
      </c>
      <c r="D28" t="s">
        <v>1618</v>
      </c>
      <c r="E28" s="13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3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1677</v>
      </c>
      <c r="S28" t="s">
        <v>1678</v>
      </c>
      <c r="T28" t="s">
        <v>1630</v>
      </c>
      <c r="U28" t="s">
        <v>1629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1" t="s">
        <v>1691</v>
      </c>
      <c r="B29" t="s">
        <v>131</v>
      </c>
      <c r="C29" t="s">
        <v>1692</v>
      </c>
      <c r="D29" t="s">
        <v>1618</v>
      </c>
      <c r="E29" s="13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3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1693</v>
      </c>
      <c r="S29" t="s">
        <v>1678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1" t="s">
        <v>1694</v>
      </c>
      <c r="B30" t="s">
        <v>131</v>
      </c>
      <c r="C30" t="s">
        <v>1695</v>
      </c>
      <c r="D30" t="s">
        <v>1618</v>
      </c>
      <c r="E30" s="13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3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1693</v>
      </c>
      <c r="S30" t="s">
        <v>1678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1" t="s">
        <v>1696</v>
      </c>
      <c r="B31" t="s">
        <v>131</v>
      </c>
      <c r="C31" t="s">
        <v>1697</v>
      </c>
      <c r="D31" t="s">
        <v>1618</v>
      </c>
      <c r="E31" s="13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3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1693</v>
      </c>
      <c r="S31" t="s">
        <v>1630</v>
      </c>
      <c r="T31" t="s">
        <v>1629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1" t="s">
        <v>1698</v>
      </c>
      <c r="B32" t="s">
        <v>131</v>
      </c>
      <c r="C32" t="s">
        <v>1699</v>
      </c>
      <c r="D32" t="s">
        <v>1618</v>
      </c>
      <c r="E32" s="13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3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1693</v>
      </c>
      <c r="S32" t="s">
        <v>1630</v>
      </c>
      <c r="T32" t="s">
        <v>1629</v>
      </c>
      <c r="U32" t="s">
        <v>1641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1" t="s">
        <v>1700</v>
      </c>
      <c r="B33" t="s">
        <v>231</v>
      </c>
      <c r="C33" t="s">
        <v>1701</v>
      </c>
      <c r="D33" t="s">
        <v>1618</v>
      </c>
      <c r="E33" s="13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3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1662</v>
      </c>
      <c r="S33" t="s">
        <v>1663</v>
      </c>
      <c r="T33" t="s">
        <v>1664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1" t="s">
        <v>1702</v>
      </c>
      <c r="B34" t="s">
        <v>231</v>
      </c>
      <c r="C34" t="s">
        <v>1703</v>
      </c>
      <c r="D34" t="s">
        <v>1618</v>
      </c>
      <c r="E34" s="13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3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1667</v>
      </c>
      <c r="S34" t="s">
        <v>1663</v>
      </c>
      <c r="T34" t="s">
        <v>1664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1" t="s">
        <v>1704</v>
      </c>
      <c r="B35" t="s">
        <v>231</v>
      </c>
      <c r="C35" t="s">
        <v>1705</v>
      </c>
      <c r="D35" t="s">
        <v>1618</v>
      </c>
      <c r="E35" s="13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3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1667</v>
      </c>
      <c r="S35" t="s">
        <v>1669</v>
      </c>
      <c r="T35" t="s">
        <v>1669</v>
      </c>
      <c r="U35" t="s">
        <v>1668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1" t="s">
        <v>1706</v>
      </c>
      <c r="B36" t="s">
        <v>231</v>
      </c>
      <c r="C36" t="s">
        <v>1707</v>
      </c>
      <c r="D36" t="s">
        <v>1618</v>
      </c>
      <c r="E36" s="13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3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1674</v>
      </c>
      <c r="S36" t="s">
        <v>1669</v>
      </c>
      <c r="T36" t="s">
        <v>1669</v>
      </c>
      <c r="U36" t="s">
        <v>1668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1" t="s">
        <v>1708</v>
      </c>
      <c r="B37" t="s">
        <v>84</v>
      </c>
      <c r="C37" t="s">
        <v>1709</v>
      </c>
      <c r="D37" t="s">
        <v>1618</v>
      </c>
      <c r="E37" s="13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3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1710</v>
      </c>
      <c r="S37" t="s">
        <v>1638</v>
      </c>
      <c r="T37" t="s">
        <v>1678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1" t="s">
        <v>1711</v>
      </c>
      <c r="B38" t="s">
        <v>84</v>
      </c>
      <c r="C38" t="s">
        <v>1712</v>
      </c>
      <c r="D38" t="s">
        <v>1618</v>
      </c>
      <c r="E38" s="13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3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1710</v>
      </c>
      <c r="S38" t="s">
        <v>1677</v>
      </c>
      <c r="T38" t="s">
        <v>1678</v>
      </c>
      <c r="U38" t="s">
        <v>1678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1" t="s">
        <v>1713</v>
      </c>
      <c r="B39" t="s">
        <v>84</v>
      </c>
      <c r="C39" t="s">
        <v>1714</v>
      </c>
      <c r="D39" t="s">
        <v>1618</v>
      </c>
      <c r="E39" s="13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3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1710</v>
      </c>
      <c r="S39" t="s">
        <v>1677</v>
      </c>
      <c r="T39" t="s">
        <v>1641</v>
      </c>
      <c r="U39" t="s">
        <v>1678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1" t="s">
        <v>1715</v>
      </c>
      <c r="B40" t="s">
        <v>84</v>
      </c>
      <c r="C40" t="s">
        <v>1716</v>
      </c>
      <c r="D40" t="s">
        <v>1618</v>
      </c>
      <c r="E40" s="13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3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1710</v>
      </c>
      <c r="S40" t="s">
        <v>1710</v>
      </c>
      <c r="T40" t="s">
        <v>1641</v>
      </c>
      <c r="U40" t="s">
        <v>1717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1" t="s">
        <v>1718</v>
      </c>
      <c r="B41" t="s">
        <v>37</v>
      </c>
      <c r="C41" t="s">
        <v>1719</v>
      </c>
      <c r="D41" t="s">
        <v>1618</v>
      </c>
      <c r="E41" s="13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3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1720</v>
      </c>
      <c r="S41" t="s">
        <v>1720</v>
      </c>
      <c r="T41" t="s">
        <v>1721</v>
      </c>
      <c r="U41" t="s">
        <v>1678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1" t="s">
        <v>1722</v>
      </c>
      <c r="B42" t="s">
        <v>37</v>
      </c>
      <c r="C42" t="s">
        <v>1723</v>
      </c>
      <c r="D42" t="s">
        <v>1618</v>
      </c>
      <c r="E42" s="13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3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1724</v>
      </c>
      <c r="S42" t="s">
        <v>1720</v>
      </c>
      <c r="T42" t="s">
        <v>1721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1" t="s">
        <v>1725</v>
      </c>
      <c r="B43" t="s">
        <v>37</v>
      </c>
      <c r="C43" t="s">
        <v>1726</v>
      </c>
      <c r="D43" t="s">
        <v>1618</v>
      </c>
      <c r="E43" s="13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3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1724</v>
      </c>
      <c r="S43" t="s">
        <v>1724</v>
      </c>
      <c r="T43" t="s">
        <v>1678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1" t="s">
        <v>1727</v>
      </c>
      <c r="B44" t="s">
        <v>37</v>
      </c>
      <c r="C44" t="s">
        <v>1728</v>
      </c>
      <c r="D44" t="s">
        <v>1618</v>
      </c>
      <c r="E44" s="13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3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1724</v>
      </c>
      <c r="S44" t="s">
        <v>1724</v>
      </c>
      <c r="T44" t="s">
        <v>1678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1" t="s">
        <v>1729</v>
      </c>
      <c r="B45" t="s">
        <v>37</v>
      </c>
      <c r="C45" t="s">
        <v>1730</v>
      </c>
      <c r="D45" t="s">
        <v>1618</v>
      </c>
      <c r="E45" s="13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3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1724</v>
      </c>
      <c r="S45" t="s">
        <v>1721</v>
      </c>
      <c r="T45" t="s">
        <v>1678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1" t="s">
        <v>1731</v>
      </c>
      <c r="B46" t="s">
        <v>37</v>
      </c>
      <c r="C46" t="s">
        <v>1732</v>
      </c>
      <c r="D46" t="s">
        <v>1618</v>
      </c>
      <c r="E46" s="13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3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1724</v>
      </c>
      <c r="S46" t="s">
        <v>1724</v>
      </c>
      <c r="T46" t="s">
        <v>1721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1" t="s">
        <v>1733</v>
      </c>
      <c r="B47" t="s">
        <v>37</v>
      </c>
      <c r="C47" t="s">
        <v>1734</v>
      </c>
      <c r="D47" t="s">
        <v>1618</v>
      </c>
      <c r="E47" s="13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3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1724</v>
      </c>
      <c r="S47" t="s">
        <v>1724</v>
      </c>
      <c r="T47" t="s">
        <v>1678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1" t="s">
        <v>1735</v>
      </c>
      <c r="B48" t="s">
        <v>37</v>
      </c>
      <c r="C48" t="s">
        <v>1736</v>
      </c>
      <c r="D48" t="s">
        <v>1618</v>
      </c>
      <c r="E48" s="13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3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1724</v>
      </c>
      <c r="S48" t="s">
        <v>1724</v>
      </c>
      <c r="T48" t="s">
        <v>1628</v>
      </c>
      <c r="U48" t="s">
        <v>1717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1" t="s">
        <v>1737</v>
      </c>
      <c r="B49" t="s">
        <v>1738</v>
      </c>
      <c r="C49" t="s">
        <v>1739</v>
      </c>
      <c r="D49" t="s">
        <v>1618</v>
      </c>
      <c r="E49" s="13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3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1724</v>
      </c>
      <c r="S49" t="s">
        <v>1721</v>
      </c>
      <c r="T49" t="s">
        <v>1669</v>
      </c>
      <c r="U49" t="s">
        <v>1740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1" t="s">
        <v>1741</v>
      </c>
      <c r="B50" t="s">
        <v>1738</v>
      </c>
      <c r="C50" t="s">
        <v>1742</v>
      </c>
      <c r="D50" t="s">
        <v>1618</v>
      </c>
      <c r="E50" s="13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3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1724</v>
      </c>
      <c r="S50" t="s">
        <v>1721</v>
      </c>
      <c r="T50" t="s">
        <v>1669</v>
      </c>
      <c r="U50" t="s">
        <v>1740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1" t="s">
        <v>1743</v>
      </c>
      <c r="B51" t="s">
        <v>1738</v>
      </c>
      <c r="C51" t="s">
        <v>1744</v>
      </c>
      <c r="D51" t="s">
        <v>1618</v>
      </c>
      <c r="E51" s="13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3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1724</v>
      </c>
      <c r="S51" t="s">
        <v>1721</v>
      </c>
      <c r="T51" t="s">
        <v>1669</v>
      </c>
      <c r="U51" t="s">
        <v>1740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1" t="s">
        <v>1745</v>
      </c>
      <c r="B52" t="s">
        <v>87</v>
      </c>
      <c r="C52" t="s">
        <v>1746</v>
      </c>
      <c r="D52" t="s">
        <v>1618</v>
      </c>
      <c r="E52" s="13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5">
        <v>15</v>
      </c>
      <c r="M52">
        <v>1</v>
      </c>
      <c r="N52">
        <v>6</v>
      </c>
      <c r="O52">
        <v>15</v>
      </c>
      <c r="P52">
        <v>1</v>
      </c>
      <c r="Q52" s="15">
        <v>1</v>
      </c>
      <c r="R52" t="s">
        <v>1638</v>
      </c>
      <c r="S52" t="s">
        <v>1638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1" t="s">
        <v>1747</v>
      </c>
      <c r="B53" t="s">
        <v>87</v>
      </c>
      <c r="C53" t="s">
        <v>1748</v>
      </c>
      <c r="D53" t="s">
        <v>1618</v>
      </c>
      <c r="E53" s="13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5">
        <v>30</v>
      </c>
      <c r="M53">
        <v>5</v>
      </c>
      <c r="N53">
        <v>8</v>
      </c>
      <c r="O53">
        <v>20</v>
      </c>
      <c r="P53">
        <v>1</v>
      </c>
      <c r="Q53" s="15">
        <v>10</v>
      </c>
      <c r="R53" t="s">
        <v>1641</v>
      </c>
      <c r="S53" t="s">
        <v>1638</v>
      </c>
      <c r="T53" t="s">
        <v>1638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1" t="s">
        <v>1749</v>
      </c>
      <c r="B54" t="s">
        <v>87</v>
      </c>
      <c r="C54" t="s">
        <v>1750</v>
      </c>
      <c r="D54" t="s">
        <v>1618</v>
      </c>
      <c r="E54" s="13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3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1641</v>
      </c>
      <c r="S54" t="s">
        <v>1641</v>
      </c>
      <c r="T54" t="s">
        <v>1638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1" t="s">
        <v>1751</v>
      </c>
      <c r="B55" t="s">
        <v>87</v>
      </c>
      <c r="C55" t="s">
        <v>1752</v>
      </c>
      <c r="D55" t="s">
        <v>1618</v>
      </c>
      <c r="E55" s="13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3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1641</v>
      </c>
      <c r="S55" t="s">
        <v>1641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1" t="s">
        <v>1753</v>
      </c>
      <c r="B56" t="s">
        <v>87</v>
      </c>
      <c r="C56" t="s">
        <v>1754</v>
      </c>
      <c r="D56" t="s">
        <v>1618</v>
      </c>
      <c r="E56" s="13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3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1641</v>
      </c>
      <c r="S56" t="s">
        <v>1755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1" t="s">
        <v>1756</v>
      </c>
      <c r="B57" t="s">
        <v>87</v>
      </c>
      <c r="C57" t="s">
        <v>1757</v>
      </c>
      <c r="D57" t="s">
        <v>1618</v>
      </c>
      <c r="E57" s="13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3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1641</v>
      </c>
      <c r="S57" t="s">
        <v>1641</v>
      </c>
      <c r="T57" t="s">
        <v>1755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1" t="s">
        <v>1758</v>
      </c>
      <c r="B58" t="s">
        <v>87</v>
      </c>
      <c r="C58" t="s">
        <v>1759</v>
      </c>
      <c r="D58" t="s">
        <v>1618</v>
      </c>
      <c r="E58" s="13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3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1641</v>
      </c>
      <c r="S58" t="s">
        <v>1641</v>
      </c>
      <c r="T58" t="s">
        <v>1755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1" t="s">
        <v>1760</v>
      </c>
      <c r="B59" t="s">
        <v>87</v>
      </c>
      <c r="C59" t="s">
        <v>1761</v>
      </c>
      <c r="D59" t="s">
        <v>1618</v>
      </c>
      <c r="E59" s="13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3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1625</v>
      </c>
      <c r="S59" t="s">
        <v>1625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1" t="s">
        <v>1762</v>
      </c>
      <c r="B60" t="s">
        <v>87</v>
      </c>
      <c r="C60" t="s">
        <v>1763</v>
      </c>
      <c r="D60" t="s">
        <v>1618</v>
      </c>
      <c r="E60" s="13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3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1641</v>
      </c>
      <c r="S60" t="s">
        <v>1625</v>
      </c>
      <c r="T60" t="s">
        <v>1625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1" t="s">
        <v>1764</v>
      </c>
      <c r="B61" t="s">
        <v>87</v>
      </c>
      <c r="C61" t="s">
        <v>1765</v>
      </c>
      <c r="D61" t="s">
        <v>1618</v>
      </c>
      <c r="E61" s="13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3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1641</v>
      </c>
      <c r="S61" t="s">
        <v>1641</v>
      </c>
      <c r="T61" t="s">
        <v>1625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1" t="s">
        <v>1766</v>
      </c>
      <c r="B62" t="s">
        <v>87</v>
      </c>
      <c r="C62" t="s">
        <v>1767</v>
      </c>
      <c r="D62" t="s">
        <v>1618</v>
      </c>
      <c r="E62" s="13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3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1641</v>
      </c>
      <c r="S62" t="s">
        <v>1641</v>
      </c>
      <c r="T62" t="s">
        <v>1641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1" t="s">
        <v>1768</v>
      </c>
      <c r="B63" t="s">
        <v>1769</v>
      </c>
      <c r="C63" t="s">
        <v>1770</v>
      </c>
      <c r="D63" t="s">
        <v>1618</v>
      </c>
      <c r="E63" s="13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5">
        <v>27</v>
      </c>
      <c r="M63">
        <v>18</v>
      </c>
      <c r="N63">
        <v>4</v>
      </c>
      <c r="O63">
        <v>30</v>
      </c>
      <c r="P63">
        <v>2</v>
      </c>
      <c r="Q63" s="15">
        <v>1</v>
      </c>
      <c r="R63" t="s">
        <v>1693</v>
      </c>
      <c r="S63" t="s">
        <v>1638</v>
      </c>
      <c r="T63" t="s">
        <v>1638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1" t="s">
        <v>1771</v>
      </c>
      <c r="B64" t="s">
        <v>1769</v>
      </c>
      <c r="C64" t="s">
        <v>1772</v>
      </c>
      <c r="D64" t="s">
        <v>1618</v>
      </c>
      <c r="E64" s="13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3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1677</v>
      </c>
      <c r="S64" t="s">
        <v>1625</v>
      </c>
      <c r="T64" t="s">
        <v>1625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1" t="s">
        <v>1773</v>
      </c>
      <c r="B65" t="s">
        <v>1769</v>
      </c>
      <c r="C65" t="s">
        <v>1774</v>
      </c>
      <c r="D65" t="s">
        <v>1618</v>
      </c>
      <c r="E65" s="13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3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1677</v>
      </c>
      <c r="S65" t="s">
        <v>1641</v>
      </c>
      <c r="T65" t="s">
        <v>1641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1" t="s">
        <v>1775</v>
      </c>
      <c r="B66" t="s">
        <v>1769</v>
      </c>
      <c r="C66" t="s">
        <v>1776</v>
      </c>
      <c r="D66" t="s">
        <v>1618</v>
      </c>
      <c r="E66" s="13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3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1677</v>
      </c>
      <c r="S66" t="s">
        <v>1641</v>
      </c>
      <c r="T66" t="s">
        <v>1641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1" t="s">
        <v>1777</v>
      </c>
      <c r="B67" t="s">
        <v>51</v>
      </c>
      <c r="C67" t="s">
        <v>1778</v>
      </c>
      <c r="D67" t="s">
        <v>1618</v>
      </c>
      <c r="E67" s="13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3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1724</v>
      </c>
      <c r="S67" t="s">
        <v>1721</v>
      </c>
      <c r="T67" t="s">
        <v>1678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1" t="s">
        <v>1779</v>
      </c>
      <c r="B68" t="s">
        <v>51</v>
      </c>
      <c r="C68" t="s">
        <v>1780</v>
      </c>
      <c r="D68" t="s">
        <v>1618</v>
      </c>
      <c r="E68" s="13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3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1724</v>
      </c>
      <c r="S68" t="s">
        <v>1724</v>
      </c>
      <c r="T68" t="s">
        <v>1721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1" t="s">
        <v>1781</v>
      </c>
      <c r="B69" t="s">
        <v>51</v>
      </c>
      <c r="C69" t="s">
        <v>1782</v>
      </c>
      <c r="D69" t="s">
        <v>1618</v>
      </c>
      <c r="E69" s="13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3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1724</v>
      </c>
      <c r="S69" t="s">
        <v>1724</v>
      </c>
      <c r="T69" t="s">
        <v>1678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1" t="s">
        <v>1783</v>
      </c>
      <c r="B70" t="s">
        <v>51</v>
      </c>
      <c r="C70" t="s">
        <v>1784</v>
      </c>
      <c r="D70" t="s">
        <v>1618</v>
      </c>
      <c r="E70" s="13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3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1724</v>
      </c>
      <c r="S70" t="s">
        <v>1724</v>
      </c>
      <c r="T70" t="s">
        <v>1717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1" t="s">
        <v>1785</v>
      </c>
      <c r="B71" t="s">
        <v>97</v>
      </c>
      <c r="C71" t="s">
        <v>1786</v>
      </c>
      <c r="D71" t="s">
        <v>1618</v>
      </c>
      <c r="E71" s="13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5">
        <v>15</v>
      </c>
      <c r="M71">
        <v>15</v>
      </c>
      <c r="N71">
        <v>5</v>
      </c>
      <c r="O71">
        <v>25</v>
      </c>
      <c r="P71">
        <v>1</v>
      </c>
      <c r="Q71" s="15">
        <v>1</v>
      </c>
      <c r="R71" t="s">
        <v>1622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1" t="s">
        <v>1787</v>
      </c>
      <c r="B72" t="s">
        <v>97</v>
      </c>
      <c r="C72" t="s">
        <v>1788</v>
      </c>
      <c r="D72" t="s">
        <v>1618</v>
      </c>
      <c r="E72" s="13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3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1622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1" t="s">
        <v>1789</v>
      </c>
      <c r="B73" t="s">
        <v>97</v>
      </c>
      <c r="C73" t="s">
        <v>1790</v>
      </c>
      <c r="D73" t="s">
        <v>1618</v>
      </c>
      <c r="E73" s="13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3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1637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1" t="s">
        <v>1791</v>
      </c>
      <c r="B74" t="s">
        <v>97</v>
      </c>
      <c r="C74" t="s">
        <v>1792</v>
      </c>
      <c r="D74" t="s">
        <v>1618</v>
      </c>
      <c r="E74" s="13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5">
        <v>71</v>
      </c>
      <c r="M74">
        <v>71</v>
      </c>
      <c r="N74">
        <v>20</v>
      </c>
      <c r="O74">
        <v>35</v>
      </c>
      <c r="P74">
        <v>1</v>
      </c>
      <c r="Q74" s="15">
        <v>30</v>
      </c>
      <c r="R74" t="s">
        <v>1637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1" t="s">
        <v>1793</v>
      </c>
      <c r="B75" t="s">
        <v>259</v>
      </c>
      <c r="C75" t="s">
        <v>1794</v>
      </c>
      <c r="D75" t="s">
        <v>1618</v>
      </c>
      <c r="E75" s="13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5">
        <v>32</v>
      </c>
      <c r="M75">
        <v>30</v>
      </c>
      <c r="N75">
        <v>8</v>
      </c>
      <c r="O75">
        <v>35</v>
      </c>
      <c r="P75">
        <v>1</v>
      </c>
      <c r="Q75" s="15">
        <v>20</v>
      </c>
      <c r="R75" t="s">
        <v>1637</v>
      </c>
      <c r="S75" t="s">
        <v>1638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1" t="s">
        <v>1795</v>
      </c>
      <c r="B76" t="s">
        <v>259</v>
      </c>
      <c r="C76" t="s">
        <v>1796</v>
      </c>
      <c r="D76" t="s">
        <v>1618</v>
      </c>
      <c r="E76" s="13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3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1637</v>
      </c>
      <c r="S76" t="s">
        <v>1641</v>
      </c>
      <c r="T76" t="s">
        <v>1630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1" t="s">
        <v>1797</v>
      </c>
      <c r="B77" t="s">
        <v>259</v>
      </c>
      <c r="C77" t="s">
        <v>1798</v>
      </c>
      <c r="D77" t="s">
        <v>1618</v>
      </c>
      <c r="E77" s="13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3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1693</v>
      </c>
      <c r="S77" t="s">
        <v>1799</v>
      </c>
      <c r="T77" t="s">
        <v>1619</v>
      </c>
      <c r="U77" t="s">
        <v>1800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1" t="s">
        <v>1801</v>
      </c>
      <c r="B78" t="s">
        <v>259</v>
      </c>
      <c r="C78" t="s">
        <v>1802</v>
      </c>
      <c r="D78" t="s">
        <v>1618</v>
      </c>
      <c r="E78" s="13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3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1693</v>
      </c>
      <c r="S78" t="s">
        <v>1799</v>
      </c>
      <c r="T78" t="s">
        <v>1803</v>
      </c>
      <c r="U78" t="s">
        <v>1800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1" t="s">
        <v>1804</v>
      </c>
      <c r="B79" t="s">
        <v>87</v>
      </c>
      <c r="C79" t="s">
        <v>1805</v>
      </c>
      <c r="D79" t="s">
        <v>1618</v>
      </c>
      <c r="E79" s="13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3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1625</v>
      </c>
      <c r="S79" t="s">
        <v>1625</v>
      </c>
      <c r="T79" t="s">
        <v>1625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1" t="s">
        <v>1806</v>
      </c>
      <c r="B80" t="s">
        <v>87</v>
      </c>
      <c r="C80" t="s">
        <v>1807</v>
      </c>
      <c r="D80" t="s">
        <v>1618</v>
      </c>
      <c r="E80" s="13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3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1641</v>
      </c>
      <c r="S80" t="s">
        <v>1625</v>
      </c>
      <c r="T80" t="s">
        <v>1625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1" t="s">
        <v>1808</v>
      </c>
      <c r="B81" t="s">
        <v>87</v>
      </c>
      <c r="C81" t="s">
        <v>1809</v>
      </c>
      <c r="D81" t="s">
        <v>1618</v>
      </c>
      <c r="E81" s="13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3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1641</v>
      </c>
      <c r="S81" t="s">
        <v>1641</v>
      </c>
      <c r="T81" t="s">
        <v>1625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1" t="s">
        <v>1810</v>
      </c>
      <c r="B82" t="s">
        <v>87</v>
      </c>
      <c r="C82" t="s">
        <v>1811</v>
      </c>
      <c r="D82" t="s">
        <v>1618</v>
      </c>
      <c r="E82" s="13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3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1641</v>
      </c>
      <c r="S82" t="s">
        <v>1641</v>
      </c>
      <c r="T82" t="s">
        <v>1641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1" t="s">
        <v>1812</v>
      </c>
      <c r="B83" t="s">
        <v>29</v>
      </c>
      <c r="C83" t="s">
        <v>1813</v>
      </c>
      <c r="D83" t="s">
        <v>1618</v>
      </c>
      <c r="E83" s="13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5">
        <v>43</v>
      </c>
      <c r="M83">
        <v>40</v>
      </c>
      <c r="N83">
        <v>40</v>
      </c>
      <c r="O83">
        <v>32</v>
      </c>
      <c r="P83">
        <v>1</v>
      </c>
      <c r="Q83" s="15">
        <v>20</v>
      </c>
      <c r="R83" t="s">
        <v>1667</v>
      </c>
      <c r="S83" t="s">
        <v>1663</v>
      </c>
      <c r="T83" t="s">
        <v>1663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1" t="s">
        <v>1814</v>
      </c>
      <c r="B84" t="s">
        <v>29</v>
      </c>
      <c r="C84" t="s">
        <v>1815</v>
      </c>
      <c r="D84" t="s">
        <v>1618</v>
      </c>
      <c r="E84" s="13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5">
        <v>55</v>
      </c>
      <c r="M84">
        <v>45</v>
      </c>
      <c r="N84">
        <v>50</v>
      </c>
      <c r="O84">
        <v>32</v>
      </c>
      <c r="P84">
        <v>1</v>
      </c>
      <c r="Q84" s="15">
        <v>30</v>
      </c>
      <c r="R84" t="s">
        <v>1667</v>
      </c>
      <c r="S84" t="s">
        <v>1669</v>
      </c>
      <c r="T84" t="s">
        <v>1663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1" t="s">
        <v>1816</v>
      </c>
      <c r="B85" t="s">
        <v>29</v>
      </c>
      <c r="C85" t="s">
        <v>1817</v>
      </c>
      <c r="D85" t="s">
        <v>1618</v>
      </c>
      <c r="E85" s="13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3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1667</v>
      </c>
      <c r="S85" t="s">
        <v>1667</v>
      </c>
      <c r="T85" t="s">
        <v>1669</v>
      </c>
      <c r="U85" t="s">
        <v>1669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1" t="s">
        <v>1818</v>
      </c>
      <c r="B86" t="s">
        <v>29</v>
      </c>
      <c r="C86" t="s">
        <v>1819</v>
      </c>
      <c r="D86" t="s">
        <v>1618</v>
      </c>
      <c r="E86" s="13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3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1674</v>
      </c>
      <c r="S86" t="s">
        <v>1667</v>
      </c>
      <c r="T86" t="s">
        <v>1669</v>
      </c>
      <c r="U86" t="s">
        <v>1669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1" t="s">
        <v>1820</v>
      </c>
      <c r="B87" t="s">
        <v>37</v>
      </c>
      <c r="C87" t="s">
        <v>1821</v>
      </c>
      <c r="D87" t="s">
        <v>1618</v>
      </c>
      <c r="E87" s="13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3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1724</v>
      </c>
      <c r="S87" t="s">
        <v>1720</v>
      </c>
      <c r="T87" t="s">
        <v>1721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1" t="s">
        <v>1822</v>
      </c>
      <c r="B88" t="s">
        <v>37</v>
      </c>
      <c r="C88" t="s">
        <v>1823</v>
      </c>
      <c r="D88" t="s">
        <v>1618</v>
      </c>
      <c r="E88" s="13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3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1724</v>
      </c>
      <c r="S88" t="s">
        <v>1720</v>
      </c>
      <c r="T88" t="s">
        <v>1721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1" t="s">
        <v>1824</v>
      </c>
      <c r="B89" t="s">
        <v>37</v>
      </c>
      <c r="C89" t="s">
        <v>1825</v>
      </c>
      <c r="D89" t="s">
        <v>1618</v>
      </c>
      <c r="E89" s="13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3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1724</v>
      </c>
      <c r="S89" t="s">
        <v>1724</v>
      </c>
      <c r="T89" t="s">
        <v>1678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1" t="s">
        <v>1826</v>
      </c>
      <c r="B90" t="s">
        <v>37</v>
      </c>
      <c r="C90" t="s">
        <v>1827</v>
      </c>
      <c r="D90" t="s">
        <v>1618</v>
      </c>
      <c r="E90" s="13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3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1724</v>
      </c>
      <c r="S90" t="s">
        <v>1724</v>
      </c>
      <c r="T90" t="s">
        <v>1678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1" t="s">
        <v>1828</v>
      </c>
      <c r="B91" t="s">
        <v>84</v>
      </c>
      <c r="C91" t="s">
        <v>1829</v>
      </c>
      <c r="D91" t="s">
        <v>1618</v>
      </c>
      <c r="E91" s="13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3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1710</v>
      </c>
      <c r="S91" t="s">
        <v>1677</v>
      </c>
      <c r="T91" t="s">
        <v>1625</v>
      </c>
      <c r="U91" t="s">
        <v>1678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1" t="s">
        <v>1830</v>
      </c>
      <c r="B92" t="s">
        <v>84</v>
      </c>
      <c r="C92" t="s">
        <v>1831</v>
      </c>
      <c r="D92" t="s">
        <v>1618</v>
      </c>
      <c r="E92" s="13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3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1710</v>
      </c>
      <c r="S92" t="s">
        <v>1677</v>
      </c>
      <c r="T92" t="s">
        <v>1625</v>
      </c>
      <c r="U92" t="s">
        <v>1678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1" t="s">
        <v>1832</v>
      </c>
      <c r="B93" t="s">
        <v>84</v>
      </c>
      <c r="C93" t="s">
        <v>1833</v>
      </c>
      <c r="D93" t="s">
        <v>1618</v>
      </c>
      <c r="E93" s="13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3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1710</v>
      </c>
      <c r="S93" t="s">
        <v>1677</v>
      </c>
      <c r="T93" t="s">
        <v>1625</v>
      </c>
      <c r="U93" t="s">
        <v>1678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1" t="s">
        <v>1834</v>
      </c>
      <c r="B94" t="s">
        <v>84</v>
      </c>
      <c r="C94" t="s">
        <v>1835</v>
      </c>
      <c r="D94" t="s">
        <v>1618</v>
      </c>
      <c r="E94" s="13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3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1710</v>
      </c>
      <c r="S94" t="s">
        <v>1677</v>
      </c>
      <c r="T94" t="s">
        <v>1641</v>
      </c>
      <c r="U94" t="s">
        <v>1678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1" t="s">
        <v>1836</v>
      </c>
      <c r="B95" t="s">
        <v>131</v>
      </c>
      <c r="C95" t="s">
        <v>1837</v>
      </c>
      <c r="D95" t="s">
        <v>1618</v>
      </c>
      <c r="E95" s="13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3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1693</v>
      </c>
      <c r="S95" t="s">
        <v>1630</v>
      </c>
      <c r="T95" t="s">
        <v>1678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1" t="s">
        <v>1838</v>
      </c>
      <c r="B96" t="s">
        <v>131</v>
      </c>
      <c r="C96" t="s">
        <v>1839</v>
      </c>
      <c r="D96" t="s">
        <v>1618</v>
      </c>
      <c r="E96" s="13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3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1693</v>
      </c>
      <c r="S96" t="s">
        <v>1630</v>
      </c>
      <c r="T96" t="s">
        <v>1678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26">
      <c r="A97" s="1" t="s">
        <v>1840</v>
      </c>
      <c r="B97" t="s">
        <v>131</v>
      </c>
      <c r="C97" t="s">
        <v>1841</v>
      </c>
      <c r="D97" t="s">
        <v>1618</v>
      </c>
      <c r="E97" s="13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3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1693</v>
      </c>
      <c r="S97" t="s">
        <v>1800</v>
      </c>
      <c r="T97" t="s">
        <v>1629</v>
      </c>
      <c r="U97" t="s">
        <v>1625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26">
      <c r="A98" s="1" t="s">
        <v>1842</v>
      </c>
      <c r="B98" t="s">
        <v>131</v>
      </c>
      <c r="C98" t="s">
        <v>1843</v>
      </c>
      <c r="D98" t="s">
        <v>1618</v>
      </c>
      <c r="E98" s="13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3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1693</v>
      </c>
      <c r="S98" t="s">
        <v>1800</v>
      </c>
      <c r="T98" t="s">
        <v>1634</v>
      </c>
      <c r="U98" t="s">
        <v>1641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1" t="s">
        <v>1844</v>
      </c>
      <c r="B99" t="s">
        <v>1845</v>
      </c>
      <c r="C99" t="s">
        <v>1846</v>
      </c>
      <c r="D99" t="s">
        <v>1618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5">
        <v>172</v>
      </c>
      <c r="M99">
        <v>120</v>
      </c>
      <c r="N99">
        <v>1004</v>
      </c>
      <c r="O99">
        <v>45</v>
      </c>
      <c r="P99">
        <v>4</v>
      </c>
      <c r="Q99" s="15">
        <v>80</v>
      </c>
      <c r="R99" t="s">
        <v>1724</v>
      </c>
      <c r="S99" t="s">
        <v>1847</v>
      </c>
      <c r="T99" t="s">
        <v>1740</v>
      </c>
      <c r="U99" t="s">
        <v>1848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1"/>
      <c r="AD99" t="s">
        <v>1849</v>
      </c>
    </row>
    <row r="100" spans="1:30">
      <c r="A100" s="1" t="s">
        <v>1850</v>
      </c>
      <c r="B100" t="s">
        <v>1845</v>
      </c>
      <c r="C100" t="s">
        <v>1851</v>
      </c>
      <c r="D100" t="s">
        <v>1618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5">
        <v>172</v>
      </c>
      <c r="M100">
        <v>120</v>
      </c>
      <c r="N100">
        <v>1004</v>
      </c>
      <c r="O100">
        <v>45</v>
      </c>
      <c r="P100">
        <v>4</v>
      </c>
      <c r="Q100" s="15">
        <v>80</v>
      </c>
      <c r="R100" t="s">
        <v>1724</v>
      </c>
      <c r="S100" t="s">
        <v>1847</v>
      </c>
      <c r="T100" t="s">
        <v>1740</v>
      </c>
      <c r="U100" t="s">
        <v>1848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1"/>
      <c r="AD100" t="s">
        <v>1849</v>
      </c>
    </row>
    <row r="101" spans="1:30">
      <c r="A101" s="1" t="s">
        <v>1852</v>
      </c>
      <c r="B101" t="s">
        <v>1845</v>
      </c>
      <c r="C101" t="s">
        <v>1853</v>
      </c>
      <c r="D101" t="s">
        <v>1618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5">
        <v>172</v>
      </c>
      <c r="M101">
        <v>120</v>
      </c>
      <c r="N101">
        <v>1004</v>
      </c>
      <c r="O101">
        <v>45</v>
      </c>
      <c r="P101">
        <v>4</v>
      </c>
      <c r="Q101" s="15">
        <v>80</v>
      </c>
      <c r="R101" t="s">
        <v>1724</v>
      </c>
      <c r="S101" t="s">
        <v>1847</v>
      </c>
      <c r="T101" t="s">
        <v>1740</v>
      </c>
      <c r="U101" t="s">
        <v>1848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1"/>
      <c r="AD101" t="s">
        <v>1849</v>
      </c>
    </row>
    <row r="102" spans="1:26">
      <c r="A102" s="1" t="s">
        <v>1854</v>
      </c>
      <c r="B102" t="s">
        <v>105</v>
      </c>
      <c r="C102" t="s">
        <v>1855</v>
      </c>
      <c r="D102" t="s">
        <v>1618</v>
      </c>
      <c r="E102" s="13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3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1856</v>
      </c>
      <c r="S102" t="s">
        <v>1857</v>
      </c>
      <c r="T102" t="s">
        <v>1857</v>
      </c>
      <c r="V102" s="15">
        <f t="shared" ref="V102:V137" si="4">SUM(W102:Z102)</f>
        <v>24</v>
      </c>
      <c r="W102" s="15">
        <v>8</v>
      </c>
      <c r="X102" s="15">
        <v>8</v>
      </c>
      <c r="Y102" s="15">
        <v>8</v>
      </c>
      <c r="Z102">
        <v>0</v>
      </c>
    </row>
    <row r="103" spans="1:26">
      <c r="A103" s="1" t="s">
        <v>1858</v>
      </c>
      <c r="B103" t="s">
        <v>105</v>
      </c>
      <c r="C103" t="s">
        <v>1859</v>
      </c>
      <c r="D103" t="s">
        <v>1618</v>
      </c>
      <c r="E103" s="13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3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1856</v>
      </c>
      <c r="S103" t="s">
        <v>1857</v>
      </c>
      <c r="T103" t="s">
        <v>1857</v>
      </c>
      <c r="V103" s="15">
        <f t="shared" si="4"/>
        <v>24</v>
      </c>
      <c r="W103" s="15">
        <v>8</v>
      </c>
      <c r="X103" s="15">
        <v>8</v>
      </c>
      <c r="Y103" s="15">
        <v>8</v>
      </c>
      <c r="Z103">
        <v>0</v>
      </c>
    </row>
    <row r="104" spans="1:26">
      <c r="A104" s="1" t="s">
        <v>1860</v>
      </c>
      <c r="B104" t="s">
        <v>105</v>
      </c>
      <c r="C104" t="s">
        <v>1861</v>
      </c>
      <c r="D104" t="s">
        <v>1618</v>
      </c>
      <c r="E104" s="13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3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1856</v>
      </c>
      <c r="S104" t="s">
        <v>1857</v>
      </c>
      <c r="T104" t="s">
        <v>1857</v>
      </c>
      <c r="V104" s="15">
        <f t="shared" si="4"/>
        <v>24</v>
      </c>
      <c r="W104" s="15">
        <v>8</v>
      </c>
      <c r="X104" s="15">
        <v>8</v>
      </c>
      <c r="Y104" s="15">
        <v>8</v>
      </c>
      <c r="Z104">
        <v>0</v>
      </c>
    </row>
    <row r="105" spans="1:26">
      <c r="A105" s="1" t="s">
        <v>1862</v>
      </c>
      <c r="B105" t="s">
        <v>105</v>
      </c>
      <c r="C105" t="s">
        <v>1863</v>
      </c>
      <c r="D105" t="s">
        <v>1618</v>
      </c>
      <c r="E105" s="13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5">
        <v>90</v>
      </c>
      <c r="M105">
        <v>90</v>
      </c>
      <c r="N105">
        <v>40</v>
      </c>
      <c r="O105">
        <v>35</v>
      </c>
      <c r="P105">
        <v>1</v>
      </c>
      <c r="Q105" s="15">
        <v>50</v>
      </c>
      <c r="R105" t="s">
        <v>1856</v>
      </c>
      <c r="S105" t="s">
        <v>1857</v>
      </c>
      <c r="T105" t="s">
        <v>1857</v>
      </c>
      <c r="V105" s="15">
        <f t="shared" si="4"/>
        <v>24</v>
      </c>
      <c r="W105" s="15">
        <v>8</v>
      </c>
      <c r="X105" s="15">
        <v>8</v>
      </c>
      <c r="Y105" s="15">
        <v>8</v>
      </c>
      <c r="Z105">
        <v>0</v>
      </c>
    </row>
    <row r="106" s="13" customFormat="1" spans="1:30">
      <c r="A106" s="16" t="s">
        <v>1864</v>
      </c>
      <c r="B106" s="13" t="s">
        <v>97</v>
      </c>
      <c r="C106" s="13" t="s">
        <v>1865</v>
      </c>
      <c r="D106" s="13" t="s">
        <v>1618</v>
      </c>
      <c r="E106" s="13">
        <v>1</v>
      </c>
      <c r="F106" s="13">
        <v>10</v>
      </c>
      <c r="G106" s="13">
        <v>20</v>
      </c>
      <c r="H106" s="13">
        <v>0</v>
      </c>
      <c r="I106" s="13">
        <v>10</v>
      </c>
      <c r="J106" s="13">
        <v>20</v>
      </c>
      <c r="K106" s="13">
        <v>0</v>
      </c>
      <c r="L106" s="15">
        <v>1</v>
      </c>
      <c r="M106" s="13">
        <v>50</v>
      </c>
      <c r="N106" s="13">
        <v>15</v>
      </c>
      <c r="O106" s="13">
        <v>15</v>
      </c>
      <c r="P106" s="13">
        <v>1</v>
      </c>
      <c r="Q106" s="15">
        <v>1</v>
      </c>
      <c r="V106" s="13">
        <f t="shared" si="4"/>
        <v>0</v>
      </c>
      <c r="W106" s="13">
        <v>0</v>
      </c>
      <c r="X106" s="13">
        <v>0</v>
      </c>
      <c r="Y106" s="13">
        <v>0</v>
      </c>
      <c r="Z106" s="13">
        <v>0</v>
      </c>
      <c r="AD106" s="13" t="s">
        <v>1866</v>
      </c>
    </row>
    <row r="107" s="13" customFormat="1" spans="1:30">
      <c r="A107" s="16" t="s">
        <v>1867</v>
      </c>
      <c r="B107" s="13" t="s">
        <v>97</v>
      </c>
      <c r="C107" s="13" t="s">
        <v>1868</v>
      </c>
      <c r="D107" s="13" t="s">
        <v>1618</v>
      </c>
      <c r="E107" s="13">
        <v>1</v>
      </c>
      <c r="F107" s="13">
        <v>50</v>
      </c>
      <c r="G107" s="13">
        <v>1</v>
      </c>
      <c r="H107" s="13">
        <v>0</v>
      </c>
      <c r="I107" s="13">
        <v>1</v>
      </c>
      <c r="J107" s="13">
        <v>1</v>
      </c>
      <c r="K107" s="13">
        <v>0</v>
      </c>
      <c r="L107" s="13">
        <v>1</v>
      </c>
      <c r="M107" s="13">
        <v>1</v>
      </c>
      <c r="N107" s="13">
        <v>1</v>
      </c>
      <c r="O107" s="13">
        <v>15</v>
      </c>
      <c r="P107" s="13">
        <v>1</v>
      </c>
      <c r="Q107" s="13">
        <v>50</v>
      </c>
      <c r="V107" s="13">
        <f t="shared" si="4"/>
        <v>0</v>
      </c>
      <c r="W107" s="13">
        <v>0</v>
      </c>
      <c r="X107" s="13">
        <v>0</v>
      </c>
      <c r="Y107" s="13">
        <v>0</v>
      </c>
      <c r="Z107" s="13">
        <v>0</v>
      </c>
      <c r="AD107" s="13" t="s">
        <v>1869</v>
      </c>
    </row>
    <row r="108" s="13" customFormat="1" spans="1:30">
      <c r="A108" s="16" t="s">
        <v>1870</v>
      </c>
      <c r="B108" s="13" t="s">
        <v>1738</v>
      </c>
      <c r="C108" s="13" t="s">
        <v>1871</v>
      </c>
      <c r="D108" s="13" t="s">
        <v>1618</v>
      </c>
      <c r="E108" s="13">
        <v>101</v>
      </c>
      <c r="F108" s="13">
        <v>200</v>
      </c>
      <c r="G108" s="13">
        <v>130</v>
      </c>
      <c r="H108" s="13">
        <v>100</v>
      </c>
      <c r="I108" s="13">
        <v>130</v>
      </c>
      <c r="J108" s="13">
        <v>80</v>
      </c>
      <c r="K108" s="13">
        <v>90</v>
      </c>
      <c r="L108" s="13">
        <v>100</v>
      </c>
      <c r="M108" s="13">
        <v>45</v>
      </c>
      <c r="N108" s="13">
        <v>50</v>
      </c>
      <c r="O108" s="13">
        <v>30</v>
      </c>
      <c r="P108" s="13">
        <v>3</v>
      </c>
      <c r="Q108" s="13">
        <v>60</v>
      </c>
      <c r="R108" s="13" t="s">
        <v>1724</v>
      </c>
      <c r="S108" s="13" t="s">
        <v>1721</v>
      </c>
      <c r="T108" s="13" t="s">
        <v>1641</v>
      </c>
      <c r="U108" s="13" t="s">
        <v>1740</v>
      </c>
      <c r="V108" s="13">
        <f t="shared" si="4"/>
        <v>140</v>
      </c>
      <c r="W108" s="13">
        <v>0</v>
      </c>
      <c r="X108" s="13">
        <v>0</v>
      </c>
      <c r="Y108" s="13">
        <v>0</v>
      </c>
      <c r="Z108" s="13">
        <v>140</v>
      </c>
      <c r="AD108" s="13" t="s">
        <v>1872</v>
      </c>
    </row>
    <row r="109" s="13" customFormat="1" spans="1:30">
      <c r="A109" s="16" t="s">
        <v>1873</v>
      </c>
      <c r="B109" s="13" t="s">
        <v>51</v>
      </c>
      <c r="C109" s="13" t="s">
        <v>1874</v>
      </c>
      <c r="D109" s="13" t="s">
        <v>1618</v>
      </c>
      <c r="E109" s="13">
        <v>101</v>
      </c>
      <c r="F109" s="13">
        <v>119</v>
      </c>
      <c r="G109" s="13">
        <v>130</v>
      </c>
      <c r="H109" s="13">
        <v>0</v>
      </c>
      <c r="I109" s="13">
        <v>80</v>
      </c>
      <c r="J109" s="13">
        <v>58</v>
      </c>
      <c r="K109" s="13">
        <v>0</v>
      </c>
      <c r="L109" s="13">
        <v>100</v>
      </c>
      <c r="M109" s="13">
        <v>57</v>
      </c>
      <c r="N109" s="13">
        <v>30</v>
      </c>
      <c r="O109" s="13">
        <v>33</v>
      </c>
      <c r="P109" s="13">
        <v>3</v>
      </c>
      <c r="Q109" s="13">
        <v>40</v>
      </c>
      <c r="R109" s="13" t="s">
        <v>1724</v>
      </c>
      <c r="S109" s="13" t="s">
        <v>1724</v>
      </c>
      <c r="T109" s="13" t="s">
        <v>1628</v>
      </c>
      <c r="U109" s="13" t="s">
        <v>1717</v>
      </c>
      <c r="V109" s="13">
        <f t="shared" si="4"/>
        <v>16</v>
      </c>
      <c r="W109" s="13">
        <v>4</v>
      </c>
      <c r="X109" s="13">
        <v>4</v>
      </c>
      <c r="Y109" s="13">
        <v>4</v>
      </c>
      <c r="Z109" s="13">
        <v>4</v>
      </c>
      <c r="AD109" s="13" t="s">
        <v>1872</v>
      </c>
    </row>
    <row r="110" s="13" customFormat="1" spans="1:30">
      <c r="A110" s="16" t="s">
        <v>1875</v>
      </c>
      <c r="B110" s="13" t="s">
        <v>51</v>
      </c>
      <c r="C110" s="13" t="s">
        <v>1876</v>
      </c>
      <c r="D110" s="13" t="s">
        <v>1618</v>
      </c>
      <c r="E110" s="13">
        <v>101</v>
      </c>
      <c r="F110" s="13">
        <v>99</v>
      </c>
      <c r="G110" s="13">
        <v>110</v>
      </c>
      <c r="H110" s="13">
        <v>0</v>
      </c>
      <c r="I110" s="13">
        <v>80</v>
      </c>
      <c r="J110" s="13">
        <v>58</v>
      </c>
      <c r="K110" s="13">
        <v>0</v>
      </c>
      <c r="L110" s="13">
        <v>100</v>
      </c>
      <c r="M110" s="13">
        <v>57</v>
      </c>
      <c r="N110" s="13">
        <v>30</v>
      </c>
      <c r="O110" s="13">
        <v>33</v>
      </c>
      <c r="P110" s="13">
        <v>3</v>
      </c>
      <c r="Q110" s="13">
        <v>40</v>
      </c>
      <c r="R110" s="13" t="s">
        <v>1724</v>
      </c>
      <c r="S110" s="13" t="s">
        <v>1724</v>
      </c>
      <c r="T110" s="13" t="s">
        <v>1628</v>
      </c>
      <c r="U110" s="13" t="s">
        <v>1717</v>
      </c>
      <c r="V110" s="13">
        <f t="shared" si="4"/>
        <v>16</v>
      </c>
      <c r="W110" s="13">
        <v>4</v>
      </c>
      <c r="X110" s="13">
        <v>4</v>
      </c>
      <c r="Y110" s="13">
        <v>4</v>
      </c>
      <c r="Z110" s="13">
        <v>4</v>
      </c>
      <c r="AD110" s="13" t="s">
        <v>1872</v>
      </c>
    </row>
    <row r="111" s="13" customFormat="1" spans="1:30">
      <c r="A111" s="16" t="s">
        <v>1877</v>
      </c>
      <c r="B111" s="13" t="s">
        <v>131</v>
      </c>
      <c r="C111" s="13" t="s">
        <v>1878</v>
      </c>
      <c r="D111" s="13" t="s">
        <v>1618</v>
      </c>
      <c r="E111" s="13">
        <v>101</v>
      </c>
      <c r="F111" s="13">
        <v>88</v>
      </c>
      <c r="G111" s="13">
        <v>95</v>
      </c>
      <c r="H111" s="13">
        <v>120</v>
      </c>
      <c r="I111" s="13">
        <v>80</v>
      </c>
      <c r="J111" s="13">
        <v>150</v>
      </c>
      <c r="K111" s="13">
        <v>105</v>
      </c>
      <c r="L111" s="13">
        <v>100</v>
      </c>
      <c r="M111" s="13">
        <v>60</v>
      </c>
      <c r="N111" s="13">
        <v>62</v>
      </c>
      <c r="O111" s="13">
        <v>35</v>
      </c>
      <c r="P111" s="13">
        <v>2</v>
      </c>
      <c r="Q111" s="13">
        <v>50</v>
      </c>
      <c r="R111" s="13" t="s">
        <v>1677</v>
      </c>
      <c r="S111" s="13" t="s">
        <v>1677</v>
      </c>
      <c r="T111" s="13" t="s">
        <v>1634</v>
      </c>
      <c r="U111" s="13" t="s">
        <v>1641</v>
      </c>
      <c r="V111" s="13">
        <f t="shared" si="4"/>
        <v>8</v>
      </c>
      <c r="W111" s="13">
        <v>2</v>
      </c>
      <c r="X111" s="13">
        <v>2</v>
      </c>
      <c r="Y111" s="13">
        <v>2</v>
      </c>
      <c r="Z111" s="13">
        <v>2</v>
      </c>
      <c r="AD111" s="13" t="s">
        <v>1872</v>
      </c>
    </row>
    <row r="112" s="13" customFormat="1" spans="1:30">
      <c r="A112" s="16" t="s">
        <v>1879</v>
      </c>
      <c r="B112" s="13" t="s">
        <v>131</v>
      </c>
      <c r="C112" s="13" t="s">
        <v>1880</v>
      </c>
      <c r="D112" s="13" t="s">
        <v>1618</v>
      </c>
      <c r="E112" s="13">
        <v>101</v>
      </c>
      <c r="F112" s="13">
        <v>95</v>
      </c>
      <c r="G112" s="13">
        <v>85</v>
      </c>
      <c r="H112" s="13">
        <v>120</v>
      </c>
      <c r="I112" s="13">
        <v>80</v>
      </c>
      <c r="J112" s="13">
        <v>150</v>
      </c>
      <c r="K112" s="13">
        <v>105</v>
      </c>
      <c r="L112" s="13">
        <v>100</v>
      </c>
      <c r="M112" s="13">
        <v>70</v>
      </c>
      <c r="N112" s="13">
        <v>62</v>
      </c>
      <c r="O112" s="13">
        <v>35</v>
      </c>
      <c r="P112" s="13">
        <v>2</v>
      </c>
      <c r="Q112" s="13">
        <v>50</v>
      </c>
      <c r="R112" s="13" t="s">
        <v>1677</v>
      </c>
      <c r="S112" s="13" t="s">
        <v>1677</v>
      </c>
      <c r="T112" s="13" t="s">
        <v>1634</v>
      </c>
      <c r="U112" s="13" t="s">
        <v>1641</v>
      </c>
      <c r="V112" s="13">
        <f t="shared" si="4"/>
        <v>8</v>
      </c>
      <c r="W112" s="13">
        <v>2</v>
      </c>
      <c r="X112" s="13">
        <v>2</v>
      </c>
      <c r="Y112" s="13">
        <v>2</v>
      </c>
      <c r="Z112" s="13">
        <v>2</v>
      </c>
      <c r="AD112" s="13" t="s">
        <v>1872</v>
      </c>
    </row>
    <row r="113" s="13" customFormat="1" spans="1:30">
      <c r="A113" s="16" t="s">
        <v>1881</v>
      </c>
      <c r="B113" s="13" t="s">
        <v>131</v>
      </c>
      <c r="C113" s="13" t="s">
        <v>1882</v>
      </c>
      <c r="D113" s="13" t="s">
        <v>1618</v>
      </c>
      <c r="E113" s="13">
        <v>101</v>
      </c>
      <c r="F113" s="13">
        <v>88</v>
      </c>
      <c r="G113" s="13">
        <v>75</v>
      </c>
      <c r="H113" s="13">
        <v>120</v>
      </c>
      <c r="I113" s="13">
        <v>80</v>
      </c>
      <c r="J113" s="13">
        <v>150</v>
      </c>
      <c r="K113" s="13">
        <v>105</v>
      </c>
      <c r="L113" s="13">
        <v>100</v>
      </c>
      <c r="M113" s="13">
        <v>80</v>
      </c>
      <c r="N113" s="13">
        <v>62</v>
      </c>
      <c r="O113" s="13">
        <v>35</v>
      </c>
      <c r="P113" s="13">
        <v>2</v>
      </c>
      <c r="Q113" s="13">
        <v>50</v>
      </c>
      <c r="R113" s="13" t="s">
        <v>1677</v>
      </c>
      <c r="S113" s="13" t="s">
        <v>1677</v>
      </c>
      <c r="T113" s="13" t="s">
        <v>1634</v>
      </c>
      <c r="U113" s="13" t="s">
        <v>1641</v>
      </c>
      <c r="V113" s="13">
        <f t="shared" si="4"/>
        <v>8</v>
      </c>
      <c r="W113" s="13">
        <v>2</v>
      </c>
      <c r="X113" s="13">
        <v>2</v>
      </c>
      <c r="Y113" s="13">
        <v>2</v>
      </c>
      <c r="Z113" s="13">
        <v>2</v>
      </c>
      <c r="AD113" s="13" t="s">
        <v>1872</v>
      </c>
    </row>
    <row r="114" spans="1:26">
      <c r="A114" s="1" t="s">
        <v>1883</v>
      </c>
      <c r="B114" t="s">
        <v>92</v>
      </c>
      <c r="C114" t="s">
        <v>1884</v>
      </c>
      <c r="D114" t="s">
        <v>1618</v>
      </c>
      <c r="E114" s="13">
        <v>40</v>
      </c>
      <c r="F114">
        <v>28</v>
      </c>
      <c r="G114">
        <v>20</v>
      </c>
      <c r="H114">
        <v>38</v>
      </c>
      <c r="I114">
        <v>26</v>
      </c>
      <c r="J114">
        <v>10</v>
      </c>
      <c r="K114">
        <v>0</v>
      </c>
      <c r="L114" s="13">
        <v>60</v>
      </c>
      <c r="M114">
        <v>42</v>
      </c>
      <c r="N114">
        <v>20</v>
      </c>
      <c r="O114">
        <v>35</v>
      </c>
      <c r="P114">
        <v>1</v>
      </c>
      <c r="Q114">
        <v>20</v>
      </c>
      <c r="R114" t="s">
        <v>1885</v>
      </c>
      <c r="S114" t="s">
        <v>1886</v>
      </c>
      <c r="T114" t="s">
        <v>1886</v>
      </c>
      <c r="V114" s="15">
        <f t="shared" si="4"/>
        <v>24</v>
      </c>
      <c r="W114" s="15">
        <v>8</v>
      </c>
      <c r="X114" s="15">
        <v>8</v>
      </c>
      <c r="Y114" s="15">
        <v>8</v>
      </c>
      <c r="Z114">
        <v>0</v>
      </c>
    </row>
    <row r="115" spans="1:26">
      <c r="A115" s="1" t="s">
        <v>1887</v>
      </c>
      <c r="B115" t="s">
        <v>92</v>
      </c>
      <c r="C115" t="s">
        <v>1888</v>
      </c>
      <c r="D115" t="s">
        <v>1618</v>
      </c>
      <c r="E115" s="13">
        <v>60</v>
      </c>
      <c r="F115">
        <v>37</v>
      </c>
      <c r="G115">
        <v>31</v>
      </c>
      <c r="H115">
        <v>46</v>
      </c>
      <c r="I115">
        <v>36</v>
      </c>
      <c r="J115">
        <v>20</v>
      </c>
      <c r="K115">
        <v>0</v>
      </c>
      <c r="L115" s="13">
        <v>70</v>
      </c>
      <c r="M115">
        <v>50</v>
      </c>
      <c r="N115">
        <v>30</v>
      </c>
      <c r="O115">
        <v>35</v>
      </c>
      <c r="P115">
        <v>1</v>
      </c>
      <c r="Q115">
        <v>30</v>
      </c>
      <c r="R115" t="s">
        <v>1885</v>
      </c>
      <c r="S115" t="s">
        <v>1886</v>
      </c>
      <c r="T115" t="s">
        <v>1886</v>
      </c>
      <c r="V115" s="15">
        <f t="shared" si="4"/>
        <v>24</v>
      </c>
      <c r="W115" s="15">
        <v>8</v>
      </c>
      <c r="X115" s="15">
        <v>8</v>
      </c>
      <c r="Y115" s="15">
        <v>8</v>
      </c>
      <c r="Z115">
        <v>0</v>
      </c>
    </row>
    <row r="116" spans="1:26">
      <c r="A116" s="1" t="s">
        <v>1889</v>
      </c>
      <c r="B116" t="s">
        <v>92</v>
      </c>
      <c r="C116" t="s">
        <v>1890</v>
      </c>
      <c r="D116" t="s">
        <v>1618</v>
      </c>
      <c r="E116" s="13">
        <v>75</v>
      </c>
      <c r="F116">
        <v>48</v>
      </c>
      <c r="G116">
        <v>39</v>
      </c>
      <c r="H116">
        <v>69</v>
      </c>
      <c r="I116">
        <v>47</v>
      </c>
      <c r="J116">
        <v>30</v>
      </c>
      <c r="K116">
        <v>0</v>
      </c>
      <c r="L116" s="13">
        <v>80</v>
      </c>
      <c r="M116">
        <v>70</v>
      </c>
      <c r="N116">
        <v>35</v>
      </c>
      <c r="O116">
        <v>35</v>
      </c>
      <c r="P116">
        <v>1</v>
      </c>
      <c r="Q116">
        <v>40</v>
      </c>
      <c r="R116" t="s">
        <v>1885</v>
      </c>
      <c r="S116" t="s">
        <v>1886</v>
      </c>
      <c r="T116" t="s">
        <v>1886</v>
      </c>
      <c r="V116" s="15">
        <f t="shared" si="4"/>
        <v>24</v>
      </c>
      <c r="W116" s="15">
        <v>8</v>
      </c>
      <c r="X116" s="15">
        <v>8</v>
      </c>
      <c r="Y116" s="15">
        <v>8</v>
      </c>
      <c r="Z116">
        <v>0</v>
      </c>
    </row>
    <row r="117" spans="1:26">
      <c r="A117" s="1" t="s">
        <v>1891</v>
      </c>
      <c r="B117" t="s">
        <v>92</v>
      </c>
      <c r="C117" t="s">
        <v>1892</v>
      </c>
      <c r="D117" t="s">
        <v>1618</v>
      </c>
      <c r="E117" s="13">
        <v>85</v>
      </c>
      <c r="F117">
        <v>58</v>
      </c>
      <c r="G117">
        <v>48</v>
      </c>
      <c r="H117">
        <v>90</v>
      </c>
      <c r="I117">
        <v>58</v>
      </c>
      <c r="J117">
        <v>50</v>
      </c>
      <c r="K117">
        <v>0</v>
      </c>
      <c r="L117" s="13">
        <v>90</v>
      </c>
      <c r="M117">
        <v>90</v>
      </c>
      <c r="N117">
        <v>40</v>
      </c>
      <c r="O117">
        <v>35</v>
      </c>
      <c r="P117">
        <v>1</v>
      </c>
      <c r="Q117">
        <v>50</v>
      </c>
      <c r="R117" t="s">
        <v>1885</v>
      </c>
      <c r="S117" t="s">
        <v>1886</v>
      </c>
      <c r="T117" t="s">
        <v>1886</v>
      </c>
      <c r="V117" s="15">
        <f t="shared" si="4"/>
        <v>24</v>
      </c>
      <c r="W117" s="15">
        <v>8</v>
      </c>
      <c r="X117" s="15">
        <v>8</v>
      </c>
      <c r="Y117" s="15">
        <v>8</v>
      </c>
      <c r="Z117">
        <v>0</v>
      </c>
    </row>
    <row r="118" spans="1:26">
      <c r="A118" s="1" t="s">
        <v>1893</v>
      </c>
      <c r="B118" t="s">
        <v>228</v>
      </c>
      <c r="C118" t="s">
        <v>1894</v>
      </c>
      <c r="D118" t="s">
        <v>1618</v>
      </c>
      <c r="E118" s="13">
        <v>60</v>
      </c>
      <c r="F118">
        <v>60</v>
      </c>
      <c r="G118">
        <v>85</v>
      </c>
      <c r="H118">
        <v>0</v>
      </c>
      <c r="I118">
        <v>60</v>
      </c>
      <c r="J118">
        <v>30</v>
      </c>
      <c r="K118">
        <v>0</v>
      </c>
      <c r="L118" s="13">
        <v>42</v>
      </c>
      <c r="M118">
        <v>20</v>
      </c>
      <c r="N118">
        <v>15</v>
      </c>
      <c r="O118">
        <v>30</v>
      </c>
      <c r="P118">
        <v>3</v>
      </c>
      <c r="Q118">
        <v>10</v>
      </c>
      <c r="R118" t="s">
        <v>1895</v>
      </c>
      <c r="S118" t="s">
        <v>1896</v>
      </c>
      <c r="T118" t="s">
        <v>1896</v>
      </c>
      <c r="U118" t="s">
        <v>1724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26">
      <c r="A119" s="1" t="s">
        <v>1897</v>
      </c>
      <c r="B119" t="s">
        <v>228</v>
      </c>
      <c r="C119" t="s">
        <v>1898</v>
      </c>
      <c r="D119" t="s">
        <v>1618</v>
      </c>
      <c r="E119" s="13">
        <v>75</v>
      </c>
      <c r="F119">
        <v>76</v>
      </c>
      <c r="G119">
        <v>90</v>
      </c>
      <c r="H119">
        <v>0</v>
      </c>
      <c r="I119">
        <v>70</v>
      </c>
      <c r="J119">
        <v>40</v>
      </c>
      <c r="K119">
        <v>0</v>
      </c>
      <c r="L119" s="13">
        <v>65</v>
      </c>
      <c r="M119">
        <v>50</v>
      </c>
      <c r="N119">
        <v>20</v>
      </c>
      <c r="O119">
        <v>33</v>
      </c>
      <c r="P119">
        <v>3</v>
      </c>
      <c r="Q119">
        <v>20</v>
      </c>
      <c r="R119" t="s">
        <v>1895</v>
      </c>
      <c r="S119" t="s">
        <v>1896</v>
      </c>
      <c r="T119" t="s">
        <v>1896</v>
      </c>
      <c r="U119" t="s">
        <v>1724</v>
      </c>
      <c r="V119">
        <f t="shared" si="4"/>
        <v>12</v>
      </c>
      <c r="W119">
        <v>3</v>
      </c>
      <c r="X119">
        <v>3</v>
      </c>
      <c r="Y119">
        <v>3</v>
      </c>
      <c r="Z119">
        <v>3</v>
      </c>
    </row>
    <row r="120" spans="1:26">
      <c r="A120" s="1" t="s">
        <v>1899</v>
      </c>
      <c r="B120" t="s">
        <v>228</v>
      </c>
      <c r="C120" t="s">
        <v>1900</v>
      </c>
      <c r="D120" t="s">
        <v>1618</v>
      </c>
      <c r="E120" s="13">
        <v>90</v>
      </c>
      <c r="F120">
        <v>88</v>
      </c>
      <c r="G120">
        <v>110</v>
      </c>
      <c r="H120">
        <v>0</v>
      </c>
      <c r="I120">
        <v>80</v>
      </c>
      <c r="J120">
        <v>50</v>
      </c>
      <c r="K120">
        <v>0</v>
      </c>
      <c r="L120" s="13">
        <v>87</v>
      </c>
      <c r="M120">
        <v>57</v>
      </c>
      <c r="N120">
        <v>30</v>
      </c>
      <c r="O120">
        <v>33</v>
      </c>
      <c r="P120">
        <v>3</v>
      </c>
      <c r="Q120">
        <v>40</v>
      </c>
      <c r="R120" t="s">
        <v>1895</v>
      </c>
      <c r="S120" t="s">
        <v>1896</v>
      </c>
      <c r="T120" t="s">
        <v>1896</v>
      </c>
      <c r="U120" t="s">
        <v>1724</v>
      </c>
      <c r="V120">
        <f t="shared" si="4"/>
        <v>12</v>
      </c>
      <c r="W120">
        <v>3</v>
      </c>
      <c r="X120">
        <v>3</v>
      </c>
      <c r="Y120">
        <v>3</v>
      </c>
      <c r="Z120">
        <v>3</v>
      </c>
    </row>
    <row r="121" spans="1:26">
      <c r="A121" s="1" t="s">
        <v>1901</v>
      </c>
      <c r="B121" t="s">
        <v>343</v>
      </c>
      <c r="C121" t="s">
        <v>1902</v>
      </c>
      <c r="D121" t="s">
        <v>1618</v>
      </c>
      <c r="E121" s="13">
        <v>40</v>
      </c>
      <c r="F121">
        <v>75</v>
      </c>
      <c r="G121">
        <v>71</v>
      </c>
      <c r="H121">
        <v>0</v>
      </c>
      <c r="I121">
        <v>80</v>
      </c>
      <c r="J121">
        <v>40</v>
      </c>
      <c r="K121">
        <v>0</v>
      </c>
      <c r="L121" s="15">
        <v>60</v>
      </c>
      <c r="M121">
        <v>45</v>
      </c>
      <c r="N121">
        <v>30</v>
      </c>
      <c r="O121">
        <v>30</v>
      </c>
      <c r="P121">
        <v>3</v>
      </c>
      <c r="Q121" s="15">
        <v>10</v>
      </c>
      <c r="R121" t="s">
        <v>1903</v>
      </c>
      <c r="S121" t="s">
        <v>1904</v>
      </c>
      <c r="T121" t="s">
        <v>1904</v>
      </c>
      <c r="U121" t="s">
        <v>1724</v>
      </c>
      <c r="V121">
        <f t="shared" si="4"/>
        <v>12</v>
      </c>
      <c r="W121">
        <v>3</v>
      </c>
      <c r="X121">
        <v>3</v>
      </c>
      <c r="Y121">
        <v>3</v>
      </c>
      <c r="Z121">
        <v>3</v>
      </c>
    </row>
    <row r="122" spans="1:26">
      <c r="A122" s="1" t="s">
        <v>1905</v>
      </c>
      <c r="B122" t="s">
        <v>343</v>
      </c>
      <c r="C122" t="s">
        <v>1906</v>
      </c>
      <c r="D122" t="s">
        <v>1618</v>
      </c>
      <c r="E122" s="13">
        <v>60</v>
      </c>
      <c r="F122">
        <v>88</v>
      </c>
      <c r="G122">
        <v>82</v>
      </c>
      <c r="H122">
        <v>0</v>
      </c>
      <c r="I122">
        <v>95</v>
      </c>
      <c r="J122">
        <v>50</v>
      </c>
      <c r="K122">
        <v>0</v>
      </c>
      <c r="L122" s="15">
        <v>70</v>
      </c>
      <c r="M122">
        <v>55</v>
      </c>
      <c r="N122">
        <v>35</v>
      </c>
      <c r="O122">
        <v>33</v>
      </c>
      <c r="P122">
        <v>3</v>
      </c>
      <c r="Q122" s="15">
        <v>20</v>
      </c>
      <c r="R122" t="s">
        <v>1903</v>
      </c>
      <c r="S122" t="s">
        <v>1904</v>
      </c>
      <c r="T122" t="s">
        <v>1904</v>
      </c>
      <c r="U122" t="s">
        <v>1724</v>
      </c>
      <c r="V122">
        <f t="shared" si="4"/>
        <v>12</v>
      </c>
      <c r="W122">
        <v>3</v>
      </c>
      <c r="X122">
        <v>3</v>
      </c>
      <c r="Y122">
        <v>3</v>
      </c>
      <c r="Z122">
        <v>3</v>
      </c>
    </row>
    <row r="123" spans="1:26">
      <c r="A123" s="1" t="s">
        <v>1907</v>
      </c>
      <c r="B123" t="s">
        <v>343</v>
      </c>
      <c r="C123" t="s">
        <v>1908</v>
      </c>
      <c r="D123" t="s">
        <v>1618</v>
      </c>
      <c r="E123" s="13">
        <v>75</v>
      </c>
      <c r="F123">
        <v>100</v>
      </c>
      <c r="G123">
        <v>93</v>
      </c>
      <c r="H123">
        <v>0</v>
      </c>
      <c r="I123">
        <v>105</v>
      </c>
      <c r="J123">
        <v>55</v>
      </c>
      <c r="K123">
        <v>0</v>
      </c>
      <c r="L123" s="13">
        <v>80</v>
      </c>
      <c r="M123">
        <v>65</v>
      </c>
      <c r="N123">
        <v>40</v>
      </c>
      <c r="O123">
        <v>36</v>
      </c>
      <c r="P123">
        <v>3</v>
      </c>
      <c r="Q123">
        <v>40</v>
      </c>
      <c r="R123" t="s">
        <v>1903</v>
      </c>
      <c r="S123" t="s">
        <v>1904</v>
      </c>
      <c r="T123" t="s">
        <v>1904</v>
      </c>
      <c r="U123" t="s">
        <v>1724</v>
      </c>
      <c r="V123">
        <f t="shared" si="4"/>
        <v>12</v>
      </c>
      <c r="W123">
        <v>3</v>
      </c>
      <c r="X123">
        <v>3</v>
      </c>
      <c r="Y123">
        <v>3</v>
      </c>
      <c r="Z123">
        <v>3</v>
      </c>
    </row>
    <row r="124" spans="1:26">
      <c r="A124" s="1" t="s">
        <v>1909</v>
      </c>
      <c r="B124" t="s">
        <v>343</v>
      </c>
      <c r="C124" t="s">
        <v>1910</v>
      </c>
      <c r="D124" t="s">
        <v>1618</v>
      </c>
      <c r="E124" s="13">
        <v>90</v>
      </c>
      <c r="F124">
        <v>125</v>
      </c>
      <c r="G124">
        <v>110</v>
      </c>
      <c r="H124">
        <v>0</v>
      </c>
      <c r="I124">
        <v>116</v>
      </c>
      <c r="J124">
        <v>66</v>
      </c>
      <c r="K124">
        <v>0</v>
      </c>
      <c r="L124" s="15">
        <v>90</v>
      </c>
      <c r="M124">
        <v>75</v>
      </c>
      <c r="N124">
        <v>45</v>
      </c>
      <c r="O124">
        <v>40</v>
      </c>
      <c r="P124">
        <v>3</v>
      </c>
      <c r="Q124" s="15">
        <v>50</v>
      </c>
      <c r="R124" t="s">
        <v>1903</v>
      </c>
      <c r="S124" t="s">
        <v>1904</v>
      </c>
      <c r="T124" t="s">
        <v>1904</v>
      </c>
      <c r="U124" t="s">
        <v>1724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1" t="s">
        <v>1911</v>
      </c>
      <c r="B125" t="s">
        <v>1912</v>
      </c>
      <c r="C125" t="s">
        <v>1913</v>
      </c>
      <c r="D125" t="s">
        <v>1618</v>
      </c>
      <c r="E125" s="13">
        <v>100</v>
      </c>
      <c r="F125">
        <v>444</v>
      </c>
      <c r="G125">
        <v>150</v>
      </c>
      <c r="H125">
        <v>0</v>
      </c>
      <c r="I125">
        <v>150</v>
      </c>
      <c r="J125">
        <v>150</v>
      </c>
      <c r="K125">
        <v>0</v>
      </c>
      <c r="L125" s="13">
        <v>80</v>
      </c>
      <c r="M125">
        <v>10</v>
      </c>
      <c r="N125">
        <v>60</v>
      </c>
      <c r="O125">
        <v>1</v>
      </c>
      <c r="P125">
        <v>3</v>
      </c>
      <c r="Q125" s="13">
        <v>25</v>
      </c>
      <c r="R125" t="s">
        <v>1669</v>
      </c>
      <c r="S125" t="s">
        <v>1669</v>
      </c>
      <c r="T125" t="s">
        <v>1669</v>
      </c>
      <c r="U125" t="s">
        <v>1847</v>
      </c>
      <c r="V125">
        <f t="shared" si="4"/>
        <v>60</v>
      </c>
      <c r="W125">
        <v>15</v>
      </c>
      <c r="X125">
        <v>15</v>
      </c>
      <c r="Y125">
        <v>15</v>
      </c>
      <c r="Z125">
        <v>15</v>
      </c>
      <c r="AD125" t="s">
        <v>1914</v>
      </c>
    </row>
    <row r="126" spans="1:30">
      <c r="A126" s="1" t="s">
        <v>1915</v>
      </c>
      <c r="B126" t="s">
        <v>37</v>
      </c>
      <c r="C126" t="s">
        <v>1916</v>
      </c>
      <c r="D126" t="s">
        <v>1618</v>
      </c>
      <c r="E126" s="13">
        <v>100</v>
      </c>
      <c r="F126">
        <v>233</v>
      </c>
      <c r="G126">
        <v>1</v>
      </c>
      <c r="H126">
        <v>0</v>
      </c>
      <c r="I126">
        <v>100</v>
      </c>
      <c r="J126">
        <v>1</v>
      </c>
      <c r="K126">
        <v>0</v>
      </c>
      <c r="L126" s="13">
        <v>1</v>
      </c>
      <c r="M126">
        <v>1</v>
      </c>
      <c r="N126">
        <v>20</v>
      </c>
      <c r="O126">
        <v>20</v>
      </c>
      <c r="P126">
        <v>3</v>
      </c>
      <c r="Q126" s="13">
        <v>40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1917</v>
      </c>
    </row>
    <row r="127" spans="1:30">
      <c r="A127" s="1" t="s">
        <v>1918</v>
      </c>
      <c r="B127" t="s">
        <v>1769</v>
      </c>
      <c r="C127" t="s">
        <v>1919</v>
      </c>
      <c r="D127" t="s">
        <v>1618</v>
      </c>
      <c r="E127" s="13">
        <v>100</v>
      </c>
      <c r="F127">
        <v>88</v>
      </c>
      <c r="G127">
        <v>100</v>
      </c>
      <c r="H127">
        <v>1</v>
      </c>
      <c r="I127">
        <v>50</v>
      </c>
      <c r="J127">
        <v>30</v>
      </c>
      <c r="K127">
        <v>0</v>
      </c>
      <c r="L127" s="13">
        <v>1</v>
      </c>
      <c r="M127">
        <v>50</v>
      </c>
      <c r="N127">
        <v>30</v>
      </c>
      <c r="O127">
        <v>20</v>
      </c>
      <c r="P127">
        <v>1</v>
      </c>
      <c r="Q127" s="13">
        <v>10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1920</v>
      </c>
    </row>
    <row r="128" spans="1:26">
      <c r="A128" s="16" t="s">
        <v>1921</v>
      </c>
      <c r="B128" t="s">
        <v>37</v>
      </c>
      <c r="C128" t="s">
        <v>142</v>
      </c>
      <c r="D128" t="s">
        <v>1618</v>
      </c>
      <c r="E128" s="13">
        <v>100</v>
      </c>
      <c r="F128">
        <v>286</v>
      </c>
      <c r="G128">
        <v>171</v>
      </c>
      <c r="H128">
        <v>0</v>
      </c>
      <c r="I128">
        <v>205</v>
      </c>
      <c r="J128">
        <v>60</v>
      </c>
      <c r="K128">
        <v>0</v>
      </c>
      <c r="L128" s="15">
        <v>95</v>
      </c>
      <c r="M128">
        <v>60</v>
      </c>
      <c r="N128">
        <v>56</v>
      </c>
      <c r="O128">
        <v>28</v>
      </c>
      <c r="P128">
        <v>4</v>
      </c>
      <c r="Q128">
        <v>0</v>
      </c>
      <c r="R128" t="s">
        <v>1922</v>
      </c>
      <c r="S128" t="s">
        <v>1923</v>
      </c>
      <c r="T128" t="s">
        <v>1724</v>
      </c>
      <c r="U128" t="s">
        <v>1924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</row>
    <row r="129" spans="1:26">
      <c r="A129" s="16" t="s">
        <v>1925</v>
      </c>
      <c r="B129" t="s">
        <v>1912</v>
      </c>
      <c r="C129" t="s">
        <v>1926</v>
      </c>
      <c r="D129" t="s">
        <v>1618</v>
      </c>
      <c r="E129" s="13">
        <v>100</v>
      </c>
      <c r="F129">
        <v>666</v>
      </c>
      <c r="G129">
        <v>150</v>
      </c>
      <c r="H129">
        <v>0</v>
      </c>
      <c r="I129">
        <v>0</v>
      </c>
      <c r="J129">
        <v>100</v>
      </c>
      <c r="K129">
        <v>0</v>
      </c>
      <c r="L129" s="15">
        <v>87</v>
      </c>
      <c r="M129">
        <v>4</v>
      </c>
      <c r="N129">
        <v>63</v>
      </c>
      <c r="O129">
        <v>1</v>
      </c>
      <c r="P129">
        <v>4</v>
      </c>
      <c r="Q129">
        <v>0</v>
      </c>
      <c r="R129" t="s">
        <v>1724</v>
      </c>
      <c r="S129" t="s">
        <v>1724</v>
      </c>
      <c r="T129" t="s">
        <v>1669</v>
      </c>
      <c r="U129" t="s">
        <v>1927</v>
      </c>
      <c r="V129">
        <f t="shared" si="4"/>
        <v>120</v>
      </c>
      <c r="W129">
        <v>30</v>
      </c>
      <c r="X129">
        <v>30</v>
      </c>
      <c r="Y129">
        <v>30</v>
      </c>
      <c r="Z129">
        <v>30</v>
      </c>
    </row>
    <row r="130" spans="1:26">
      <c r="A130" s="16" t="s">
        <v>1928</v>
      </c>
      <c r="B130" t="s">
        <v>84</v>
      </c>
      <c r="C130" t="s">
        <v>1929</v>
      </c>
      <c r="D130" t="s">
        <v>1618</v>
      </c>
      <c r="E130" s="13">
        <v>20</v>
      </c>
      <c r="F130">
        <v>152</v>
      </c>
      <c r="G130">
        <v>36</v>
      </c>
      <c r="H130">
        <v>20</v>
      </c>
      <c r="I130">
        <v>33</v>
      </c>
      <c r="J130">
        <v>22</v>
      </c>
      <c r="K130">
        <v>0</v>
      </c>
      <c r="L130" s="15">
        <v>46</v>
      </c>
      <c r="M130">
        <v>30</v>
      </c>
      <c r="N130">
        <v>14</v>
      </c>
      <c r="O130">
        <v>33</v>
      </c>
      <c r="P130">
        <v>2</v>
      </c>
      <c r="Q130">
        <v>0</v>
      </c>
      <c r="R130" t="s">
        <v>1710</v>
      </c>
      <c r="S130" t="s">
        <v>1677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</row>
    <row r="131" spans="1:26">
      <c r="A131" s="16" t="s">
        <v>1930</v>
      </c>
      <c r="B131" t="s">
        <v>51</v>
      </c>
      <c r="C131" t="s">
        <v>1931</v>
      </c>
      <c r="D131" t="s">
        <v>1618</v>
      </c>
      <c r="E131" s="13">
        <v>25</v>
      </c>
      <c r="F131">
        <v>102</v>
      </c>
      <c r="G131">
        <v>65</v>
      </c>
      <c r="H131">
        <v>0</v>
      </c>
      <c r="I131">
        <v>37</v>
      </c>
      <c r="J131">
        <v>36</v>
      </c>
      <c r="K131">
        <v>0</v>
      </c>
      <c r="L131" s="15">
        <v>52</v>
      </c>
      <c r="M131">
        <v>37</v>
      </c>
      <c r="N131">
        <v>25</v>
      </c>
      <c r="O131">
        <v>32</v>
      </c>
      <c r="P131">
        <v>3</v>
      </c>
      <c r="Q131">
        <v>0</v>
      </c>
      <c r="R131" t="s">
        <v>1724</v>
      </c>
      <c r="S131" t="s">
        <v>1724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</row>
    <row r="132" spans="1:30">
      <c r="A132" s="17" t="s">
        <v>1932</v>
      </c>
      <c r="B132" t="s">
        <v>37</v>
      </c>
      <c r="C132" t="s">
        <v>1933</v>
      </c>
      <c r="D132" t="s">
        <v>1618</v>
      </c>
      <c r="E132" s="13">
        <v>110</v>
      </c>
      <c r="F132">
        <v>520</v>
      </c>
      <c r="G132">
        <v>165</v>
      </c>
      <c r="H132">
        <v>0</v>
      </c>
      <c r="I132">
        <v>160</v>
      </c>
      <c r="J132">
        <v>70</v>
      </c>
      <c r="K132">
        <v>0</v>
      </c>
      <c r="L132" s="15">
        <v>92</v>
      </c>
      <c r="M132">
        <v>58</v>
      </c>
      <c r="N132">
        <v>44</v>
      </c>
      <c r="O132">
        <v>28</v>
      </c>
      <c r="P132">
        <v>4</v>
      </c>
      <c r="Q132">
        <v>0</v>
      </c>
      <c r="R132" t="s">
        <v>1922</v>
      </c>
      <c r="S132" t="s">
        <v>1923</v>
      </c>
      <c r="T132" t="s">
        <v>1724</v>
      </c>
      <c r="U132" t="s">
        <v>1924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1934</v>
      </c>
    </row>
    <row r="133" spans="1:30">
      <c r="A133" s="17" t="s">
        <v>1935</v>
      </c>
      <c r="B133" t="s">
        <v>37</v>
      </c>
      <c r="C133" t="s">
        <v>1936</v>
      </c>
      <c r="D133" t="s">
        <v>1618</v>
      </c>
      <c r="E133" s="13">
        <v>110</v>
      </c>
      <c r="F133">
        <v>288</v>
      </c>
      <c r="G133">
        <v>177</v>
      </c>
      <c r="H133">
        <v>0</v>
      </c>
      <c r="I133">
        <v>160</v>
      </c>
      <c r="J133">
        <v>100</v>
      </c>
      <c r="K133">
        <v>0</v>
      </c>
      <c r="L133" s="15">
        <v>92</v>
      </c>
      <c r="M133">
        <v>75</v>
      </c>
      <c r="N133">
        <v>44</v>
      </c>
      <c r="O133">
        <v>30</v>
      </c>
      <c r="P133">
        <v>4</v>
      </c>
      <c r="Q133">
        <v>0</v>
      </c>
      <c r="R133" t="s">
        <v>1922</v>
      </c>
      <c r="S133" t="s">
        <v>1923</v>
      </c>
      <c r="T133" t="s">
        <v>1724</v>
      </c>
      <c r="U133" t="s">
        <v>1924</v>
      </c>
      <c r="V133">
        <f t="shared" si="4"/>
        <v>0</v>
      </c>
      <c r="W133">
        <v>0</v>
      </c>
      <c r="X133">
        <v>0</v>
      </c>
      <c r="Y133">
        <v>0</v>
      </c>
      <c r="Z133">
        <v>0</v>
      </c>
      <c r="AD133" t="s">
        <v>1934</v>
      </c>
    </row>
    <row r="134" spans="1:30">
      <c r="A134" s="17" t="s">
        <v>1937</v>
      </c>
      <c r="B134" t="s">
        <v>1912</v>
      </c>
      <c r="C134" t="s">
        <v>1938</v>
      </c>
      <c r="D134" t="s">
        <v>1618</v>
      </c>
      <c r="E134" s="13">
        <v>110</v>
      </c>
      <c r="F134">
        <v>666</v>
      </c>
      <c r="G134">
        <v>20</v>
      </c>
      <c r="H134">
        <v>0</v>
      </c>
      <c r="I134">
        <v>160</v>
      </c>
      <c r="J134">
        <v>100</v>
      </c>
      <c r="K134">
        <v>0</v>
      </c>
      <c r="L134" s="15">
        <v>92</v>
      </c>
      <c r="M134">
        <v>0</v>
      </c>
      <c r="N134">
        <v>65</v>
      </c>
      <c r="O134">
        <v>1</v>
      </c>
      <c r="P134">
        <v>4</v>
      </c>
      <c r="Q134">
        <v>0</v>
      </c>
      <c r="R134" t="s">
        <v>1847</v>
      </c>
      <c r="S134" t="s">
        <v>1939</v>
      </c>
      <c r="T134" t="s">
        <v>1939</v>
      </c>
      <c r="U134" t="s">
        <v>1939</v>
      </c>
      <c r="V134">
        <f t="shared" si="4"/>
        <v>120</v>
      </c>
      <c r="W134">
        <v>30</v>
      </c>
      <c r="X134">
        <v>30</v>
      </c>
      <c r="Y134">
        <v>30</v>
      </c>
      <c r="Z134">
        <v>30</v>
      </c>
      <c r="AD134" t="s">
        <v>1934</v>
      </c>
    </row>
    <row r="135" spans="1:30">
      <c r="A135" s="17" t="s">
        <v>1940</v>
      </c>
      <c r="B135" t="s">
        <v>37</v>
      </c>
      <c r="C135" t="s">
        <v>1941</v>
      </c>
      <c r="D135" t="s">
        <v>1618</v>
      </c>
      <c r="E135" s="13">
        <v>110</v>
      </c>
      <c r="F135">
        <v>233</v>
      </c>
      <c r="G135">
        <v>180</v>
      </c>
      <c r="H135">
        <v>0</v>
      </c>
      <c r="I135">
        <v>160</v>
      </c>
      <c r="J135">
        <v>70</v>
      </c>
      <c r="K135">
        <v>0</v>
      </c>
      <c r="L135" s="15">
        <v>92</v>
      </c>
      <c r="M135">
        <v>78</v>
      </c>
      <c r="N135">
        <v>44</v>
      </c>
      <c r="O135">
        <v>28</v>
      </c>
      <c r="P135">
        <v>4</v>
      </c>
      <c r="Q135">
        <v>0</v>
      </c>
      <c r="R135" t="s">
        <v>1922</v>
      </c>
      <c r="S135" t="s">
        <v>1923</v>
      </c>
      <c r="T135" t="s">
        <v>1724</v>
      </c>
      <c r="U135" t="s">
        <v>1924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1934</v>
      </c>
    </row>
    <row r="136" spans="1:30">
      <c r="A136" s="17" t="s">
        <v>1942</v>
      </c>
      <c r="B136" t="s">
        <v>51</v>
      </c>
      <c r="C136" t="s">
        <v>1874</v>
      </c>
      <c r="D136" t="s">
        <v>1618</v>
      </c>
      <c r="E136" s="13">
        <v>110</v>
      </c>
      <c r="F136">
        <v>196</v>
      </c>
      <c r="G136">
        <v>130</v>
      </c>
      <c r="H136">
        <v>0</v>
      </c>
      <c r="I136">
        <v>160</v>
      </c>
      <c r="J136">
        <v>70</v>
      </c>
      <c r="K136">
        <v>0</v>
      </c>
      <c r="L136" s="15">
        <v>92</v>
      </c>
      <c r="M136">
        <v>48</v>
      </c>
      <c r="N136">
        <v>38</v>
      </c>
      <c r="O136">
        <v>32</v>
      </c>
      <c r="P136">
        <v>4</v>
      </c>
      <c r="Q136">
        <v>0</v>
      </c>
      <c r="R136" t="s">
        <v>1943</v>
      </c>
      <c r="S136" t="s">
        <v>1943</v>
      </c>
      <c r="T136" t="s">
        <v>1944</v>
      </c>
      <c r="U136" t="s">
        <v>1945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1934</v>
      </c>
    </row>
    <row r="137" spans="1:30">
      <c r="A137" s="17" t="s">
        <v>1946</v>
      </c>
      <c r="B137" t="s">
        <v>51</v>
      </c>
      <c r="C137" t="s">
        <v>1947</v>
      </c>
      <c r="D137" t="s">
        <v>1618</v>
      </c>
      <c r="E137" s="13">
        <v>110</v>
      </c>
      <c r="F137">
        <v>196</v>
      </c>
      <c r="G137">
        <v>110</v>
      </c>
      <c r="H137">
        <v>0</v>
      </c>
      <c r="I137">
        <v>160</v>
      </c>
      <c r="J137">
        <v>70</v>
      </c>
      <c r="K137">
        <v>0</v>
      </c>
      <c r="L137" s="15">
        <v>92</v>
      </c>
      <c r="M137">
        <v>66</v>
      </c>
      <c r="N137">
        <v>38</v>
      </c>
      <c r="O137">
        <v>32</v>
      </c>
      <c r="P137">
        <v>4</v>
      </c>
      <c r="Q137">
        <v>0</v>
      </c>
      <c r="R137" t="s">
        <v>1943</v>
      </c>
      <c r="S137" t="s">
        <v>1943</v>
      </c>
      <c r="T137" t="s">
        <v>1944</v>
      </c>
      <c r="U137" t="s">
        <v>1945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D137" t="s">
        <v>1934</v>
      </c>
    </row>
    <row r="138" spans="1:30">
      <c r="A138" s="16" t="s">
        <v>1948</v>
      </c>
      <c r="B138" t="s">
        <v>51</v>
      </c>
      <c r="C138" t="s">
        <v>1947</v>
      </c>
      <c r="D138" t="s">
        <v>1618</v>
      </c>
      <c r="E138">
        <v>100</v>
      </c>
      <c r="F138">
        <v>2333</v>
      </c>
      <c r="G138">
        <v>145</v>
      </c>
      <c r="H138">
        <v>0</v>
      </c>
      <c r="I138">
        <v>105</v>
      </c>
      <c r="J138">
        <v>69</v>
      </c>
      <c r="K138">
        <v>0</v>
      </c>
      <c r="L138" s="15">
        <v>91</v>
      </c>
      <c r="M138">
        <v>2</v>
      </c>
      <c r="N138">
        <v>17</v>
      </c>
      <c r="O138">
        <v>19</v>
      </c>
      <c r="P138">
        <v>4</v>
      </c>
      <c r="Q138">
        <v>0</v>
      </c>
      <c r="R138" t="s">
        <v>1943</v>
      </c>
      <c r="S138" t="s">
        <v>1943</v>
      </c>
      <c r="T138" t="s">
        <v>1944</v>
      </c>
      <c r="U138" t="s">
        <v>1945</v>
      </c>
      <c r="V138">
        <f t="shared" ref="V138:V169" si="5">SUM($W138:$Z138)</f>
        <v>16</v>
      </c>
      <c r="W138">
        <v>4</v>
      </c>
      <c r="X138">
        <v>4</v>
      </c>
      <c r="Y138">
        <v>4</v>
      </c>
      <c r="Z138">
        <v>4</v>
      </c>
      <c r="AD138" t="s">
        <v>1949</v>
      </c>
    </row>
    <row r="139" spans="1:30">
      <c r="A139" s="16" t="s">
        <v>1950</v>
      </c>
      <c r="B139" t="s">
        <v>51</v>
      </c>
      <c r="C139" t="s">
        <v>1951</v>
      </c>
      <c r="D139" t="s">
        <v>1618</v>
      </c>
      <c r="E139">
        <v>69</v>
      </c>
      <c r="F139">
        <v>1000</v>
      </c>
      <c r="G139">
        <v>96</v>
      </c>
      <c r="H139">
        <v>0</v>
      </c>
      <c r="I139">
        <v>47</v>
      </c>
      <c r="J139">
        <v>52</v>
      </c>
      <c r="K139">
        <v>0</v>
      </c>
      <c r="L139" s="15">
        <v>75</v>
      </c>
      <c r="M139">
        <v>54</v>
      </c>
      <c r="N139">
        <v>33</v>
      </c>
      <c r="O139">
        <v>22</v>
      </c>
      <c r="P139">
        <v>3</v>
      </c>
      <c r="Q139">
        <v>0</v>
      </c>
      <c r="R139" t="s">
        <v>1724</v>
      </c>
      <c r="S139" t="s">
        <v>1724</v>
      </c>
      <c r="T139" t="s">
        <v>1717</v>
      </c>
      <c r="U139" t="s">
        <v>1628</v>
      </c>
      <c r="V139">
        <f t="shared" si="5"/>
        <v>12</v>
      </c>
      <c r="W139">
        <v>3</v>
      </c>
      <c r="X139">
        <v>3</v>
      </c>
      <c r="Y139">
        <v>3</v>
      </c>
      <c r="Z139">
        <v>3</v>
      </c>
      <c r="AD139" t="s">
        <v>1949</v>
      </c>
    </row>
    <row r="140" spans="1:30">
      <c r="A140" s="16" t="s">
        <v>1952</v>
      </c>
      <c r="B140" t="s">
        <v>51</v>
      </c>
      <c r="C140" t="s">
        <v>1953</v>
      </c>
      <c r="D140" t="s">
        <v>1618</v>
      </c>
      <c r="E140">
        <v>69</v>
      </c>
      <c r="F140">
        <v>1000</v>
      </c>
      <c r="G140">
        <v>95</v>
      </c>
      <c r="H140">
        <v>0</v>
      </c>
      <c r="I140">
        <v>47</v>
      </c>
      <c r="J140">
        <v>52</v>
      </c>
      <c r="K140">
        <v>0</v>
      </c>
      <c r="L140" s="15">
        <v>75</v>
      </c>
      <c r="M140">
        <v>54</v>
      </c>
      <c r="N140">
        <v>33</v>
      </c>
      <c r="O140">
        <v>22</v>
      </c>
      <c r="P140">
        <v>3</v>
      </c>
      <c r="Q140">
        <v>0</v>
      </c>
      <c r="R140" t="s">
        <v>1724</v>
      </c>
      <c r="S140" t="s">
        <v>1724</v>
      </c>
      <c r="T140" t="s">
        <v>1717</v>
      </c>
      <c r="U140" t="s">
        <v>1628</v>
      </c>
      <c r="V140">
        <f t="shared" si="5"/>
        <v>12</v>
      </c>
      <c r="W140">
        <v>3</v>
      </c>
      <c r="X140">
        <v>3</v>
      </c>
      <c r="Y140">
        <v>3</v>
      </c>
      <c r="Z140">
        <v>3</v>
      </c>
      <c r="AD140" t="s">
        <v>1949</v>
      </c>
    </row>
    <row r="141" spans="1:30">
      <c r="A141" s="16" t="s">
        <v>1954</v>
      </c>
      <c r="B141" t="s">
        <v>259</v>
      </c>
      <c r="C141" t="s">
        <v>1955</v>
      </c>
      <c r="D141" t="s">
        <v>1618</v>
      </c>
      <c r="E141">
        <v>63</v>
      </c>
      <c r="F141">
        <v>110</v>
      </c>
      <c r="G141">
        <v>34</v>
      </c>
      <c r="H141">
        <v>78</v>
      </c>
      <c r="I141">
        <v>35</v>
      </c>
      <c r="J141">
        <v>37</v>
      </c>
      <c r="K141">
        <v>71</v>
      </c>
      <c r="L141" s="15">
        <v>62</v>
      </c>
      <c r="M141">
        <v>99</v>
      </c>
      <c r="N141">
        <v>24</v>
      </c>
      <c r="O141">
        <v>34</v>
      </c>
      <c r="P141">
        <v>2</v>
      </c>
      <c r="Q141">
        <v>0</v>
      </c>
      <c r="R141" t="s">
        <v>1677</v>
      </c>
      <c r="S141" t="s">
        <v>1641</v>
      </c>
      <c r="V141">
        <f t="shared" si="5"/>
        <v>0</v>
      </c>
      <c r="W141">
        <v>0</v>
      </c>
      <c r="X141">
        <v>0</v>
      </c>
      <c r="Y141">
        <v>0</v>
      </c>
      <c r="Z141">
        <v>0</v>
      </c>
      <c r="AD141" t="s">
        <v>1949</v>
      </c>
    </row>
    <row r="142" spans="1:30">
      <c r="A142" s="16" t="s">
        <v>1956</v>
      </c>
      <c r="B142" t="s">
        <v>44</v>
      </c>
      <c r="C142" t="s">
        <v>1957</v>
      </c>
      <c r="D142" t="s">
        <v>1618</v>
      </c>
      <c r="E142">
        <v>100</v>
      </c>
      <c r="F142">
        <v>388</v>
      </c>
      <c r="G142">
        <v>120</v>
      </c>
      <c r="H142">
        <v>0</v>
      </c>
      <c r="I142">
        <v>250</v>
      </c>
      <c r="J142">
        <v>120</v>
      </c>
      <c r="K142">
        <v>0</v>
      </c>
      <c r="L142" s="15">
        <v>92</v>
      </c>
      <c r="M142">
        <v>45</v>
      </c>
      <c r="N142">
        <v>55</v>
      </c>
      <c r="O142">
        <v>30</v>
      </c>
      <c r="P142">
        <v>1</v>
      </c>
      <c r="Q142">
        <v>0</v>
      </c>
      <c r="R142" t="s">
        <v>1674</v>
      </c>
      <c r="S142" t="s">
        <v>1674</v>
      </c>
      <c r="T142" t="s">
        <v>1674</v>
      </c>
      <c r="U142" t="s">
        <v>1740</v>
      </c>
      <c r="V142">
        <f t="shared" si="5"/>
        <v>120</v>
      </c>
      <c r="W142">
        <v>30</v>
      </c>
      <c r="X142">
        <v>30</v>
      </c>
      <c r="Y142">
        <v>30</v>
      </c>
      <c r="Z142">
        <v>30</v>
      </c>
      <c r="AD142" t="s">
        <v>1958</v>
      </c>
    </row>
    <row r="143" spans="1:30">
      <c r="A143" s="16" t="s">
        <v>1959</v>
      </c>
      <c r="B143" t="s">
        <v>1960</v>
      </c>
      <c r="C143" t="s">
        <v>1961</v>
      </c>
      <c r="D143" t="s">
        <v>1618</v>
      </c>
      <c r="E143">
        <v>100</v>
      </c>
      <c r="F143">
        <v>444</v>
      </c>
      <c r="G143">
        <v>108</v>
      </c>
      <c r="H143">
        <v>0</v>
      </c>
      <c r="I143">
        <v>0</v>
      </c>
      <c r="J143">
        <v>150</v>
      </c>
      <c r="K143">
        <v>0</v>
      </c>
      <c r="L143" s="15">
        <v>82</v>
      </c>
      <c r="M143">
        <v>0</v>
      </c>
      <c r="N143">
        <v>88</v>
      </c>
      <c r="O143">
        <v>1</v>
      </c>
      <c r="P143">
        <v>3</v>
      </c>
      <c r="Q143">
        <v>0</v>
      </c>
      <c r="R143" t="s">
        <v>1669</v>
      </c>
      <c r="S143" t="s">
        <v>1669</v>
      </c>
      <c r="T143" t="s">
        <v>1674</v>
      </c>
      <c r="U143" t="s">
        <v>1674</v>
      </c>
      <c r="V143">
        <f t="shared" si="5"/>
        <v>400</v>
      </c>
      <c r="W143">
        <v>100</v>
      </c>
      <c r="X143">
        <v>100</v>
      </c>
      <c r="Y143">
        <v>100</v>
      </c>
      <c r="Z143">
        <v>100</v>
      </c>
      <c r="AD143" t="s">
        <v>1958</v>
      </c>
    </row>
    <row r="144" spans="1:30">
      <c r="A144" s="16" t="s">
        <v>1962</v>
      </c>
      <c r="B144" t="s">
        <v>37</v>
      </c>
      <c r="C144" t="s">
        <v>1963</v>
      </c>
      <c r="D144" t="s">
        <v>1618</v>
      </c>
      <c r="E144">
        <v>100</v>
      </c>
      <c r="F144">
        <v>233</v>
      </c>
      <c r="G144">
        <v>200</v>
      </c>
      <c r="H144">
        <v>0</v>
      </c>
      <c r="I144">
        <v>120</v>
      </c>
      <c r="J144">
        <v>190</v>
      </c>
      <c r="K144">
        <v>0</v>
      </c>
      <c r="L144" s="15">
        <v>92</v>
      </c>
      <c r="M144">
        <v>58</v>
      </c>
      <c r="N144">
        <v>45</v>
      </c>
      <c r="O144">
        <v>24</v>
      </c>
      <c r="P144">
        <v>4</v>
      </c>
      <c r="Q144">
        <v>0</v>
      </c>
      <c r="R144" t="s">
        <v>1964</v>
      </c>
      <c r="S144" t="s">
        <v>1964</v>
      </c>
      <c r="T144" t="s">
        <v>1965</v>
      </c>
      <c r="U144" t="s">
        <v>1724</v>
      </c>
      <c r="V144">
        <f t="shared" si="5"/>
        <v>28</v>
      </c>
      <c r="W144">
        <v>7</v>
      </c>
      <c r="X144">
        <v>7</v>
      </c>
      <c r="Y144">
        <v>7</v>
      </c>
      <c r="Z144">
        <v>7</v>
      </c>
      <c r="AD144" t="s">
        <v>1958</v>
      </c>
    </row>
    <row r="145" spans="1:30">
      <c r="A145" s="16" t="s">
        <v>1966</v>
      </c>
      <c r="B145" t="s">
        <v>37</v>
      </c>
      <c r="C145" t="s">
        <v>1967</v>
      </c>
      <c r="D145" t="s">
        <v>1618</v>
      </c>
      <c r="E145">
        <v>100</v>
      </c>
      <c r="F145">
        <v>180</v>
      </c>
      <c r="G145">
        <v>130</v>
      </c>
      <c r="H145">
        <v>0</v>
      </c>
      <c r="I145">
        <v>120</v>
      </c>
      <c r="J145">
        <v>50</v>
      </c>
      <c r="K145">
        <v>0</v>
      </c>
      <c r="L145" s="15">
        <v>92</v>
      </c>
      <c r="M145">
        <v>40</v>
      </c>
      <c r="N145">
        <v>50</v>
      </c>
      <c r="O145">
        <v>24</v>
      </c>
      <c r="P145">
        <v>4</v>
      </c>
      <c r="Q145">
        <v>0</v>
      </c>
      <c r="R145" t="s">
        <v>1964</v>
      </c>
      <c r="S145" t="s">
        <v>1964</v>
      </c>
      <c r="T145" t="s">
        <v>1968</v>
      </c>
      <c r="U145" t="s">
        <v>1717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D145" t="s">
        <v>1958</v>
      </c>
    </row>
    <row r="146" spans="1:30">
      <c r="A146" s="16" t="s">
        <v>1969</v>
      </c>
      <c r="B146" t="s">
        <v>105</v>
      </c>
      <c r="C146" t="s">
        <v>1970</v>
      </c>
      <c r="D146" t="s">
        <v>1618</v>
      </c>
      <c r="E146">
        <v>100</v>
      </c>
      <c r="F146">
        <v>108</v>
      </c>
      <c r="G146">
        <v>70</v>
      </c>
      <c r="H146">
        <v>0</v>
      </c>
      <c r="I146">
        <v>58</v>
      </c>
      <c r="J146">
        <v>50</v>
      </c>
      <c r="K146">
        <v>100</v>
      </c>
      <c r="L146" s="15">
        <v>139</v>
      </c>
      <c r="M146">
        <v>90</v>
      </c>
      <c r="N146">
        <v>30</v>
      </c>
      <c r="O146">
        <v>35</v>
      </c>
      <c r="P146">
        <v>1</v>
      </c>
      <c r="Q146">
        <v>0</v>
      </c>
      <c r="R146" t="s">
        <v>1856</v>
      </c>
      <c r="S146" t="s">
        <v>1857</v>
      </c>
      <c r="T146" t="s">
        <v>1857</v>
      </c>
      <c r="V146">
        <f t="shared" si="5"/>
        <v>24</v>
      </c>
      <c r="W146">
        <v>8</v>
      </c>
      <c r="X146">
        <v>8</v>
      </c>
      <c r="Y146">
        <v>8</v>
      </c>
      <c r="Z146">
        <v>0</v>
      </c>
      <c r="AD146" t="s">
        <v>1958</v>
      </c>
    </row>
    <row r="147" spans="1:30">
      <c r="A147" s="16" t="s">
        <v>1971</v>
      </c>
      <c r="B147" t="s">
        <v>37</v>
      </c>
      <c r="C147" t="s">
        <v>1972</v>
      </c>
      <c r="D147" t="s">
        <v>1618</v>
      </c>
      <c r="E147">
        <v>100</v>
      </c>
      <c r="F147">
        <v>150</v>
      </c>
      <c r="G147">
        <v>93</v>
      </c>
      <c r="H147">
        <v>0</v>
      </c>
      <c r="I147">
        <v>120</v>
      </c>
      <c r="J147">
        <v>96</v>
      </c>
      <c r="K147">
        <v>0</v>
      </c>
      <c r="L147" s="15">
        <v>92</v>
      </c>
      <c r="M147">
        <v>50</v>
      </c>
      <c r="N147">
        <v>39</v>
      </c>
      <c r="O147">
        <v>33</v>
      </c>
      <c r="P147">
        <v>4</v>
      </c>
      <c r="Q147">
        <v>0</v>
      </c>
      <c r="R147" t="s">
        <v>1973</v>
      </c>
      <c r="S147" t="s">
        <v>1973</v>
      </c>
      <c r="T147" t="s">
        <v>1974</v>
      </c>
      <c r="U147" t="s">
        <v>1975</v>
      </c>
      <c r="V147">
        <f t="shared" si="5"/>
        <v>8</v>
      </c>
      <c r="W147">
        <v>2</v>
      </c>
      <c r="X147">
        <v>2</v>
      </c>
      <c r="Y147">
        <v>2</v>
      </c>
      <c r="Z147">
        <v>2</v>
      </c>
      <c r="AD147" t="s">
        <v>1958</v>
      </c>
    </row>
    <row r="148" spans="1:30">
      <c r="A148" s="16" t="s">
        <v>1976</v>
      </c>
      <c r="B148" t="s">
        <v>37</v>
      </c>
      <c r="C148" t="s">
        <v>1941</v>
      </c>
      <c r="D148" t="s">
        <v>1618</v>
      </c>
      <c r="E148">
        <v>110</v>
      </c>
      <c r="F148">
        <v>336</v>
      </c>
      <c r="G148">
        <v>190</v>
      </c>
      <c r="H148">
        <v>0</v>
      </c>
      <c r="I148">
        <v>250</v>
      </c>
      <c r="J148">
        <v>0</v>
      </c>
      <c r="K148">
        <v>0</v>
      </c>
      <c r="L148" s="15">
        <v>92</v>
      </c>
      <c r="M148">
        <v>75</v>
      </c>
      <c r="N148">
        <v>80</v>
      </c>
      <c r="O148">
        <v>36</v>
      </c>
      <c r="P148">
        <v>3</v>
      </c>
      <c r="Q148">
        <v>0</v>
      </c>
      <c r="R148" t="s">
        <v>1724</v>
      </c>
      <c r="S148" t="s">
        <v>1724</v>
      </c>
      <c r="T148" t="s">
        <v>1678</v>
      </c>
      <c r="U148" t="s">
        <v>1633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1"/>
      <c r="AD148" t="s">
        <v>1977</v>
      </c>
    </row>
    <row r="149" spans="1:30">
      <c r="A149" s="16" t="s">
        <v>1978</v>
      </c>
      <c r="B149" t="s">
        <v>44</v>
      </c>
      <c r="C149" t="s">
        <v>1979</v>
      </c>
      <c r="D149" t="s">
        <v>1618</v>
      </c>
      <c r="E149">
        <v>110</v>
      </c>
      <c r="F149">
        <v>320</v>
      </c>
      <c r="G149">
        <v>110</v>
      </c>
      <c r="H149">
        <v>0</v>
      </c>
      <c r="I149">
        <v>185</v>
      </c>
      <c r="J149" s="13">
        <v>60</v>
      </c>
      <c r="K149">
        <v>0</v>
      </c>
      <c r="L149" s="15">
        <v>82</v>
      </c>
      <c r="M149">
        <v>82</v>
      </c>
      <c r="N149">
        <v>80</v>
      </c>
      <c r="O149">
        <v>32</v>
      </c>
      <c r="P149">
        <v>1</v>
      </c>
      <c r="Q149">
        <v>0</v>
      </c>
      <c r="R149" t="s">
        <v>1980</v>
      </c>
      <c r="S149" t="s">
        <v>1980</v>
      </c>
      <c r="T149" t="s">
        <v>1980</v>
      </c>
      <c r="U149" t="s">
        <v>1981</v>
      </c>
      <c r="V149">
        <f t="shared" si="5"/>
        <v>120</v>
      </c>
      <c r="W149">
        <v>30</v>
      </c>
      <c r="X149">
        <v>30</v>
      </c>
      <c r="Y149">
        <v>30</v>
      </c>
      <c r="Z149">
        <v>30</v>
      </c>
      <c r="AA149" s="1"/>
      <c r="AD149" t="s">
        <v>1977</v>
      </c>
    </row>
    <row r="150" spans="1:30">
      <c r="A150" s="16" t="s">
        <v>1982</v>
      </c>
      <c r="B150" t="s">
        <v>1912</v>
      </c>
      <c r="C150" t="s">
        <v>1938</v>
      </c>
      <c r="D150" t="s">
        <v>1618</v>
      </c>
      <c r="E150">
        <v>110</v>
      </c>
      <c r="F150">
        <v>666</v>
      </c>
      <c r="G150">
        <v>190</v>
      </c>
      <c r="H150">
        <v>0</v>
      </c>
      <c r="I150">
        <v>150</v>
      </c>
      <c r="J150" s="13">
        <v>20</v>
      </c>
      <c r="K150">
        <v>0</v>
      </c>
      <c r="L150" s="15">
        <v>30</v>
      </c>
      <c r="M150">
        <v>4</v>
      </c>
      <c r="N150">
        <v>80</v>
      </c>
      <c r="O150">
        <v>1</v>
      </c>
      <c r="P150">
        <v>4</v>
      </c>
      <c r="Q150">
        <v>0</v>
      </c>
      <c r="R150" t="s">
        <v>1724</v>
      </c>
      <c r="S150" t="s">
        <v>1724</v>
      </c>
      <c r="T150" t="s">
        <v>1674</v>
      </c>
      <c r="U150" t="s">
        <v>1980</v>
      </c>
      <c r="V150">
        <f t="shared" si="5"/>
        <v>200</v>
      </c>
      <c r="W150">
        <v>50</v>
      </c>
      <c r="X150">
        <v>50</v>
      </c>
      <c r="Y150">
        <v>50</v>
      </c>
      <c r="Z150">
        <v>50</v>
      </c>
      <c r="AD150" t="s">
        <v>1977</v>
      </c>
    </row>
    <row r="151" spans="1:30">
      <c r="A151" s="16" t="s">
        <v>1983</v>
      </c>
      <c r="B151" t="s">
        <v>37</v>
      </c>
      <c r="C151" t="s">
        <v>1936</v>
      </c>
      <c r="D151" t="s">
        <v>1618</v>
      </c>
      <c r="E151">
        <v>110</v>
      </c>
      <c r="F151">
        <v>233</v>
      </c>
      <c r="G151">
        <v>100</v>
      </c>
      <c r="H151">
        <v>0</v>
      </c>
      <c r="I151">
        <v>185</v>
      </c>
      <c r="J151">
        <v>0</v>
      </c>
      <c r="K151">
        <v>0</v>
      </c>
      <c r="L151" s="15">
        <v>92</v>
      </c>
      <c r="M151">
        <v>75</v>
      </c>
      <c r="N151">
        <v>80</v>
      </c>
      <c r="O151">
        <v>30</v>
      </c>
      <c r="P151">
        <v>3</v>
      </c>
      <c r="Q151">
        <v>0</v>
      </c>
      <c r="R151" t="s">
        <v>1724</v>
      </c>
      <c r="S151" t="s">
        <v>1724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1" t="s">
        <v>1984</v>
      </c>
      <c r="AD151" t="s">
        <v>1977</v>
      </c>
    </row>
    <row r="152" spans="1:30">
      <c r="A152" s="16" t="s">
        <v>1985</v>
      </c>
      <c r="B152" t="s">
        <v>84</v>
      </c>
      <c r="C152" t="s">
        <v>1986</v>
      </c>
      <c r="D152" t="s">
        <v>1618</v>
      </c>
      <c r="E152">
        <v>110</v>
      </c>
      <c r="F152">
        <v>138</v>
      </c>
      <c r="G152">
        <v>80</v>
      </c>
      <c r="H152">
        <v>80</v>
      </c>
      <c r="I152">
        <v>130</v>
      </c>
      <c r="J152">
        <v>0</v>
      </c>
      <c r="K152">
        <v>0</v>
      </c>
      <c r="L152" s="15">
        <v>99</v>
      </c>
      <c r="M152">
        <v>79</v>
      </c>
      <c r="N152">
        <v>40</v>
      </c>
      <c r="O152">
        <v>32</v>
      </c>
      <c r="P152">
        <v>2</v>
      </c>
      <c r="Q152">
        <v>0</v>
      </c>
      <c r="R152" t="s">
        <v>1677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1"/>
      <c r="AD152" t="s">
        <v>1977</v>
      </c>
    </row>
    <row r="153" spans="1:30">
      <c r="A153" s="16" t="s">
        <v>1987</v>
      </c>
      <c r="B153" t="s">
        <v>87</v>
      </c>
      <c r="C153" t="s">
        <v>1988</v>
      </c>
      <c r="D153" t="s">
        <v>1618</v>
      </c>
      <c r="E153">
        <v>110</v>
      </c>
      <c r="F153">
        <v>60</v>
      </c>
      <c r="G153">
        <v>0</v>
      </c>
      <c r="H153">
        <v>180</v>
      </c>
      <c r="I153">
        <v>50</v>
      </c>
      <c r="J153">
        <v>0</v>
      </c>
      <c r="K153">
        <v>0</v>
      </c>
      <c r="L153" s="15">
        <v>108</v>
      </c>
      <c r="M153">
        <v>10</v>
      </c>
      <c r="N153">
        <v>18</v>
      </c>
      <c r="O153">
        <v>22</v>
      </c>
      <c r="P153">
        <v>1</v>
      </c>
      <c r="Q153">
        <v>0</v>
      </c>
      <c r="V153">
        <f t="shared" si="5"/>
        <v>0</v>
      </c>
      <c r="W153">
        <v>0</v>
      </c>
      <c r="X153">
        <v>0</v>
      </c>
      <c r="Y153">
        <v>0</v>
      </c>
      <c r="Z153">
        <v>0</v>
      </c>
      <c r="AA153" s="1"/>
      <c r="AD153" t="s">
        <v>1977</v>
      </c>
    </row>
    <row r="154" spans="1:30">
      <c r="A154" s="16" t="s">
        <v>1989</v>
      </c>
      <c r="B154" t="s">
        <v>37</v>
      </c>
      <c r="C154" s="1">
        <v>111</v>
      </c>
      <c r="D154" t="s">
        <v>1618</v>
      </c>
      <c r="E154">
        <v>110</v>
      </c>
      <c r="F154">
        <v>666</v>
      </c>
      <c r="G154">
        <v>220</v>
      </c>
      <c r="H154">
        <v>0</v>
      </c>
      <c r="I154">
        <v>180</v>
      </c>
      <c r="J154" s="15">
        <v>50</v>
      </c>
      <c r="K154">
        <v>0</v>
      </c>
      <c r="L154" s="15">
        <v>160</v>
      </c>
      <c r="M154" s="13">
        <v>100</v>
      </c>
      <c r="N154" s="13">
        <v>63</v>
      </c>
      <c r="O154" s="13">
        <v>27</v>
      </c>
      <c r="P154">
        <v>4</v>
      </c>
      <c r="Q154">
        <v>0</v>
      </c>
      <c r="R154" t="s">
        <v>1964</v>
      </c>
      <c r="S154" t="s">
        <v>1964</v>
      </c>
      <c r="T154" t="s">
        <v>1968</v>
      </c>
      <c r="U154" t="s">
        <v>1724</v>
      </c>
      <c r="V154">
        <f t="shared" si="5"/>
        <v>0</v>
      </c>
      <c r="W154">
        <v>0</v>
      </c>
      <c r="X154">
        <v>0</v>
      </c>
      <c r="Y154">
        <v>0</v>
      </c>
      <c r="Z154">
        <v>0</v>
      </c>
      <c r="AA154" s="1" t="s">
        <v>1990</v>
      </c>
      <c r="AD154" t="s">
        <v>1991</v>
      </c>
    </row>
    <row r="155" spans="1:30">
      <c r="A155" s="16" t="s">
        <v>1992</v>
      </c>
      <c r="B155" t="s">
        <v>37</v>
      </c>
      <c r="C155" t="s">
        <v>1993</v>
      </c>
      <c r="D155" t="s">
        <v>1618</v>
      </c>
      <c r="E155">
        <v>110</v>
      </c>
      <c r="F155">
        <v>450</v>
      </c>
      <c r="G155">
        <v>370</v>
      </c>
      <c r="H155">
        <v>0</v>
      </c>
      <c r="I155">
        <v>250</v>
      </c>
      <c r="J155" s="15">
        <v>50</v>
      </c>
      <c r="K155">
        <v>0</v>
      </c>
      <c r="L155" s="15">
        <v>160</v>
      </c>
      <c r="M155" s="13">
        <v>100</v>
      </c>
      <c r="N155" s="13">
        <v>63</v>
      </c>
      <c r="O155" s="13">
        <v>27</v>
      </c>
      <c r="P155">
        <v>4</v>
      </c>
      <c r="Q155">
        <v>0</v>
      </c>
      <c r="R155" t="s">
        <v>1964</v>
      </c>
      <c r="S155" t="s">
        <v>1964</v>
      </c>
      <c r="T155" t="s">
        <v>1968</v>
      </c>
      <c r="U155" t="s">
        <v>1724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1"/>
      <c r="AD155" t="s">
        <v>1991</v>
      </c>
    </row>
    <row r="156" spans="1:30">
      <c r="A156" s="16" t="s">
        <v>1994</v>
      </c>
      <c r="B156" t="s">
        <v>37</v>
      </c>
      <c r="C156" t="s">
        <v>1993</v>
      </c>
      <c r="D156" t="s">
        <v>1618</v>
      </c>
      <c r="E156">
        <v>80</v>
      </c>
      <c r="F156">
        <v>225</v>
      </c>
      <c r="G156">
        <v>145</v>
      </c>
      <c r="H156">
        <v>0</v>
      </c>
      <c r="I156">
        <v>125</v>
      </c>
      <c r="J156" s="15">
        <v>50</v>
      </c>
      <c r="K156">
        <v>0</v>
      </c>
      <c r="L156" s="15">
        <v>80</v>
      </c>
      <c r="M156" s="13">
        <v>50</v>
      </c>
      <c r="N156" s="13">
        <v>33</v>
      </c>
      <c r="O156" s="13">
        <v>27</v>
      </c>
      <c r="P156">
        <v>4</v>
      </c>
      <c r="Q156">
        <v>0</v>
      </c>
      <c r="R156" t="s">
        <v>1964</v>
      </c>
      <c r="S156" t="s">
        <v>1964</v>
      </c>
      <c r="T156" t="s">
        <v>1968</v>
      </c>
      <c r="U156" t="s">
        <v>1724</v>
      </c>
      <c r="V156">
        <f t="shared" si="5"/>
        <v>0</v>
      </c>
      <c r="W156">
        <v>0</v>
      </c>
      <c r="X156">
        <v>0</v>
      </c>
      <c r="Y156">
        <v>0</v>
      </c>
      <c r="Z156">
        <v>0</v>
      </c>
      <c r="AA156" s="1"/>
      <c r="AD156" t="s">
        <v>1991</v>
      </c>
    </row>
    <row r="157" spans="1:30">
      <c r="A157" s="16" t="s">
        <v>1995</v>
      </c>
      <c r="B157" t="s">
        <v>37</v>
      </c>
      <c r="C157" t="s">
        <v>1967</v>
      </c>
      <c r="D157" t="s">
        <v>1618</v>
      </c>
      <c r="E157">
        <v>110</v>
      </c>
      <c r="F157">
        <v>256</v>
      </c>
      <c r="G157">
        <v>220</v>
      </c>
      <c r="H157">
        <v>0</v>
      </c>
      <c r="I157">
        <v>180</v>
      </c>
      <c r="J157" s="15">
        <v>25</v>
      </c>
      <c r="K157">
        <v>0</v>
      </c>
      <c r="L157" s="15">
        <v>160</v>
      </c>
      <c r="M157" s="13">
        <v>100</v>
      </c>
      <c r="N157" s="13">
        <v>63</v>
      </c>
      <c r="O157" s="13">
        <v>27</v>
      </c>
      <c r="P157">
        <v>4</v>
      </c>
      <c r="Q157">
        <v>0</v>
      </c>
      <c r="R157" t="s">
        <v>1964</v>
      </c>
      <c r="S157" t="s">
        <v>1964</v>
      </c>
      <c r="T157" t="s">
        <v>1968</v>
      </c>
      <c r="U157" t="s">
        <v>1724</v>
      </c>
      <c r="V157">
        <f t="shared" si="5"/>
        <v>0</v>
      </c>
      <c r="W157">
        <v>0</v>
      </c>
      <c r="X157">
        <v>0</v>
      </c>
      <c r="Y157">
        <v>0</v>
      </c>
      <c r="Z157">
        <v>0</v>
      </c>
      <c r="AA157" s="1"/>
      <c r="AD157" t="s">
        <v>1991</v>
      </c>
    </row>
    <row r="158" spans="1:30">
      <c r="A158" s="16" t="s">
        <v>1996</v>
      </c>
      <c r="B158" t="s">
        <v>37</v>
      </c>
      <c r="C158" t="s">
        <v>1997</v>
      </c>
      <c r="D158" t="s">
        <v>1618</v>
      </c>
      <c r="E158">
        <v>110</v>
      </c>
      <c r="F158">
        <v>256</v>
      </c>
      <c r="G158">
        <v>220</v>
      </c>
      <c r="H158">
        <v>0</v>
      </c>
      <c r="I158">
        <v>180</v>
      </c>
      <c r="J158" s="15">
        <v>50</v>
      </c>
      <c r="K158">
        <v>0</v>
      </c>
      <c r="L158" s="15">
        <v>160</v>
      </c>
      <c r="M158" s="13">
        <v>100</v>
      </c>
      <c r="N158" s="13">
        <v>63</v>
      </c>
      <c r="O158" s="13">
        <v>24</v>
      </c>
      <c r="P158">
        <v>4</v>
      </c>
      <c r="Q158">
        <v>0</v>
      </c>
      <c r="R158" t="s">
        <v>1964</v>
      </c>
      <c r="S158" t="s">
        <v>1964</v>
      </c>
      <c r="T158" t="s">
        <v>1968</v>
      </c>
      <c r="U158" t="s">
        <v>1724</v>
      </c>
      <c r="V158">
        <f t="shared" si="5"/>
        <v>0</v>
      </c>
      <c r="W158">
        <v>0</v>
      </c>
      <c r="X158">
        <v>0</v>
      </c>
      <c r="Y158">
        <v>0</v>
      </c>
      <c r="Z158">
        <v>0</v>
      </c>
      <c r="AA158" s="1"/>
      <c r="AD158" t="s">
        <v>1991</v>
      </c>
    </row>
    <row r="159" spans="1:30">
      <c r="A159" s="16" t="s">
        <v>1998</v>
      </c>
      <c r="B159" t="s">
        <v>29</v>
      </c>
      <c r="C159" t="s">
        <v>1999</v>
      </c>
      <c r="D159" t="s">
        <v>1618</v>
      </c>
      <c r="E159">
        <v>110</v>
      </c>
      <c r="F159">
        <v>540</v>
      </c>
      <c r="G159">
        <v>20</v>
      </c>
      <c r="H159">
        <v>0</v>
      </c>
      <c r="I159">
        <v>180</v>
      </c>
      <c r="J159" s="15">
        <v>100</v>
      </c>
      <c r="K159">
        <v>0</v>
      </c>
      <c r="L159" s="15">
        <v>160</v>
      </c>
      <c r="M159" s="13">
        <v>100</v>
      </c>
      <c r="N159" s="13">
        <v>120</v>
      </c>
      <c r="O159" s="13">
        <v>35</v>
      </c>
      <c r="P159">
        <v>4</v>
      </c>
      <c r="Q159">
        <v>0</v>
      </c>
      <c r="R159" t="s">
        <v>1847</v>
      </c>
      <c r="S159" t="s">
        <v>2000</v>
      </c>
      <c r="T159" t="s">
        <v>2000</v>
      </c>
      <c r="U159" t="s">
        <v>2000</v>
      </c>
      <c r="V159">
        <f t="shared" si="5"/>
        <v>28</v>
      </c>
      <c r="W159">
        <v>7</v>
      </c>
      <c r="X159">
        <v>7</v>
      </c>
      <c r="Y159">
        <v>7</v>
      </c>
      <c r="Z159">
        <v>7</v>
      </c>
      <c r="AA159" s="1"/>
      <c r="AD159" t="s">
        <v>1991</v>
      </c>
    </row>
    <row r="160" spans="1:30">
      <c r="A160" s="16" t="s">
        <v>2001</v>
      </c>
      <c r="B160" t="s">
        <v>29</v>
      </c>
      <c r="C160" t="s">
        <v>1999</v>
      </c>
      <c r="D160" t="s">
        <v>1618</v>
      </c>
      <c r="E160">
        <v>80</v>
      </c>
      <c r="F160">
        <v>270</v>
      </c>
      <c r="G160">
        <v>10</v>
      </c>
      <c r="H160">
        <v>0</v>
      </c>
      <c r="I160">
        <v>90</v>
      </c>
      <c r="J160" s="15">
        <v>50</v>
      </c>
      <c r="K160">
        <v>0</v>
      </c>
      <c r="L160" s="15">
        <v>80</v>
      </c>
      <c r="M160" s="13">
        <v>50</v>
      </c>
      <c r="N160" s="13">
        <v>60</v>
      </c>
      <c r="O160" s="13">
        <v>35</v>
      </c>
      <c r="P160">
        <v>4</v>
      </c>
      <c r="Q160">
        <v>0</v>
      </c>
      <c r="R160" t="s">
        <v>1674</v>
      </c>
      <c r="S160" t="s">
        <v>1669</v>
      </c>
      <c r="T160" t="s">
        <v>1669</v>
      </c>
      <c r="U160" t="s">
        <v>1669</v>
      </c>
      <c r="V160">
        <f t="shared" si="5"/>
        <v>20</v>
      </c>
      <c r="W160">
        <v>5</v>
      </c>
      <c r="X160">
        <v>5</v>
      </c>
      <c r="Y160">
        <v>5</v>
      </c>
      <c r="Z160">
        <v>5</v>
      </c>
      <c r="AA160" s="1"/>
      <c r="AD160" t="s">
        <v>1991</v>
      </c>
    </row>
    <row r="161" spans="1:30">
      <c r="A161" s="16" t="s">
        <v>2002</v>
      </c>
      <c r="B161" t="s">
        <v>37</v>
      </c>
      <c r="C161" t="s">
        <v>2003</v>
      </c>
      <c r="D161" t="s">
        <v>1618</v>
      </c>
      <c r="E161">
        <v>110</v>
      </c>
      <c r="F161">
        <v>216</v>
      </c>
      <c r="G161">
        <v>220</v>
      </c>
      <c r="H161">
        <v>0</v>
      </c>
      <c r="I161">
        <v>180</v>
      </c>
      <c r="J161" s="15">
        <v>50</v>
      </c>
      <c r="K161">
        <v>0</v>
      </c>
      <c r="L161" s="15">
        <v>160</v>
      </c>
      <c r="M161" s="13">
        <v>100</v>
      </c>
      <c r="N161" s="13">
        <v>63</v>
      </c>
      <c r="O161" s="13">
        <v>27</v>
      </c>
      <c r="P161">
        <v>4</v>
      </c>
      <c r="Q161">
        <v>0</v>
      </c>
      <c r="R161" t="s">
        <v>1964</v>
      </c>
      <c r="S161" t="s">
        <v>1964</v>
      </c>
      <c r="T161" t="s">
        <v>1968</v>
      </c>
      <c r="U161" t="s">
        <v>1724</v>
      </c>
      <c r="V161">
        <f t="shared" si="5"/>
        <v>0</v>
      </c>
      <c r="W161">
        <v>0</v>
      </c>
      <c r="X161">
        <v>0</v>
      </c>
      <c r="Y161">
        <v>0</v>
      </c>
      <c r="Z161">
        <v>0</v>
      </c>
      <c r="AA161" s="1"/>
      <c r="AD161" t="s">
        <v>1991</v>
      </c>
    </row>
    <row r="162" spans="1:30">
      <c r="A162" s="16" t="s">
        <v>2004</v>
      </c>
      <c r="B162" t="s">
        <v>37</v>
      </c>
      <c r="C162" t="s">
        <v>1933</v>
      </c>
      <c r="D162" t="s">
        <v>1618</v>
      </c>
      <c r="E162">
        <v>110</v>
      </c>
      <c r="F162">
        <v>720</v>
      </c>
      <c r="G162">
        <v>300</v>
      </c>
      <c r="H162">
        <v>0</v>
      </c>
      <c r="I162">
        <v>250</v>
      </c>
      <c r="J162" s="13">
        <v>100</v>
      </c>
      <c r="K162">
        <v>0</v>
      </c>
      <c r="L162" s="15">
        <v>140</v>
      </c>
      <c r="M162" s="13">
        <v>80</v>
      </c>
      <c r="N162" s="13">
        <v>50</v>
      </c>
      <c r="O162" s="13">
        <v>28</v>
      </c>
      <c r="P162" s="13">
        <v>4</v>
      </c>
      <c r="Q162" s="13">
        <v>0</v>
      </c>
      <c r="V162">
        <f t="shared" si="5"/>
        <v>0</v>
      </c>
      <c r="W162" s="13">
        <v>0</v>
      </c>
      <c r="X162" s="13">
        <v>0</v>
      </c>
      <c r="Y162" s="13">
        <v>0</v>
      </c>
      <c r="Z162" s="13">
        <v>0</v>
      </c>
      <c r="AA162" s="16"/>
      <c r="AB162" s="13"/>
      <c r="AC162" s="13"/>
      <c r="AD162" t="s">
        <v>2005</v>
      </c>
    </row>
    <row r="163" spans="1:30">
      <c r="A163" s="16" t="s">
        <v>2006</v>
      </c>
      <c r="B163" t="s">
        <v>37</v>
      </c>
      <c r="C163" t="s">
        <v>1936</v>
      </c>
      <c r="D163" t="s">
        <v>1618</v>
      </c>
      <c r="E163">
        <v>110</v>
      </c>
      <c r="F163">
        <v>360</v>
      </c>
      <c r="G163">
        <v>300</v>
      </c>
      <c r="H163">
        <v>0</v>
      </c>
      <c r="I163">
        <v>185</v>
      </c>
      <c r="J163" s="13">
        <v>100</v>
      </c>
      <c r="K163">
        <v>0</v>
      </c>
      <c r="L163" s="15">
        <v>140</v>
      </c>
      <c r="M163" s="13">
        <v>80</v>
      </c>
      <c r="N163" s="13">
        <v>50</v>
      </c>
      <c r="O163" s="13">
        <v>30</v>
      </c>
      <c r="P163" s="13">
        <v>4</v>
      </c>
      <c r="Q163" s="13">
        <v>0</v>
      </c>
      <c r="V163">
        <f t="shared" si="5"/>
        <v>0</v>
      </c>
      <c r="W163" s="13">
        <v>0</v>
      </c>
      <c r="X163" s="13">
        <v>0</v>
      </c>
      <c r="Y163" s="13">
        <v>0</v>
      </c>
      <c r="Z163" s="13">
        <v>0</v>
      </c>
      <c r="AA163" s="16"/>
      <c r="AB163" s="13"/>
      <c r="AC163" s="13"/>
      <c r="AD163" t="s">
        <v>2005</v>
      </c>
    </row>
    <row r="164" spans="1:30">
      <c r="A164" s="16" t="s">
        <v>2007</v>
      </c>
      <c r="B164" t="s">
        <v>1912</v>
      </c>
      <c r="C164" t="s">
        <v>1938</v>
      </c>
      <c r="D164" t="s">
        <v>1618</v>
      </c>
      <c r="E164">
        <v>110</v>
      </c>
      <c r="F164">
        <v>666</v>
      </c>
      <c r="G164">
        <v>300</v>
      </c>
      <c r="H164">
        <v>0</v>
      </c>
      <c r="I164">
        <v>150</v>
      </c>
      <c r="J164" s="13">
        <v>150</v>
      </c>
      <c r="K164">
        <v>0</v>
      </c>
      <c r="L164" s="15">
        <v>140</v>
      </c>
      <c r="M164" s="13">
        <v>5</v>
      </c>
      <c r="N164" s="13">
        <v>60</v>
      </c>
      <c r="O164" s="13">
        <v>1</v>
      </c>
      <c r="P164" s="13">
        <v>4</v>
      </c>
      <c r="Q164" s="13">
        <v>0</v>
      </c>
      <c r="T164" t="s">
        <v>1740</v>
      </c>
      <c r="U164" t="s">
        <v>1740</v>
      </c>
      <c r="V164">
        <f t="shared" si="5"/>
        <v>80</v>
      </c>
      <c r="W164">
        <v>20</v>
      </c>
      <c r="X164">
        <v>20</v>
      </c>
      <c r="Y164">
        <v>20</v>
      </c>
      <c r="Z164">
        <v>20</v>
      </c>
      <c r="AA164" s="16"/>
      <c r="AB164" s="13"/>
      <c r="AC164" s="13"/>
      <c r="AD164" t="s">
        <v>2005</v>
      </c>
    </row>
    <row r="165" spans="1:30">
      <c r="A165" s="16" t="s">
        <v>2008</v>
      </c>
      <c r="B165" t="s">
        <v>1912</v>
      </c>
      <c r="C165" t="s">
        <v>1938</v>
      </c>
      <c r="D165" t="s">
        <v>1618</v>
      </c>
      <c r="E165">
        <v>110</v>
      </c>
      <c r="F165">
        <v>333</v>
      </c>
      <c r="G165">
        <v>300</v>
      </c>
      <c r="H165">
        <v>0</v>
      </c>
      <c r="I165">
        <v>150</v>
      </c>
      <c r="J165" s="13">
        <v>150</v>
      </c>
      <c r="K165">
        <v>0</v>
      </c>
      <c r="L165" s="15">
        <v>140</v>
      </c>
      <c r="M165" s="13">
        <v>5</v>
      </c>
      <c r="N165" s="13">
        <v>60</v>
      </c>
      <c r="O165" s="13">
        <v>1</v>
      </c>
      <c r="P165" s="13">
        <v>4</v>
      </c>
      <c r="Q165" s="13">
        <v>0</v>
      </c>
      <c r="T165" t="s">
        <v>1740</v>
      </c>
      <c r="U165" t="s">
        <v>1740</v>
      </c>
      <c r="V165">
        <f t="shared" si="5"/>
        <v>80</v>
      </c>
      <c r="W165">
        <v>20</v>
      </c>
      <c r="X165">
        <v>20</v>
      </c>
      <c r="Y165">
        <v>20</v>
      </c>
      <c r="Z165">
        <v>20</v>
      </c>
      <c r="AA165" s="16"/>
      <c r="AB165" s="13"/>
      <c r="AC165" s="13"/>
      <c r="AD165" t="s">
        <v>2005</v>
      </c>
    </row>
    <row r="166" spans="1:30">
      <c r="A166" s="16" t="s">
        <v>2009</v>
      </c>
      <c r="B166" t="s">
        <v>37</v>
      </c>
      <c r="C166" t="s">
        <v>1941</v>
      </c>
      <c r="D166" t="s">
        <v>1618</v>
      </c>
      <c r="E166">
        <v>110</v>
      </c>
      <c r="F166">
        <v>420</v>
      </c>
      <c r="G166">
        <v>300</v>
      </c>
      <c r="H166">
        <v>0</v>
      </c>
      <c r="I166">
        <v>185</v>
      </c>
      <c r="J166" s="13">
        <v>100</v>
      </c>
      <c r="K166">
        <v>0</v>
      </c>
      <c r="L166" s="15">
        <v>140</v>
      </c>
      <c r="M166" s="13">
        <v>80</v>
      </c>
      <c r="N166" s="13">
        <v>50</v>
      </c>
      <c r="O166" s="13">
        <v>36</v>
      </c>
      <c r="P166" s="13">
        <v>4</v>
      </c>
      <c r="Q166" s="13">
        <v>0</v>
      </c>
      <c r="V166">
        <f t="shared" si="5"/>
        <v>0</v>
      </c>
      <c r="W166" s="13">
        <v>0</v>
      </c>
      <c r="X166" s="13">
        <v>0</v>
      </c>
      <c r="Y166" s="13">
        <v>0</v>
      </c>
      <c r="Z166" s="13">
        <v>0</v>
      </c>
      <c r="AA166" s="16"/>
      <c r="AB166" s="13"/>
      <c r="AC166" s="13"/>
      <c r="AD166" t="s">
        <v>2005</v>
      </c>
    </row>
    <row r="167" spans="1:30">
      <c r="A167" s="16" t="s">
        <v>2010</v>
      </c>
      <c r="B167" t="s">
        <v>84</v>
      </c>
      <c r="C167" t="s">
        <v>1986</v>
      </c>
      <c r="D167" t="s">
        <v>1618</v>
      </c>
      <c r="E167">
        <v>110</v>
      </c>
      <c r="F167">
        <v>280</v>
      </c>
      <c r="G167">
        <v>130</v>
      </c>
      <c r="H167">
        <v>80</v>
      </c>
      <c r="I167">
        <v>185</v>
      </c>
      <c r="J167" s="13">
        <v>100</v>
      </c>
      <c r="K167">
        <v>0</v>
      </c>
      <c r="L167" s="15">
        <v>100</v>
      </c>
      <c r="M167" s="13">
        <v>80</v>
      </c>
      <c r="N167" s="13">
        <v>50</v>
      </c>
      <c r="O167" s="13">
        <v>32</v>
      </c>
      <c r="P167" s="13">
        <v>3</v>
      </c>
      <c r="Q167" s="13">
        <v>0</v>
      </c>
      <c r="R167" s="13" t="s">
        <v>1720</v>
      </c>
      <c r="S167" s="13"/>
      <c r="T167" s="13"/>
      <c r="U167" s="13"/>
      <c r="V167">
        <f t="shared" si="5"/>
        <v>0</v>
      </c>
      <c r="W167" s="13">
        <v>0</v>
      </c>
      <c r="X167" s="13">
        <v>0</v>
      </c>
      <c r="Y167" s="13">
        <v>0</v>
      </c>
      <c r="Z167" s="13">
        <v>0</v>
      </c>
      <c r="AA167" s="16"/>
      <c r="AB167" s="13"/>
      <c r="AC167" s="13"/>
      <c r="AD167" t="s">
        <v>2005</v>
      </c>
    </row>
    <row r="168" spans="1:30">
      <c r="A168" s="16" t="s">
        <v>2011</v>
      </c>
      <c r="B168" t="s">
        <v>29</v>
      </c>
      <c r="C168" t="s">
        <v>2012</v>
      </c>
      <c r="D168" t="s">
        <v>1618</v>
      </c>
      <c r="E168">
        <v>120</v>
      </c>
      <c r="F168">
        <v>666</v>
      </c>
      <c r="G168">
        <v>300</v>
      </c>
      <c r="H168">
        <v>0</v>
      </c>
      <c r="I168">
        <v>180</v>
      </c>
      <c r="J168" s="13">
        <v>70</v>
      </c>
      <c r="K168">
        <v>0</v>
      </c>
      <c r="L168" s="13">
        <v>150</v>
      </c>
      <c r="M168">
        <v>120</v>
      </c>
      <c r="N168">
        <v>80</v>
      </c>
      <c r="O168">
        <v>30</v>
      </c>
      <c r="P168">
        <v>3</v>
      </c>
      <c r="Q168">
        <v>0</v>
      </c>
      <c r="R168" t="s">
        <v>1980</v>
      </c>
      <c r="S168" t="s">
        <v>1980</v>
      </c>
      <c r="T168" t="s">
        <v>2000</v>
      </c>
      <c r="U168" t="s">
        <v>1981</v>
      </c>
      <c r="V168">
        <f t="shared" si="5"/>
        <v>120</v>
      </c>
      <c r="W168">
        <v>30</v>
      </c>
      <c r="X168">
        <v>30</v>
      </c>
      <c r="Y168">
        <v>30</v>
      </c>
      <c r="Z168">
        <v>30</v>
      </c>
      <c r="AA168" s="1"/>
      <c r="AD168" t="s">
        <v>2013</v>
      </c>
    </row>
    <row r="169" spans="1:30">
      <c r="A169" s="16" t="s">
        <v>2014</v>
      </c>
      <c r="B169" t="s">
        <v>1912</v>
      </c>
      <c r="C169" t="s">
        <v>1938</v>
      </c>
      <c r="D169" t="s">
        <v>1618</v>
      </c>
      <c r="E169">
        <v>120</v>
      </c>
      <c r="F169">
        <v>466</v>
      </c>
      <c r="G169">
        <v>300</v>
      </c>
      <c r="H169">
        <v>0</v>
      </c>
      <c r="I169">
        <v>180</v>
      </c>
      <c r="J169" s="13">
        <v>70</v>
      </c>
      <c r="K169">
        <v>0</v>
      </c>
      <c r="L169" s="13">
        <v>150</v>
      </c>
      <c r="M169">
        <v>120</v>
      </c>
      <c r="N169">
        <v>80</v>
      </c>
      <c r="O169">
        <v>21</v>
      </c>
      <c r="P169">
        <v>3</v>
      </c>
      <c r="Q169">
        <v>0</v>
      </c>
      <c r="R169" t="s">
        <v>1740</v>
      </c>
      <c r="S169" t="s">
        <v>1740</v>
      </c>
      <c r="T169" t="s">
        <v>1740</v>
      </c>
      <c r="U169" t="s">
        <v>1674</v>
      </c>
      <c r="V169">
        <f t="shared" si="5"/>
        <v>120</v>
      </c>
      <c r="W169">
        <v>30</v>
      </c>
      <c r="X169">
        <v>30</v>
      </c>
      <c r="Y169">
        <v>30</v>
      </c>
      <c r="Z169">
        <v>30</v>
      </c>
      <c r="AA169" s="1"/>
      <c r="AD169" t="s">
        <v>2013</v>
      </c>
    </row>
    <row r="170" spans="1:30">
      <c r="A170" s="16" t="s">
        <v>2015</v>
      </c>
      <c r="B170" t="s">
        <v>37</v>
      </c>
      <c r="C170" t="s">
        <v>1936</v>
      </c>
      <c r="D170" t="s">
        <v>1618</v>
      </c>
      <c r="E170">
        <v>120</v>
      </c>
      <c r="F170">
        <v>333</v>
      </c>
      <c r="G170">
        <v>300</v>
      </c>
      <c r="H170">
        <v>0</v>
      </c>
      <c r="I170">
        <v>180</v>
      </c>
      <c r="J170" s="13">
        <v>70</v>
      </c>
      <c r="K170">
        <v>0</v>
      </c>
      <c r="L170" s="13">
        <v>150</v>
      </c>
      <c r="M170">
        <v>120</v>
      </c>
      <c r="N170">
        <v>80</v>
      </c>
      <c r="O170">
        <v>30</v>
      </c>
      <c r="P170">
        <v>3</v>
      </c>
      <c r="Q170">
        <v>0</v>
      </c>
      <c r="V170">
        <f t="shared" ref="V170:V201" si="6">SUM($W170:$Z170)</f>
        <v>0</v>
      </c>
      <c r="W170">
        <v>0</v>
      </c>
      <c r="X170">
        <v>0</v>
      </c>
      <c r="Y170">
        <v>0</v>
      </c>
      <c r="Z170">
        <v>0</v>
      </c>
      <c r="AA170" s="1"/>
      <c r="AD170" t="s">
        <v>2013</v>
      </c>
    </row>
    <row r="171" spans="1:30">
      <c r="A171" s="16" t="s">
        <v>2016</v>
      </c>
      <c r="B171" t="s">
        <v>44</v>
      </c>
      <c r="C171" t="s">
        <v>1979</v>
      </c>
      <c r="D171" t="s">
        <v>1618</v>
      </c>
      <c r="E171">
        <v>120</v>
      </c>
      <c r="F171">
        <v>450</v>
      </c>
      <c r="G171">
        <v>200</v>
      </c>
      <c r="H171">
        <v>0</v>
      </c>
      <c r="I171">
        <v>180</v>
      </c>
      <c r="J171" s="13">
        <v>70</v>
      </c>
      <c r="K171">
        <v>0</v>
      </c>
      <c r="L171" s="13">
        <v>150</v>
      </c>
      <c r="M171">
        <v>90</v>
      </c>
      <c r="N171">
        <v>80</v>
      </c>
      <c r="O171">
        <v>32</v>
      </c>
      <c r="P171">
        <v>3</v>
      </c>
      <c r="Q171">
        <v>0</v>
      </c>
      <c r="R171" t="s">
        <v>1980</v>
      </c>
      <c r="S171" t="s">
        <v>1980</v>
      </c>
      <c r="T171" t="s">
        <v>1980</v>
      </c>
      <c r="U171" t="s">
        <v>1981</v>
      </c>
      <c r="V171">
        <f t="shared" si="6"/>
        <v>120</v>
      </c>
      <c r="W171">
        <v>30</v>
      </c>
      <c r="X171">
        <v>30</v>
      </c>
      <c r="Y171">
        <v>30</v>
      </c>
      <c r="Z171">
        <v>30</v>
      </c>
      <c r="AA171" s="1"/>
      <c r="AD171" t="s">
        <v>2013</v>
      </c>
    </row>
    <row r="172" spans="1:30">
      <c r="A172" s="16" t="s">
        <v>2017</v>
      </c>
      <c r="B172" t="s">
        <v>37</v>
      </c>
      <c r="C172" s="1">
        <v>111</v>
      </c>
      <c r="D172" t="s">
        <v>1618</v>
      </c>
      <c r="E172">
        <v>120</v>
      </c>
      <c r="F172">
        <v>270</v>
      </c>
      <c r="G172">
        <v>200</v>
      </c>
      <c r="H172">
        <v>0</v>
      </c>
      <c r="I172">
        <v>180</v>
      </c>
      <c r="J172" s="13">
        <v>70</v>
      </c>
      <c r="K172">
        <v>0</v>
      </c>
      <c r="L172" s="13">
        <v>150</v>
      </c>
      <c r="M172">
        <v>90</v>
      </c>
      <c r="N172">
        <v>80</v>
      </c>
      <c r="O172">
        <v>30</v>
      </c>
      <c r="P172">
        <v>3</v>
      </c>
      <c r="Q172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1"/>
      <c r="AD172" t="s">
        <v>2013</v>
      </c>
    </row>
    <row r="173" spans="1:30">
      <c r="A173" s="16" t="s">
        <v>2018</v>
      </c>
      <c r="B173" t="s">
        <v>105</v>
      </c>
      <c r="C173" t="s">
        <v>1970</v>
      </c>
      <c r="D173" t="s">
        <v>1618</v>
      </c>
      <c r="E173">
        <v>120</v>
      </c>
      <c r="F173">
        <v>233</v>
      </c>
      <c r="G173">
        <v>70</v>
      </c>
      <c r="H173">
        <v>0</v>
      </c>
      <c r="I173">
        <v>180</v>
      </c>
      <c r="J173" s="13">
        <v>70</v>
      </c>
      <c r="K173">
        <v>0</v>
      </c>
      <c r="L173" s="13">
        <v>150</v>
      </c>
      <c r="M173">
        <v>90</v>
      </c>
      <c r="N173">
        <v>30</v>
      </c>
      <c r="O173">
        <v>35</v>
      </c>
      <c r="P173">
        <v>3</v>
      </c>
      <c r="Q173">
        <v>0</v>
      </c>
      <c r="R173" t="s">
        <v>1856</v>
      </c>
      <c r="S173" t="s">
        <v>1857</v>
      </c>
      <c r="T173" t="s">
        <v>1857</v>
      </c>
      <c r="U173" t="s">
        <v>1857</v>
      </c>
      <c r="V173">
        <f t="shared" si="6"/>
        <v>32</v>
      </c>
      <c r="W173">
        <v>8</v>
      </c>
      <c r="X173">
        <v>8</v>
      </c>
      <c r="Y173">
        <v>8</v>
      </c>
      <c r="Z173">
        <v>8</v>
      </c>
      <c r="AA173" s="1"/>
      <c r="AD173" t="s">
        <v>2013</v>
      </c>
    </row>
    <row r="174" spans="1:30">
      <c r="A174" s="16" t="s">
        <v>2019</v>
      </c>
      <c r="B174" t="s">
        <v>87</v>
      </c>
      <c r="C174" t="s">
        <v>1988</v>
      </c>
      <c r="D174" t="s">
        <v>1618</v>
      </c>
      <c r="E174">
        <v>110</v>
      </c>
      <c r="F174">
        <v>88</v>
      </c>
      <c r="G174">
        <v>0</v>
      </c>
      <c r="H174">
        <v>180</v>
      </c>
      <c r="I174">
        <v>50</v>
      </c>
      <c r="J174">
        <v>0</v>
      </c>
      <c r="K174">
        <v>0</v>
      </c>
      <c r="L174" s="13">
        <v>100</v>
      </c>
      <c r="M174">
        <v>100</v>
      </c>
      <c r="N174">
        <v>18</v>
      </c>
      <c r="O174">
        <v>22</v>
      </c>
      <c r="P174">
        <v>1</v>
      </c>
      <c r="Q174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1"/>
      <c r="AD174" t="s">
        <v>1977</v>
      </c>
    </row>
    <row r="175" spans="1:30">
      <c r="A175" s="16" t="s">
        <v>2020</v>
      </c>
      <c r="B175" t="s">
        <v>37</v>
      </c>
      <c r="C175" t="s">
        <v>1933</v>
      </c>
      <c r="D175" t="s">
        <v>1618</v>
      </c>
      <c r="E175">
        <v>110</v>
      </c>
      <c r="F175">
        <v>1100</v>
      </c>
      <c r="G175">
        <v>500</v>
      </c>
      <c r="H175">
        <v>0</v>
      </c>
      <c r="I175">
        <v>250</v>
      </c>
      <c r="J175" s="13">
        <v>100</v>
      </c>
      <c r="K175">
        <v>0</v>
      </c>
      <c r="L175" s="13">
        <v>150</v>
      </c>
      <c r="M175" s="13">
        <v>80</v>
      </c>
      <c r="N175" s="13">
        <v>50</v>
      </c>
      <c r="O175" s="13">
        <v>28</v>
      </c>
      <c r="P175" s="13">
        <v>4</v>
      </c>
      <c r="Q175" s="13">
        <v>0</v>
      </c>
      <c r="V175">
        <f t="shared" si="6"/>
        <v>0</v>
      </c>
      <c r="W175" s="13">
        <v>0</v>
      </c>
      <c r="X175" s="13">
        <v>0</v>
      </c>
      <c r="Y175" s="13">
        <v>0</v>
      </c>
      <c r="Z175" s="13">
        <v>0</v>
      </c>
      <c r="AA175" s="16"/>
      <c r="AB175" s="13"/>
      <c r="AC175" s="13"/>
      <c r="AD175" t="s">
        <v>2021</v>
      </c>
    </row>
    <row r="176" spans="1:30">
      <c r="A176" s="16" t="s">
        <v>2022</v>
      </c>
      <c r="B176" t="s">
        <v>37</v>
      </c>
      <c r="C176" t="s">
        <v>1936</v>
      </c>
      <c r="D176" t="s">
        <v>1618</v>
      </c>
      <c r="E176">
        <v>110</v>
      </c>
      <c r="F176">
        <v>450</v>
      </c>
      <c r="G176">
        <v>432</v>
      </c>
      <c r="H176">
        <v>0</v>
      </c>
      <c r="I176">
        <v>250</v>
      </c>
      <c r="J176" s="13">
        <v>100</v>
      </c>
      <c r="K176">
        <v>0</v>
      </c>
      <c r="L176" s="13">
        <v>150</v>
      </c>
      <c r="M176" s="13">
        <v>80</v>
      </c>
      <c r="N176" s="13">
        <v>50</v>
      </c>
      <c r="O176" s="13">
        <v>30</v>
      </c>
      <c r="P176" s="13">
        <v>4</v>
      </c>
      <c r="Q176" s="13">
        <v>0</v>
      </c>
      <c r="V176">
        <f t="shared" si="6"/>
        <v>0</v>
      </c>
      <c r="W176" s="13">
        <v>0</v>
      </c>
      <c r="X176" s="13">
        <v>0</v>
      </c>
      <c r="Y176" s="13">
        <v>0</v>
      </c>
      <c r="Z176" s="13">
        <v>0</v>
      </c>
      <c r="AA176" s="16"/>
      <c r="AB176" s="13"/>
      <c r="AC176" s="13"/>
      <c r="AD176" t="s">
        <v>2021</v>
      </c>
    </row>
    <row r="177" spans="1:30">
      <c r="A177" s="16" t="s">
        <v>2023</v>
      </c>
      <c r="B177" t="s">
        <v>1912</v>
      </c>
      <c r="C177" t="s">
        <v>1938</v>
      </c>
      <c r="D177" t="s">
        <v>1618</v>
      </c>
      <c r="E177">
        <v>110</v>
      </c>
      <c r="F177">
        <v>666</v>
      </c>
      <c r="G177">
        <v>500</v>
      </c>
      <c r="H177">
        <v>0</v>
      </c>
      <c r="I177">
        <v>150</v>
      </c>
      <c r="J177" s="13">
        <v>150</v>
      </c>
      <c r="K177">
        <v>0</v>
      </c>
      <c r="L177" s="13">
        <v>150</v>
      </c>
      <c r="M177" s="13">
        <v>5</v>
      </c>
      <c r="N177" s="13">
        <v>60</v>
      </c>
      <c r="O177" s="13">
        <v>1</v>
      </c>
      <c r="P177" s="13">
        <v>4</v>
      </c>
      <c r="Q177" s="13">
        <v>0</v>
      </c>
      <c r="T177" t="s">
        <v>1740</v>
      </c>
      <c r="U177" t="s">
        <v>1740</v>
      </c>
      <c r="V177">
        <f t="shared" si="6"/>
        <v>80</v>
      </c>
      <c r="W177">
        <v>20</v>
      </c>
      <c r="X177">
        <v>20</v>
      </c>
      <c r="Y177">
        <v>20</v>
      </c>
      <c r="Z177">
        <v>20</v>
      </c>
      <c r="AA177" s="16"/>
      <c r="AB177" s="13"/>
      <c r="AC177" s="13"/>
      <c r="AD177" t="s">
        <v>2021</v>
      </c>
    </row>
    <row r="178" spans="1:30">
      <c r="A178" s="16" t="s">
        <v>2024</v>
      </c>
      <c r="B178" t="s">
        <v>1845</v>
      </c>
      <c r="C178" t="s">
        <v>2025</v>
      </c>
      <c r="D178" t="s">
        <v>1618</v>
      </c>
      <c r="E178">
        <v>110</v>
      </c>
      <c r="F178">
        <v>432</v>
      </c>
      <c r="G178">
        <v>500</v>
      </c>
      <c r="H178">
        <v>0</v>
      </c>
      <c r="I178">
        <v>185</v>
      </c>
      <c r="J178" s="13">
        <v>150</v>
      </c>
      <c r="K178">
        <v>0</v>
      </c>
      <c r="L178" s="13">
        <v>150</v>
      </c>
      <c r="M178" s="13">
        <v>80</v>
      </c>
      <c r="N178" s="13">
        <v>60</v>
      </c>
      <c r="O178" s="13">
        <v>30</v>
      </c>
      <c r="P178" s="13">
        <v>4</v>
      </c>
      <c r="Q178" s="13">
        <v>0</v>
      </c>
      <c r="T178" t="s">
        <v>1740</v>
      </c>
      <c r="U178" t="s">
        <v>1740</v>
      </c>
      <c r="V178">
        <f t="shared" si="6"/>
        <v>80</v>
      </c>
      <c r="W178">
        <v>20</v>
      </c>
      <c r="X178">
        <v>20</v>
      </c>
      <c r="Y178">
        <v>20</v>
      </c>
      <c r="Z178">
        <v>20</v>
      </c>
      <c r="AA178" s="16"/>
      <c r="AB178" s="13"/>
      <c r="AC178" s="13"/>
      <c r="AD178" t="s">
        <v>2021</v>
      </c>
    </row>
    <row r="179" spans="1:30">
      <c r="A179" s="16" t="s">
        <v>2026</v>
      </c>
      <c r="B179" t="s">
        <v>37</v>
      </c>
      <c r="C179" t="s">
        <v>1941</v>
      </c>
      <c r="D179" t="s">
        <v>1618</v>
      </c>
      <c r="E179">
        <v>110</v>
      </c>
      <c r="F179">
        <v>420</v>
      </c>
      <c r="G179">
        <v>300</v>
      </c>
      <c r="H179">
        <v>0</v>
      </c>
      <c r="I179">
        <v>185</v>
      </c>
      <c r="J179" s="13">
        <v>100</v>
      </c>
      <c r="K179">
        <v>0</v>
      </c>
      <c r="L179" s="13">
        <v>150</v>
      </c>
      <c r="M179" s="13">
        <v>80</v>
      </c>
      <c r="N179" s="13">
        <v>50</v>
      </c>
      <c r="O179" s="13">
        <v>36</v>
      </c>
      <c r="P179" s="13">
        <v>4</v>
      </c>
      <c r="Q179" s="13">
        <v>0</v>
      </c>
      <c r="V179">
        <f t="shared" si="6"/>
        <v>0</v>
      </c>
      <c r="W179" s="13">
        <v>0</v>
      </c>
      <c r="X179" s="13">
        <v>0</v>
      </c>
      <c r="Y179" s="13">
        <v>0</v>
      </c>
      <c r="Z179" s="13">
        <v>0</v>
      </c>
      <c r="AA179" s="16"/>
      <c r="AB179" s="13"/>
      <c r="AC179" s="13"/>
      <c r="AD179" t="s">
        <v>2021</v>
      </c>
    </row>
    <row r="180" spans="1:30">
      <c r="A180" s="16" t="s">
        <v>2027</v>
      </c>
      <c r="B180" t="s">
        <v>1960</v>
      </c>
      <c r="C180" t="s">
        <v>2028</v>
      </c>
      <c r="D180" t="s">
        <v>1618</v>
      </c>
      <c r="E180">
        <v>75</v>
      </c>
      <c r="F180">
        <v>540</v>
      </c>
      <c r="G180">
        <v>300</v>
      </c>
      <c r="H180">
        <v>0</v>
      </c>
      <c r="I180">
        <v>188</v>
      </c>
      <c r="J180" s="13">
        <v>100</v>
      </c>
      <c r="K180">
        <v>0</v>
      </c>
      <c r="L180" s="13">
        <v>110</v>
      </c>
      <c r="M180" s="13">
        <v>80</v>
      </c>
      <c r="N180" s="13">
        <v>40</v>
      </c>
      <c r="O180" s="13">
        <v>1</v>
      </c>
      <c r="P180" s="13">
        <v>3</v>
      </c>
      <c r="Q180" s="13">
        <v>0</v>
      </c>
      <c r="R180" t="s">
        <v>2029</v>
      </c>
      <c r="S180" t="s">
        <v>2029</v>
      </c>
      <c r="T180" t="s">
        <v>2029</v>
      </c>
      <c r="U180" t="s">
        <v>2030</v>
      </c>
      <c r="V180">
        <f t="shared" si="6"/>
        <v>80</v>
      </c>
      <c r="W180" s="13">
        <v>20</v>
      </c>
      <c r="X180" s="13">
        <v>20</v>
      </c>
      <c r="Y180" s="13">
        <v>20</v>
      </c>
      <c r="Z180" s="13">
        <v>20</v>
      </c>
      <c r="AA180" s="16"/>
      <c r="AB180" s="13"/>
      <c r="AC180" s="13"/>
      <c r="AD180" t="s">
        <v>2031</v>
      </c>
    </row>
    <row r="181" spans="1:30">
      <c r="A181" s="16" t="s">
        <v>2032</v>
      </c>
      <c r="B181" t="s">
        <v>231</v>
      </c>
      <c r="C181" t="s">
        <v>2033</v>
      </c>
      <c r="D181" t="s">
        <v>1618</v>
      </c>
      <c r="E181">
        <v>75</v>
      </c>
      <c r="F181">
        <v>228</v>
      </c>
      <c r="G181">
        <v>250</v>
      </c>
      <c r="H181">
        <v>0</v>
      </c>
      <c r="I181">
        <v>100</v>
      </c>
      <c r="J181" s="13">
        <v>70</v>
      </c>
      <c r="K181">
        <v>0</v>
      </c>
      <c r="L181" s="13">
        <v>110</v>
      </c>
      <c r="M181" s="13">
        <v>80</v>
      </c>
      <c r="N181" s="13">
        <v>40</v>
      </c>
      <c r="O181" s="13">
        <v>30</v>
      </c>
      <c r="P181" s="13">
        <v>3</v>
      </c>
      <c r="Q181" s="13">
        <v>0</v>
      </c>
      <c r="R181" t="s">
        <v>2029</v>
      </c>
      <c r="S181" t="s">
        <v>2029</v>
      </c>
      <c r="T181" t="s">
        <v>2029</v>
      </c>
      <c r="U181" t="s">
        <v>2030</v>
      </c>
      <c r="V181">
        <f t="shared" si="6"/>
        <v>80</v>
      </c>
      <c r="W181" s="13">
        <v>20</v>
      </c>
      <c r="X181" s="13">
        <v>20</v>
      </c>
      <c r="Y181" s="13">
        <v>20</v>
      </c>
      <c r="Z181" s="13">
        <v>20</v>
      </c>
      <c r="AA181" s="16"/>
      <c r="AB181" s="13"/>
      <c r="AC181" s="13"/>
      <c r="AD181" t="s">
        <v>2031</v>
      </c>
    </row>
    <row r="182" spans="1:30">
      <c r="A182" s="16" t="s">
        <v>2034</v>
      </c>
      <c r="B182" t="s">
        <v>51</v>
      </c>
      <c r="C182" t="s">
        <v>2035</v>
      </c>
      <c r="D182" t="s">
        <v>1618</v>
      </c>
      <c r="E182">
        <v>75</v>
      </c>
      <c r="F182">
        <v>310</v>
      </c>
      <c r="G182">
        <v>250</v>
      </c>
      <c r="H182">
        <v>0</v>
      </c>
      <c r="I182">
        <v>100</v>
      </c>
      <c r="J182" s="13">
        <v>70</v>
      </c>
      <c r="K182">
        <v>0</v>
      </c>
      <c r="L182" s="13">
        <v>110</v>
      </c>
      <c r="M182" s="13">
        <v>80</v>
      </c>
      <c r="N182" s="13">
        <v>40</v>
      </c>
      <c r="O182" s="13">
        <v>30</v>
      </c>
      <c r="P182" s="13">
        <v>3</v>
      </c>
      <c r="Q182" s="13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16"/>
      <c r="AB182" s="13"/>
      <c r="AC182" s="13"/>
      <c r="AD182" t="s">
        <v>2031</v>
      </c>
    </row>
    <row r="183" spans="1:30">
      <c r="A183" s="16" t="s">
        <v>2036</v>
      </c>
      <c r="B183" t="s">
        <v>84</v>
      </c>
      <c r="C183" t="s">
        <v>2037</v>
      </c>
      <c r="D183" t="s">
        <v>1618</v>
      </c>
      <c r="E183">
        <v>75</v>
      </c>
      <c r="F183">
        <v>147</v>
      </c>
      <c r="G183">
        <v>200</v>
      </c>
      <c r="H183">
        <v>80</v>
      </c>
      <c r="I183">
        <v>100</v>
      </c>
      <c r="J183" s="13">
        <v>70</v>
      </c>
      <c r="K183">
        <v>0</v>
      </c>
      <c r="L183" s="13">
        <v>110</v>
      </c>
      <c r="M183" s="13">
        <v>80</v>
      </c>
      <c r="N183" s="13">
        <v>40</v>
      </c>
      <c r="O183" s="13">
        <v>25</v>
      </c>
      <c r="P183" s="13">
        <v>2</v>
      </c>
      <c r="Q183" s="13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16"/>
      <c r="AB183" s="13"/>
      <c r="AC183" s="13"/>
      <c r="AD183" t="s">
        <v>2031</v>
      </c>
    </row>
    <row r="184" spans="1:30">
      <c r="A184" s="16" t="s">
        <v>2038</v>
      </c>
      <c r="B184" t="s">
        <v>84</v>
      </c>
      <c r="C184" t="s">
        <v>2039</v>
      </c>
      <c r="D184" t="s">
        <v>1618</v>
      </c>
      <c r="E184">
        <v>75</v>
      </c>
      <c r="F184">
        <v>180</v>
      </c>
      <c r="G184">
        <v>200</v>
      </c>
      <c r="H184">
        <v>80</v>
      </c>
      <c r="I184">
        <v>100</v>
      </c>
      <c r="J184" s="13">
        <v>70</v>
      </c>
      <c r="K184">
        <v>0</v>
      </c>
      <c r="L184" s="13">
        <v>110</v>
      </c>
      <c r="M184" s="13">
        <v>80</v>
      </c>
      <c r="N184" s="13">
        <v>40</v>
      </c>
      <c r="O184" s="13">
        <v>25</v>
      </c>
      <c r="P184" s="13">
        <v>2</v>
      </c>
      <c r="Q184" s="13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16"/>
      <c r="AB184" s="13"/>
      <c r="AC184" s="13"/>
      <c r="AD184" t="s">
        <v>2031</v>
      </c>
    </row>
    <row r="185" spans="1:30">
      <c r="A185" s="16" t="s">
        <v>2040</v>
      </c>
      <c r="B185" t="s">
        <v>87</v>
      </c>
      <c r="C185" t="s">
        <v>2041</v>
      </c>
      <c r="D185" t="s">
        <v>1618</v>
      </c>
      <c r="E185">
        <v>75</v>
      </c>
      <c r="F185">
        <v>64</v>
      </c>
      <c r="G185">
        <v>0</v>
      </c>
      <c r="H185">
        <v>180</v>
      </c>
      <c r="I185">
        <v>50</v>
      </c>
      <c r="J185" s="13">
        <v>0</v>
      </c>
      <c r="K185">
        <v>0</v>
      </c>
      <c r="L185" s="13">
        <v>110</v>
      </c>
      <c r="M185" s="13">
        <v>10</v>
      </c>
      <c r="N185" s="13">
        <v>40</v>
      </c>
      <c r="O185" s="13">
        <v>21</v>
      </c>
      <c r="P185" s="13">
        <v>1</v>
      </c>
      <c r="Q185" s="13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16"/>
      <c r="AB185" s="13"/>
      <c r="AC185" s="13"/>
      <c r="AD185" t="s">
        <v>2031</v>
      </c>
    </row>
    <row r="186" spans="1:30">
      <c r="A186" s="16" t="s">
        <v>2042</v>
      </c>
      <c r="B186" t="s">
        <v>37</v>
      </c>
      <c r="C186" t="s">
        <v>2043</v>
      </c>
      <c r="D186" t="s">
        <v>1618</v>
      </c>
      <c r="E186">
        <v>120</v>
      </c>
      <c r="F186">
        <v>1100</v>
      </c>
      <c r="G186">
        <v>888</v>
      </c>
      <c r="H186">
        <v>0</v>
      </c>
      <c r="I186">
        <v>250</v>
      </c>
      <c r="J186" s="13">
        <v>0</v>
      </c>
      <c r="K186">
        <v>0</v>
      </c>
      <c r="L186" s="13">
        <v>120</v>
      </c>
      <c r="M186" s="13">
        <v>80</v>
      </c>
      <c r="N186" s="13">
        <v>40</v>
      </c>
      <c r="O186" s="13">
        <v>30</v>
      </c>
      <c r="P186" s="13">
        <v>4</v>
      </c>
      <c r="Q186" s="13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16"/>
      <c r="AB186" s="13"/>
      <c r="AC186" s="13"/>
      <c r="AD186" t="s">
        <v>2044</v>
      </c>
    </row>
    <row r="187" spans="1:30">
      <c r="A187" s="16" t="s">
        <v>2045</v>
      </c>
      <c r="B187" t="s">
        <v>37</v>
      </c>
      <c r="C187" t="s">
        <v>1993</v>
      </c>
      <c r="D187" t="s">
        <v>1618</v>
      </c>
      <c r="E187">
        <v>120</v>
      </c>
      <c r="F187">
        <v>450</v>
      </c>
      <c r="G187">
        <v>400</v>
      </c>
      <c r="H187">
        <v>0</v>
      </c>
      <c r="I187">
        <v>250</v>
      </c>
      <c r="J187" s="13">
        <v>0</v>
      </c>
      <c r="K187">
        <v>0</v>
      </c>
      <c r="L187" s="13">
        <v>120</v>
      </c>
      <c r="M187" s="13">
        <v>80</v>
      </c>
      <c r="N187" s="13">
        <v>40</v>
      </c>
      <c r="O187" s="13">
        <v>30</v>
      </c>
      <c r="P187" s="13">
        <v>4</v>
      </c>
      <c r="Q187" s="13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16"/>
      <c r="AB187" s="13"/>
      <c r="AC187" s="13"/>
      <c r="AD187" t="s">
        <v>2044</v>
      </c>
    </row>
    <row r="188" spans="1:30">
      <c r="A188" s="16" t="s">
        <v>2046</v>
      </c>
      <c r="B188" t="s">
        <v>37</v>
      </c>
      <c r="C188" t="s">
        <v>1967</v>
      </c>
      <c r="D188" t="s">
        <v>1618</v>
      </c>
      <c r="E188">
        <v>120</v>
      </c>
      <c r="F188">
        <v>291</v>
      </c>
      <c r="G188">
        <v>200</v>
      </c>
      <c r="H188">
        <v>0</v>
      </c>
      <c r="I188">
        <v>120</v>
      </c>
      <c r="J188" s="13">
        <v>0</v>
      </c>
      <c r="K188">
        <v>0</v>
      </c>
      <c r="L188" s="13">
        <v>120</v>
      </c>
      <c r="M188" s="13">
        <v>80</v>
      </c>
      <c r="N188" s="13">
        <v>40</v>
      </c>
      <c r="O188" s="13">
        <v>30</v>
      </c>
      <c r="P188" s="13">
        <v>4</v>
      </c>
      <c r="Q188" s="13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16"/>
      <c r="AB188" s="13"/>
      <c r="AC188" s="13"/>
      <c r="AD188" t="s">
        <v>2044</v>
      </c>
    </row>
    <row r="189" spans="1:30">
      <c r="A189" s="16" t="s">
        <v>2047</v>
      </c>
      <c r="B189" t="s">
        <v>1960</v>
      </c>
      <c r="C189" t="s">
        <v>2048</v>
      </c>
      <c r="D189" t="s">
        <v>1618</v>
      </c>
      <c r="E189">
        <v>120</v>
      </c>
      <c r="F189">
        <v>666</v>
      </c>
      <c r="G189">
        <v>300</v>
      </c>
      <c r="H189">
        <v>0</v>
      </c>
      <c r="I189">
        <v>150</v>
      </c>
      <c r="J189" s="13">
        <v>0</v>
      </c>
      <c r="K189">
        <v>0</v>
      </c>
      <c r="L189" s="13">
        <v>120</v>
      </c>
      <c r="M189" s="13">
        <v>80</v>
      </c>
      <c r="N189" s="13">
        <v>40</v>
      </c>
      <c r="O189" s="13">
        <v>1</v>
      </c>
      <c r="P189" s="13">
        <v>4</v>
      </c>
      <c r="Q189" s="13">
        <v>0</v>
      </c>
      <c r="R189" t="s">
        <v>2029</v>
      </c>
      <c r="S189" t="s">
        <v>2029</v>
      </c>
      <c r="T189" t="s">
        <v>2029</v>
      </c>
      <c r="U189" t="s">
        <v>2030</v>
      </c>
      <c r="V189">
        <f t="shared" si="6"/>
        <v>40</v>
      </c>
      <c r="W189">
        <v>10</v>
      </c>
      <c r="X189">
        <v>10</v>
      </c>
      <c r="Y189">
        <v>10</v>
      </c>
      <c r="Z189">
        <v>10</v>
      </c>
      <c r="AA189" s="16"/>
      <c r="AB189" s="13"/>
      <c r="AC189" s="13"/>
      <c r="AD189" t="s">
        <v>2044</v>
      </c>
    </row>
    <row r="190" spans="1:30">
      <c r="A190" s="16" t="s">
        <v>2049</v>
      </c>
      <c r="B190" t="s">
        <v>37</v>
      </c>
      <c r="C190" s="1">
        <v>111</v>
      </c>
      <c r="D190" t="s">
        <v>1618</v>
      </c>
      <c r="E190">
        <v>120</v>
      </c>
      <c r="F190">
        <v>450</v>
      </c>
      <c r="G190">
        <v>400</v>
      </c>
      <c r="H190">
        <v>0</v>
      </c>
      <c r="I190">
        <v>250</v>
      </c>
      <c r="J190" s="13">
        <v>0</v>
      </c>
      <c r="K190">
        <v>0</v>
      </c>
      <c r="L190" s="13">
        <v>120</v>
      </c>
      <c r="M190" s="13">
        <v>80</v>
      </c>
      <c r="N190" s="13">
        <v>40</v>
      </c>
      <c r="O190" s="13">
        <v>30</v>
      </c>
      <c r="P190" s="13">
        <v>4</v>
      </c>
      <c r="Q190" s="13">
        <v>0</v>
      </c>
      <c r="V190">
        <f t="shared" si="6"/>
        <v>0</v>
      </c>
      <c r="W190">
        <v>0</v>
      </c>
      <c r="X190">
        <v>0</v>
      </c>
      <c r="Y190">
        <v>0</v>
      </c>
      <c r="Z190">
        <v>0</v>
      </c>
      <c r="AA190" s="16"/>
      <c r="AB190" s="13"/>
      <c r="AC190" s="13"/>
      <c r="AD190" t="s">
        <v>2044</v>
      </c>
    </row>
    <row r="191" spans="1:30">
      <c r="A191" s="16" t="s">
        <v>2050</v>
      </c>
      <c r="B191" t="s">
        <v>37</v>
      </c>
      <c r="C191" t="s">
        <v>1963</v>
      </c>
      <c r="D191" t="s">
        <v>1618</v>
      </c>
      <c r="E191">
        <v>120</v>
      </c>
      <c r="F191">
        <v>380</v>
      </c>
      <c r="G191">
        <v>200</v>
      </c>
      <c r="H191">
        <v>0</v>
      </c>
      <c r="I191">
        <v>120</v>
      </c>
      <c r="J191" s="13">
        <v>0</v>
      </c>
      <c r="K191">
        <v>0</v>
      </c>
      <c r="L191" s="13">
        <v>120</v>
      </c>
      <c r="M191" s="13">
        <v>80</v>
      </c>
      <c r="N191" s="13">
        <v>40</v>
      </c>
      <c r="O191" s="13">
        <v>30</v>
      </c>
      <c r="P191" s="13">
        <v>4</v>
      </c>
      <c r="Q191" s="13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16"/>
      <c r="AB191" s="13"/>
      <c r="AC191" s="13"/>
      <c r="AD191" t="s">
        <v>2044</v>
      </c>
    </row>
    <row r="192" spans="1:30">
      <c r="A192" s="16" t="s">
        <v>2051</v>
      </c>
      <c r="B192" t="s">
        <v>37</v>
      </c>
      <c r="C192" t="s">
        <v>2052</v>
      </c>
      <c r="D192" t="s">
        <v>1618</v>
      </c>
      <c r="E192">
        <v>95</v>
      </c>
      <c r="F192">
        <v>380</v>
      </c>
      <c r="G192">
        <v>300</v>
      </c>
      <c r="H192">
        <v>0</v>
      </c>
      <c r="I192">
        <v>185</v>
      </c>
      <c r="J192" s="13">
        <v>0</v>
      </c>
      <c r="K192">
        <v>0</v>
      </c>
      <c r="L192" s="13">
        <v>100</v>
      </c>
      <c r="M192" s="13">
        <v>80</v>
      </c>
      <c r="N192" s="13">
        <v>40</v>
      </c>
      <c r="O192" s="13">
        <v>30</v>
      </c>
      <c r="P192" s="13">
        <v>4</v>
      </c>
      <c r="Q192" s="13">
        <v>0</v>
      </c>
      <c r="V192">
        <f t="shared" si="6"/>
        <v>0</v>
      </c>
      <c r="W192">
        <v>0</v>
      </c>
      <c r="X192">
        <v>0</v>
      </c>
      <c r="Y192">
        <v>0</v>
      </c>
      <c r="Z192">
        <v>0</v>
      </c>
      <c r="AA192" s="16"/>
      <c r="AB192" s="13"/>
      <c r="AC192" s="13"/>
      <c r="AD192" t="s">
        <v>2053</v>
      </c>
    </row>
    <row r="193" spans="1:30">
      <c r="A193" s="16" t="s">
        <v>2054</v>
      </c>
      <c r="B193" t="s">
        <v>37</v>
      </c>
      <c r="C193" t="s">
        <v>2055</v>
      </c>
      <c r="D193" t="s">
        <v>1618</v>
      </c>
      <c r="E193">
        <v>95</v>
      </c>
      <c r="F193">
        <v>306</v>
      </c>
      <c r="G193">
        <v>300</v>
      </c>
      <c r="H193">
        <v>0</v>
      </c>
      <c r="I193">
        <v>185</v>
      </c>
      <c r="J193" s="13">
        <v>0</v>
      </c>
      <c r="K193">
        <v>0</v>
      </c>
      <c r="L193" s="13">
        <v>100</v>
      </c>
      <c r="M193" s="13">
        <v>80</v>
      </c>
      <c r="N193" s="13">
        <v>40</v>
      </c>
      <c r="O193" s="13">
        <v>30</v>
      </c>
      <c r="P193" s="13">
        <v>4</v>
      </c>
      <c r="Q193" s="13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16"/>
      <c r="AB193" s="13"/>
      <c r="AC193" s="13"/>
      <c r="AD193" t="s">
        <v>2053</v>
      </c>
    </row>
    <row r="194" spans="1:30">
      <c r="A194" s="16" t="s">
        <v>2056</v>
      </c>
      <c r="B194" t="s">
        <v>37</v>
      </c>
      <c r="C194" t="s">
        <v>2057</v>
      </c>
      <c r="D194" t="s">
        <v>1618</v>
      </c>
      <c r="E194">
        <v>95</v>
      </c>
      <c r="F194">
        <v>270</v>
      </c>
      <c r="G194">
        <v>300</v>
      </c>
      <c r="H194">
        <v>0</v>
      </c>
      <c r="I194">
        <v>185</v>
      </c>
      <c r="J194" s="13">
        <v>0</v>
      </c>
      <c r="K194">
        <v>0</v>
      </c>
      <c r="L194" s="13">
        <v>100</v>
      </c>
      <c r="M194" s="13">
        <v>80</v>
      </c>
      <c r="N194" s="13">
        <v>40</v>
      </c>
      <c r="O194" s="13">
        <v>30</v>
      </c>
      <c r="P194" s="13">
        <v>4</v>
      </c>
      <c r="Q194" s="13">
        <v>0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16"/>
      <c r="AB194" s="13"/>
      <c r="AC194" s="13"/>
      <c r="AD194" t="s">
        <v>2053</v>
      </c>
    </row>
    <row r="195" spans="1:30">
      <c r="A195" s="16" t="s">
        <v>2058</v>
      </c>
      <c r="B195" t="s">
        <v>37</v>
      </c>
      <c r="C195" t="s">
        <v>2059</v>
      </c>
      <c r="D195" t="s">
        <v>1618</v>
      </c>
      <c r="E195">
        <v>95</v>
      </c>
      <c r="F195">
        <v>238</v>
      </c>
      <c r="G195">
        <v>300</v>
      </c>
      <c r="H195">
        <v>0</v>
      </c>
      <c r="I195">
        <v>185</v>
      </c>
      <c r="J195" s="13">
        <v>0</v>
      </c>
      <c r="K195">
        <v>0</v>
      </c>
      <c r="L195" s="13">
        <v>100</v>
      </c>
      <c r="M195" s="13">
        <v>80</v>
      </c>
      <c r="N195" s="13">
        <v>40</v>
      </c>
      <c r="O195" s="13">
        <v>30</v>
      </c>
      <c r="P195" s="13">
        <v>4</v>
      </c>
      <c r="Q195" s="13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16"/>
      <c r="AB195" s="13"/>
      <c r="AC195" s="13"/>
      <c r="AD195" t="s">
        <v>2053</v>
      </c>
    </row>
    <row r="196" spans="1:30">
      <c r="A196" s="16" t="s">
        <v>2060</v>
      </c>
      <c r="B196" t="s">
        <v>1960</v>
      </c>
      <c r="C196" t="s">
        <v>2061</v>
      </c>
      <c r="D196" t="s">
        <v>1618</v>
      </c>
      <c r="E196">
        <v>95</v>
      </c>
      <c r="F196">
        <v>799</v>
      </c>
      <c r="G196">
        <v>300</v>
      </c>
      <c r="H196">
        <v>0</v>
      </c>
      <c r="I196">
        <v>0</v>
      </c>
      <c r="J196" s="13">
        <v>0</v>
      </c>
      <c r="K196">
        <v>0</v>
      </c>
      <c r="L196" s="13">
        <v>100</v>
      </c>
      <c r="M196" s="13">
        <v>80</v>
      </c>
      <c r="N196" s="13">
        <v>40</v>
      </c>
      <c r="O196" s="13">
        <v>1</v>
      </c>
      <c r="P196" s="13">
        <v>4</v>
      </c>
      <c r="Q196" s="13">
        <v>0</v>
      </c>
      <c r="T196" t="s">
        <v>1740</v>
      </c>
      <c r="U196" t="s">
        <v>1740</v>
      </c>
      <c r="V196">
        <f t="shared" si="6"/>
        <v>80</v>
      </c>
      <c r="W196">
        <v>20</v>
      </c>
      <c r="X196">
        <v>20</v>
      </c>
      <c r="Y196">
        <v>20</v>
      </c>
      <c r="Z196">
        <v>20</v>
      </c>
      <c r="AA196" s="16"/>
      <c r="AB196" s="13"/>
      <c r="AC196" s="13"/>
      <c r="AD196" t="s">
        <v>2053</v>
      </c>
    </row>
    <row r="197" spans="1:30">
      <c r="A197" s="16" t="s">
        <v>2062</v>
      </c>
      <c r="B197" t="s">
        <v>84</v>
      </c>
      <c r="C197" t="s">
        <v>2063</v>
      </c>
      <c r="D197" t="s">
        <v>1618</v>
      </c>
      <c r="E197">
        <v>95</v>
      </c>
      <c r="F197">
        <v>227</v>
      </c>
      <c r="G197">
        <v>300</v>
      </c>
      <c r="H197">
        <v>0</v>
      </c>
      <c r="I197">
        <v>185</v>
      </c>
      <c r="J197" s="13">
        <v>0</v>
      </c>
      <c r="K197">
        <v>0</v>
      </c>
      <c r="L197" s="13">
        <v>100</v>
      </c>
      <c r="M197" s="13">
        <v>80</v>
      </c>
      <c r="N197" s="13">
        <v>40</v>
      </c>
      <c r="O197" s="13">
        <v>30</v>
      </c>
      <c r="P197" s="13">
        <v>4</v>
      </c>
      <c r="Q197" s="13">
        <v>0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16"/>
      <c r="AB197" s="13"/>
      <c r="AC197" s="13"/>
      <c r="AD197" t="s">
        <v>2053</v>
      </c>
    </row>
    <row r="198" spans="1:30">
      <c r="A198" s="16" t="s">
        <v>2064</v>
      </c>
      <c r="B198" t="s">
        <v>44</v>
      </c>
      <c r="C198" t="s">
        <v>1957</v>
      </c>
      <c r="D198" t="s">
        <v>1618</v>
      </c>
      <c r="E198">
        <v>90</v>
      </c>
      <c r="F198">
        <v>450</v>
      </c>
      <c r="G198">
        <v>312</v>
      </c>
      <c r="H198">
        <v>0</v>
      </c>
      <c r="I198">
        <v>250</v>
      </c>
      <c r="J198" s="13">
        <v>218</v>
      </c>
      <c r="K198">
        <v>0</v>
      </c>
      <c r="L198" s="13">
        <v>95</v>
      </c>
      <c r="M198" s="13">
        <v>85</v>
      </c>
      <c r="N198" s="13">
        <v>180</v>
      </c>
      <c r="O198" s="13">
        <v>35</v>
      </c>
      <c r="P198" s="13">
        <v>4</v>
      </c>
      <c r="Q198" s="13">
        <v>0</v>
      </c>
      <c r="R198" t="s">
        <v>2065</v>
      </c>
      <c r="S198" t="s">
        <v>2066</v>
      </c>
      <c r="T198" t="s">
        <v>2066</v>
      </c>
      <c r="U198" t="s">
        <v>2066</v>
      </c>
      <c r="V198">
        <f t="shared" si="6"/>
        <v>90</v>
      </c>
      <c r="W198">
        <v>30</v>
      </c>
      <c r="X198">
        <v>20</v>
      </c>
      <c r="Y198">
        <v>20</v>
      </c>
      <c r="Z198">
        <v>20</v>
      </c>
      <c r="AA198" s="16"/>
      <c r="AB198" s="13"/>
      <c r="AC198" s="13"/>
      <c r="AD198" t="s">
        <v>2067</v>
      </c>
    </row>
    <row r="199" spans="1:30">
      <c r="A199" s="16" t="s">
        <v>2068</v>
      </c>
      <c r="B199" t="s">
        <v>29</v>
      </c>
      <c r="C199" t="s">
        <v>2069</v>
      </c>
      <c r="D199" t="s">
        <v>1618</v>
      </c>
      <c r="E199">
        <v>90</v>
      </c>
      <c r="F199">
        <v>233</v>
      </c>
      <c r="G199">
        <v>60</v>
      </c>
      <c r="H199">
        <v>0</v>
      </c>
      <c r="I199">
        <v>151</v>
      </c>
      <c r="J199" s="13">
        <v>142</v>
      </c>
      <c r="K199">
        <v>0</v>
      </c>
      <c r="L199" s="13">
        <v>95</v>
      </c>
      <c r="M199" s="13">
        <v>85</v>
      </c>
      <c r="N199" s="13">
        <v>82</v>
      </c>
      <c r="O199" s="13">
        <v>35</v>
      </c>
      <c r="P199" s="13">
        <v>1</v>
      </c>
      <c r="Q199" s="13">
        <v>0</v>
      </c>
      <c r="R199" t="s">
        <v>2065</v>
      </c>
      <c r="S199" t="s">
        <v>2066</v>
      </c>
      <c r="T199" t="s">
        <v>2066</v>
      </c>
      <c r="U199" t="s">
        <v>2066</v>
      </c>
      <c r="V199">
        <f t="shared" si="6"/>
        <v>90</v>
      </c>
      <c r="W199">
        <v>30</v>
      </c>
      <c r="X199">
        <v>20</v>
      </c>
      <c r="Y199">
        <v>20</v>
      </c>
      <c r="Z199">
        <v>20</v>
      </c>
      <c r="AA199" s="16"/>
      <c r="AB199" s="13"/>
      <c r="AC199" s="13"/>
      <c r="AD199" t="s">
        <v>2067</v>
      </c>
    </row>
    <row r="200" spans="1:30">
      <c r="A200" s="16" t="s">
        <v>2070</v>
      </c>
      <c r="B200" t="s">
        <v>29</v>
      </c>
      <c r="C200" t="s">
        <v>2071</v>
      </c>
      <c r="D200" t="s">
        <v>1618</v>
      </c>
      <c r="E200">
        <v>90</v>
      </c>
      <c r="F200">
        <v>233</v>
      </c>
      <c r="G200">
        <v>85</v>
      </c>
      <c r="H200">
        <v>0</v>
      </c>
      <c r="I200">
        <v>151</v>
      </c>
      <c r="J200" s="13">
        <v>151</v>
      </c>
      <c r="K200">
        <v>0</v>
      </c>
      <c r="L200" s="13">
        <v>95</v>
      </c>
      <c r="M200" s="13">
        <v>85</v>
      </c>
      <c r="N200" s="13">
        <v>82</v>
      </c>
      <c r="O200" s="13">
        <v>30</v>
      </c>
      <c r="P200" s="13">
        <v>1</v>
      </c>
      <c r="Q200" s="13">
        <v>0</v>
      </c>
      <c r="R200" t="s">
        <v>2065</v>
      </c>
      <c r="S200" t="s">
        <v>2066</v>
      </c>
      <c r="T200" t="s">
        <v>2066</v>
      </c>
      <c r="U200" t="s">
        <v>2066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16"/>
      <c r="AB200" s="13"/>
      <c r="AC200" s="13"/>
      <c r="AD200" t="s">
        <v>2067</v>
      </c>
    </row>
    <row r="201" spans="1:30">
      <c r="A201" s="16" t="s">
        <v>2072</v>
      </c>
      <c r="B201" t="s">
        <v>44</v>
      </c>
      <c r="C201" t="s">
        <v>2073</v>
      </c>
      <c r="D201" t="s">
        <v>1618</v>
      </c>
      <c r="E201">
        <v>90</v>
      </c>
      <c r="F201">
        <v>167</v>
      </c>
      <c r="G201">
        <v>120</v>
      </c>
      <c r="H201">
        <v>0</v>
      </c>
      <c r="I201">
        <v>110</v>
      </c>
      <c r="J201" s="13">
        <v>100</v>
      </c>
      <c r="K201">
        <v>0</v>
      </c>
      <c r="L201" s="13">
        <v>95</v>
      </c>
      <c r="M201" s="13">
        <v>85</v>
      </c>
      <c r="N201" s="13">
        <v>60</v>
      </c>
      <c r="O201" s="13">
        <v>30</v>
      </c>
      <c r="P201" s="13">
        <v>4</v>
      </c>
      <c r="Q201" s="13">
        <v>0</v>
      </c>
      <c r="R201" t="s">
        <v>2066</v>
      </c>
      <c r="S201" t="s">
        <v>2066</v>
      </c>
      <c r="T201" t="s">
        <v>2066</v>
      </c>
      <c r="U201" t="s">
        <v>2066</v>
      </c>
      <c r="V201">
        <f t="shared" si="6"/>
        <v>80</v>
      </c>
      <c r="W201">
        <v>20</v>
      </c>
      <c r="X201">
        <v>20</v>
      </c>
      <c r="Y201">
        <v>20</v>
      </c>
      <c r="Z201">
        <v>20</v>
      </c>
      <c r="AA201" s="16"/>
      <c r="AB201" s="13"/>
      <c r="AC201" s="13"/>
      <c r="AD201" t="s">
        <v>2067</v>
      </c>
    </row>
    <row r="202" spans="1:30">
      <c r="A202" s="16" t="s">
        <v>2074</v>
      </c>
      <c r="B202" t="s">
        <v>51</v>
      </c>
      <c r="C202" t="s">
        <v>2075</v>
      </c>
      <c r="D202" t="s">
        <v>1618</v>
      </c>
      <c r="E202">
        <v>90</v>
      </c>
      <c r="F202">
        <v>150</v>
      </c>
      <c r="G202">
        <v>170</v>
      </c>
      <c r="H202">
        <v>0</v>
      </c>
      <c r="I202">
        <v>150</v>
      </c>
      <c r="J202" s="13">
        <v>100</v>
      </c>
      <c r="K202">
        <v>0</v>
      </c>
      <c r="L202">
        <v>95</v>
      </c>
      <c r="M202" s="13">
        <v>85</v>
      </c>
      <c r="N202" s="13">
        <v>22</v>
      </c>
      <c r="O202" s="13">
        <v>35</v>
      </c>
      <c r="P202" s="13">
        <v>3</v>
      </c>
      <c r="Q202" s="13">
        <v>0</v>
      </c>
      <c r="V202">
        <f t="shared" ref="V202:V215" si="7">SUM($W202:$Z202)</f>
        <v>0</v>
      </c>
      <c r="W202">
        <v>0</v>
      </c>
      <c r="X202">
        <v>0</v>
      </c>
      <c r="Y202">
        <v>0</v>
      </c>
      <c r="Z202">
        <v>0</v>
      </c>
      <c r="AA202" s="16"/>
      <c r="AB202" s="13"/>
      <c r="AC202" s="13"/>
      <c r="AD202" t="s">
        <v>2067</v>
      </c>
    </row>
    <row r="203" spans="1:30">
      <c r="A203" s="16" t="s">
        <v>2076</v>
      </c>
      <c r="B203" t="s">
        <v>131</v>
      </c>
      <c r="C203" s="1">
        <v>815</v>
      </c>
      <c r="D203" t="s">
        <v>1618</v>
      </c>
      <c r="E203">
        <v>90</v>
      </c>
      <c r="F203">
        <v>110</v>
      </c>
      <c r="G203">
        <v>0</v>
      </c>
      <c r="H203">
        <v>175</v>
      </c>
      <c r="I203">
        <v>80</v>
      </c>
      <c r="J203" s="13">
        <v>37</v>
      </c>
      <c r="K203">
        <v>0</v>
      </c>
      <c r="L203" s="13">
        <v>95</v>
      </c>
      <c r="M203" s="13">
        <v>85</v>
      </c>
      <c r="N203" s="13">
        <v>22</v>
      </c>
      <c r="O203" s="13">
        <v>35</v>
      </c>
      <c r="P203" s="13">
        <v>2</v>
      </c>
      <c r="Q203" s="13">
        <v>0</v>
      </c>
      <c r="R203" t="s">
        <v>2077</v>
      </c>
      <c r="S203" t="s">
        <v>2078</v>
      </c>
      <c r="T203" t="s">
        <v>2078</v>
      </c>
      <c r="U203" t="s">
        <v>2078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16"/>
      <c r="AB203" s="13"/>
      <c r="AC203" s="13"/>
      <c r="AD203" t="s">
        <v>2067</v>
      </c>
    </row>
    <row r="204" spans="1:30">
      <c r="A204" s="16" t="s">
        <v>2079</v>
      </c>
      <c r="B204" t="s">
        <v>37</v>
      </c>
      <c r="C204" s="1" t="s">
        <v>2080</v>
      </c>
      <c r="D204" t="s">
        <v>1618</v>
      </c>
      <c r="E204">
        <v>110</v>
      </c>
      <c r="F204">
        <v>520</v>
      </c>
      <c r="G204">
        <v>480</v>
      </c>
      <c r="H204">
        <v>0</v>
      </c>
      <c r="I204">
        <v>250</v>
      </c>
      <c r="J204" s="13">
        <v>151</v>
      </c>
      <c r="K204">
        <v>0</v>
      </c>
      <c r="L204" s="13">
        <v>105</v>
      </c>
      <c r="M204" s="13">
        <v>95</v>
      </c>
      <c r="N204" s="13">
        <v>120</v>
      </c>
      <c r="O204" s="13">
        <v>36</v>
      </c>
      <c r="P204" s="13">
        <v>4</v>
      </c>
      <c r="Q204" s="13">
        <v>0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  <c r="AA204" s="16"/>
      <c r="AB204" s="13"/>
      <c r="AC204" s="13"/>
      <c r="AD204" t="s">
        <v>2081</v>
      </c>
    </row>
    <row r="205" spans="1:30">
      <c r="A205" s="16" t="s">
        <v>2082</v>
      </c>
      <c r="B205" t="s">
        <v>44</v>
      </c>
      <c r="C205" s="1" t="s">
        <v>2083</v>
      </c>
      <c r="D205" t="s">
        <v>1618</v>
      </c>
      <c r="E205">
        <v>110</v>
      </c>
      <c r="F205">
        <v>566</v>
      </c>
      <c r="G205">
        <v>720</v>
      </c>
      <c r="H205">
        <v>0</v>
      </c>
      <c r="I205">
        <v>233</v>
      </c>
      <c r="J205" s="13">
        <v>120</v>
      </c>
      <c r="K205">
        <v>0</v>
      </c>
      <c r="L205" s="13">
        <v>105</v>
      </c>
      <c r="M205" s="13">
        <v>95</v>
      </c>
      <c r="N205" s="13">
        <v>60</v>
      </c>
      <c r="O205" s="13">
        <v>32</v>
      </c>
      <c r="P205" s="13">
        <v>4</v>
      </c>
      <c r="Q205" s="13">
        <v>0</v>
      </c>
      <c r="R205" t="s">
        <v>2065</v>
      </c>
      <c r="S205" t="s">
        <v>2066</v>
      </c>
      <c r="T205" t="s">
        <v>2066</v>
      </c>
      <c r="U205" t="s">
        <v>2066</v>
      </c>
      <c r="V205">
        <f t="shared" si="7"/>
        <v>120</v>
      </c>
      <c r="W205">
        <v>30</v>
      </c>
      <c r="X205">
        <v>30</v>
      </c>
      <c r="Y205">
        <v>30</v>
      </c>
      <c r="Z205">
        <v>30</v>
      </c>
      <c r="AA205" s="16"/>
      <c r="AB205" s="13"/>
      <c r="AC205" s="13"/>
      <c r="AD205" t="s">
        <v>2081</v>
      </c>
    </row>
    <row r="206" spans="1:30">
      <c r="A206" s="16" t="s">
        <v>2084</v>
      </c>
      <c r="B206" t="s">
        <v>44</v>
      </c>
      <c r="C206" s="1" t="s">
        <v>2073</v>
      </c>
      <c r="D206" t="s">
        <v>1618</v>
      </c>
      <c r="E206">
        <v>110</v>
      </c>
      <c r="F206">
        <v>380</v>
      </c>
      <c r="G206">
        <v>420</v>
      </c>
      <c r="H206">
        <v>0</v>
      </c>
      <c r="I206">
        <v>210</v>
      </c>
      <c r="J206" s="13">
        <v>68</v>
      </c>
      <c r="K206">
        <v>0</v>
      </c>
      <c r="L206" s="13">
        <v>105</v>
      </c>
      <c r="M206" s="13">
        <v>95</v>
      </c>
      <c r="N206" s="13">
        <v>19</v>
      </c>
      <c r="O206" s="13">
        <v>30</v>
      </c>
      <c r="P206" s="13">
        <v>4</v>
      </c>
      <c r="Q206" s="13">
        <v>0</v>
      </c>
      <c r="R206" t="s">
        <v>2065</v>
      </c>
      <c r="S206" t="s">
        <v>2066</v>
      </c>
      <c r="T206" t="s">
        <v>2066</v>
      </c>
      <c r="U206" t="s">
        <v>2066</v>
      </c>
      <c r="V206">
        <f t="shared" si="7"/>
        <v>80</v>
      </c>
      <c r="W206">
        <v>20</v>
      </c>
      <c r="X206">
        <v>20</v>
      </c>
      <c r="Y206">
        <v>20</v>
      </c>
      <c r="Z206">
        <v>20</v>
      </c>
      <c r="AA206" s="16"/>
      <c r="AB206" s="13"/>
      <c r="AC206" s="13"/>
      <c r="AD206" t="s">
        <v>2081</v>
      </c>
    </row>
    <row r="207" spans="1:30">
      <c r="A207" s="16" t="s">
        <v>2085</v>
      </c>
      <c r="B207" t="s">
        <v>37</v>
      </c>
      <c r="C207" s="1" t="s">
        <v>1963</v>
      </c>
      <c r="D207" t="s">
        <v>1618</v>
      </c>
      <c r="E207">
        <v>110</v>
      </c>
      <c r="F207">
        <v>306</v>
      </c>
      <c r="G207">
        <v>360</v>
      </c>
      <c r="H207">
        <v>0</v>
      </c>
      <c r="I207">
        <v>185</v>
      </c>
      <c r="J207" s="13">
        <v>360</v>
      </c>
      <c r="K207">
        <v>0</v>
      </c>
      <c r="L207" s="13">
        <v>105</v>
      </c>
      <c r="M207" s="13">
        <v>95</v>
      </c>
      <c r="N207" s="13">
        <v>19</v>
      </c>
      <c r="O207" s="13">
        <v>24</v>
      </c>
      <c r="P207" s="13">
        <v>4</v>
      </c>
      <c r="Q207" s="13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16"/>
      <c r="AB207" s="13"/>
      <c r="AC207" s="13"/>
      <c r="AD207" t="s">
        <v>2081</v>
      </c>
    </row>
    <row r="208" spans="1:30">
      <c r="A208" s="16" t="s">
        <v>2086</v>
      </c>
      <c r="B208" t="s">
        <v>259</v>
      </c>
      <c r="C208" s="1" t="s">
        <v>2087</v>
      </c>
      <c r="D208" t="s">
        <v>1618</v>
      </c>
      <c r="E208">
        <v>110</v>
      </c>
      <c r="F208">
        <v>88</v>
      </c>
      <c r="G208">
        <v>81</v>
      </c>
      <c r="H208">
        <v>138</v>
      </c>
      <c r="I208">
        <v>41</v>
      </c>
      <c r="J208" s="13">
        <v>81</v>
      </c>
      <c r="K208">
        <v>63</v>
      </c>
      <c r="L208" s="13">
        <v>105</v>
      </c>
      <c r="M208" s="13">
        <v>95</v>
      </c>
      <c r="N208" s="13">
        <v>19</v>
      </c>
      <c r="O208" s="13">
        <v>40</v>
      </c>
      <c r="P208" s="13">
        <v>3</v>
      </c>
      <c r="Q208" s="13">
        <v>0</v>
      </c>
      <c r="R208" t="s">
        <v>2077</v>
      </c>
      <c r="S208" t="s">
        <v>2078</v>
      </c>
      <c r="T208" t="s">
        <v>2078</v>
      </c>
      <c r="U208" t="s">
        <v>2078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16"/>
      <c r="AB208" s="13"/>
      <c r="AC208" s="13"/>
      <c r="AD208" t="s">
        <v>2081</v>
      </c>
    </row>
    <row r="209" spans="1:30">
      <c r="A209" s="16" t="s">
        <v>2088</v>
      </c>
      <c r="B209" t="s">
        <v>51</v>
      </c>
      <c r="C209" s="1" t="s">
        <v>2075</v>
      </c>
      <c r="D209" t="s">
        <v>1618</v>
      </c>
      <c r="E209">
        <v>110</v>
      </c>
      <c r="F209">
        <v>187</v>
      </c>
      <c r="G209">
        <v>430</v>
      </c>
      <c r="H209">
        <v>0</v>
      </c>
      <c r="I209">
        <v>120</v>
      </c>
      <c r="J209" s="13">
        <v>60</v>
      </c>
      <c r="K209">
        <v>0</v>
      </c>
      <c r="L209" s="13">
        <v>105</v>
      </c>
      <c r="M209" s="13">
        <v>95</v>
      </c>
      <c r="N209" s="13">
        <v>19</v>
      </c>
      <c r="O209" s="13">
        <v>35</v>
      </c>
      <c r="P209" s="13">
        <v>3</v>
      </c>
      <c r="Q209" s="13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16"/>
      <c r="AB209" s="13"/>
      <c r="AC209" s="13"/>
      <c r="AD209" t="s">
        <v>2081</v>
      </c>
    </row>
    <row r="210" spans="1:30">
      <c r="A210" s="16" t="s">
        <v>2089</v>
      </c>
      <c r="B210" t="s">
        <v>1912</v>
      </c>
      <c r="C210" s="1" t="s">
        <v>2090</v>
      </c>
      <c r="D210" t="s">
        <v>1618</v>
      </c>
      <c r="E210">
        <v>120</v>
      </c>
      <c r="F210">
        <v>800</v>
      </c>
      <c r="G210">
        <v>535</v>
      </c>
      <c r="H210">
        <v>0</v>
      </c>
      <c r="I210">
        <v>233</v>
      </c>
      <c r="J210" s="13">
        <v>129</v>
      </c>
      <c r="K210">
        <v>0</v>
      </c>
      <c r="L210" s="13">
        <v>110</v>
      </c>
      <c r="M210" s="13">
        <v>1</v>
      </c>
      <c r="N210" s="13">
        <v>140</v>
      </c>
      <c r="O210" s="13">
        <v>1</v>
      </c>
      <c r="P210" s="13">
        <v>4</v>
      </c>
      <c r="Q210" s="13">
        <v>0</v>
      </c>
      <c r="R210" t="s">
        <v>2065</v>
      </c>
      <c r="S210" t="s">
        <v>2066</v>
      </c>
      <c r="T210" t="s">
        <v>2066</v>
      </c>
      <c r="U210" t="s">
        <v>2066</v>
      </c>
      <c r="V210">
        <f t="shared" si="7"/>
        <v>400</v>
      </c>
      <c r="W210">
        <v>100</v>
      </c>
      <c r="X210">
        <v>100</v>
      </c>
      <c r="Y210">
        <v>100</v>
      </c>
      <c r="Z210">
        <v>100</v>
      </c>
      <c r="AA210" s="16"/>
      <c r="AB210" s="13"/>
      <c r="AC210" s="13"/>
      <c r="AD210" t="s">
        <v>2091</v>
      </c>
    </row>
    <row r="211" spans="1:30">
      <c r="A211" s="16" t="s">
        <v>2092</v>
      </c>
      <c r="B211" t="s">
        <v>1845</v>
      </c>
      <c r="C211" s="1" t="s">
        <v>2025</v>
      </c>
      <c r="D211" t="s">
        <v>1618</v>
      </c>
      <c r="E211">
        <v>120</v>
      </c>
      <c r="F211">
        <v>432</v>
      </c>
      <c r="G211">
        <v>458</v>
      </c>
      <c r="H211">
        <v>288</v>
      </c>
      <c r="I211">
        <v>250</v>
      </c>
      <c r="J211" s="13">
        <v>119</v>
      </c>
      <c r="K211">
        <v>160</v>
      </c>
      <c r="L211" s="13">
        <v>110</v>
      </c>
      <c r="M211" s="13">
        <v>100</v>
      </c>
      <c r="N211" s="13">
        <v>40</v>
      </c>
      <c r="O211" s="13">
        <v>33</v>
      </c>
      <c r="P211" s="13">
        <v>3</v>
      </c>
      <c r="Q211" s="13">
        <v>0</v>
      </c>
      <c r="R211" t="s">
        <v>2065</v>
      </c>
      <c r="S211" t="s">
        <v>2065</v>
      </c>
      <c r="T211" t="s">
        <v>2066</v>
      </c>
      <c r="U211" t="s">
        <v>2066</v>
      </c>
      <c r="V211">
        <f t="shared" si="7"/>
        <v>80</v>
      </c>
      <c r="W211">
        <v>20</v>
      </c>
      <c r="X211">
        <v>20</v>
      </c>
      <c r="Y211">
        <v>20</v>
      </c>
      <c r="Z211">
        <v>20</v>
      </c>
      <c r="AA211" s="16"/>
      <c r="AB211" s="13"/>
      <c r="AC211" s="13"/>
      <c r="AD211" t="s">
        <v>2091</v>
      </c>
    </row>
    <row r="212" spans="1:30">
      <c r="A212" s="16" t="s">
        <v>2093</v>
      </c>
      <c r="B212" t="s">
        <v>37</v>
      </c>
      <c r="C212" s="1" t="s">
        <v>1993</v>
      </c>
      <c r="D212" t="s">
        <v>1618</v>
      </c>
      <c r="E212">
        <v>120</v>
      </c>
      <c r="F212">
        <v>450</v>
      </c>
      <c r="G212">
        <v>410</v>
      </c>
      <c r="H212">
        <v>0</v>
      </c>
      <c r="I212">
        <v>250</v>
      </c>
      <c r="J212" s="13">
        <v>172</v>
      </c>
      <c r="K212">
        <v>0</v>
      </c>
      <c r="L212" s="13">
        <v>110</v>
      </c>
      <c r="M212" s="13">
        <v>100</v>
      </c>
      <c r="N212" s="13">
        <v>40</v>
      </c>
      <c r="O212" s="13">
        <v>36</v>
      </c>
      <c r="P212" s="13">
        <v>3</v>
      </c>
      <c r="Q212" s="13">
        <v>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  <c r="AA212" s="16"/>
      <c r="AB212" s="13"/>
      <c r="AC212" s="13"/>
      <c r="AD212" t="s">
        <v>2091</v>
      </c>
    </row>
    <row r="213" spans="1:30">
      <c r="A213" s="16" t="s">
        <v>2094</v>
      </c>
      <c r="B213" t="s">
        <v>37</v>
      </c>
      <c r="C213" s="1" t="s">
        <v>1967</v>
      </c>
      <c r="D213" t="s">
        <v>1618</v>
      </c>
      <c r="E213">
        <v>120</v>
      </c>
      <c r="F213">
        <v>360</v>
      </c>
      <c r="G213">
        <v>427</v>
      </c>
      <c r="H213">
        <v>0</v>
      </c>
      <c r="I213">
        <v>185</v>
      </c>
      <c r="J213" s="13">
        <v>120</v>
      </c>
      <c r="K213">
        <v>0</v>
      </c>
      <c r="L213" s="13">
        <v>110</v>
      </c>
      <c r="M213" s="13">
        <v>100</v>
      </c>
      <c r="N213" s="13">
        <v>40</v>
      </c>
      <c r="O213" s="13">
        <v>21</v>
      </c>
      <c r="P213" s="13">
        <v>3</v>
      </c>
      <c r="Q213" s="13">
        <v>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  <c r="AA213" s="16"/>
      <c r="AB213" s="13"/>
      <c r="AC213" s="13"/>
      <c r="AD213" t="s">
        <v>2091</v>
      </c>
    </row>
    <row r="214" spans="1:30">
      <c r="A214" s="16" t="s">
        <v>2095</v>
      </c>
      <c r="B214" t="s">
        <v>37</v>
      </c>
      <c r="C214" s="1" t="s">
        <v>1963</v>
      </c>
      <c r="D214" t="s">
        <v>1618</v>
      </c>
      <c r="E214">
        <v>120</v>
      </c>
      <c r="F214">
        <v>432</v>
      </c>
      <c r="G214">
        <v>330</v>
      </c>
      <c r="H214">
        <v>0</v>
      </c>
      <c r="I214">
        <v>233</v>
      </c>
      <c r="J214" s="13">
        <v>285</v>
      </c>
      <c r="K214">
        <v>0</v>
      </c>
      <c r="L214" s="13">
        <v>110</v>
      </c>
      <c r="M214" s="13">
        <v>100</v>
      </c>
      <c r="N214" s="13">
        <v>32</v>
      </c>
      <c r="O214" s="13">
        <v>24</v>
      </c>
      <c r="P214" s="13">
        <v>3</v>
      </c>
      <c r="Q214" s="13">
        <v>0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  <c r="AA214" s="16"/>
      <c r="AB214" s="13"/>
      <c r="AC214" s="13"/>
      <c r="AD214" t="s">
        <v>2091</v>
      </c>
    </row>
    <row r="215" spans="1:30">
      <c r="A215" s="16" t="s">
        <v>2096</v>
      </c>
      <c r="B215" t="s">
        <v>37</v>
      </c>
      <c r="C215" s="1" t="s">
        <v>2043</v>
      </c>
      <c r="D215" t="s">
        <v>1618</v>
      </c>
      <c r="E215">
        <v>120</v>
      </c>
      <c r="F215">
        <v>306</v>
      </c>
      <c r="G215">
        <v>300</v>
      </c>
      <c r="H215">
        <v>0</v>
      </c>
      <c r="I215">
        <v>233</v>
      </c>
      <c r="J215" s="13">
        <v>330</v>
      </c>
      <c r="K215">
        <v>0</v>
      </c>
      <c r="L215" s="13">
        <v>110</v>
      </c>
      <c r="M215" s="13">
        <v>100</v>
      </c>
      <c r="N215" s="13">
        <v>30</v>
      </c>
      <c r="O215" s="13">
        <v>24</v>
      </c>
      <c r="P215" s="13">
        <v>3</v>
      </c>
      <c r="Q215" s="13">
        <v>0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  <c r="AA215" s="16"/>
      <c r="AB215" s="13"/>
      <c r="AC215" s="13"/>
      <c r="AD215" t="s">
        <v>2091</v>
      </c>
    </row>
    <row r="216" spans="1:26">
      <c r="A216" s="1" t="s">
        <v>2097</v>
      </c>
      <c r="B216" t="s">
        <v>259</v>
      </c>
      <c r="C216" t="s">
        <v>2098</v>
      </c>
      <c r="D216" t="s">
        <v>1618</v>
      </c>
      <c r="E216" s="13">
        <v>5</v>
      </c>
      <c r="F216">
        <v>20</v>
      </c>
      <c r="G216">
        <v>14</v>
      </c>
      <c r="H216">
        <v>24</v>
      </c>
      <c r="I216">
        <v>10</v>
      </c>
      <c r="J216">
        <v>11</v>
      </c>
      <c r="K216">
        <v>22</v>
      </c>
      <c r="L216" s="13">
        <v>20</v>
      </c>
      <c r="M216">
        <v>17</v>
      </c>
      <c r="N216">
        <v>3</v>
      </c>
      <c r="O216">
        <v>35</v>
      </c>
      <c r="P216">
        <v>1</v>
      </c>
      <c r="Q216">
        <v>10</v>
      </c>
      <c r="R216" t="s">
        <v>1622</v>
      </c>
      <c r="V216">
        <f t="shared" ref="V216:V247" si="8">SUM(W216:Z216)</f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1" t="s">
        <v>2099</v>
      </c>
      <c r="B217" t="s">
        <v>259</v>
      </c>
      <c r="C217" t="s">
        <v>2100</v>
      </c>
      <c r="D217" t="s">
        <v>1618</v>
      </c>
      <c r="E217" s="13">
        <v>5</v>
      </c>
      <c r="F217">
        <v>20</v>
      </c>
      <c r="G217">
        <v>14</v>
      </c>
      <c r="H217">
        <v>24</v>
      </c>
      <c r="I217">
        <v>10</v>
      </c>
      <c r="J217">
        <v>11</v>
      </c>
      <c r="K217">
        <v>22</v>
      </c>
      <c r="L217" s="13">
        <v>20</v>
      </c>
      <c r="M217">
        <v>17</v>
      </c>
      <c r="N217">
        <v>3</v>
      </c>
      <c r="O217">
        <v>35</v>
      </c>
      <c r="P217">
        <v>1</v>
      </c>
      <c r="Q217">
        <v>10</v>
      </c>
      <c r="R217" t="s">
        <v>1622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1" t="s">
        <v>2101</v>
      </c>
      <c r="B218" t="s">
        <v>259</v>
      </c>
      <c r="C218" t="s">
        <v>2102</v>
      </c>
      <c r="D218" t="s">
        <v>1618</v>
      </c>
      <c r="E218" s="13">
        <v>5</v>
      </c>
      <c r="F218">
        <v>20</v>
      </c>
      <c r="G218">
        <v>14</v>
      </c>
      <c r="H218">
        <v>24</v>
      </c>
      <c r="I218">
        <v>10</v>
      </c>
      <c r="J218">
        <v>11</v>
      </c>
      <c r="K218">
        <v>22</v>
      </c>
      <c r="L218" s="13">
        <v>20</v>
      </c>
      <c r="M218">
        <v>17</v>
      </c>
      <c r="N218">
        <v>3</v>
      </c>
      <c r="O218">
        <v>35</v>
      </c>
      <c r="P218">
        <v>1</v>
      </c>
      <c r="Q218">
        <v>10</v>
      </c>
      <c r="R218" t="s">
        <v>1622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>
      <c r="A219" s="1" t="s">
        <v>2103</v>
      </c>
      <c r="B219" t="s">
        <v>259</v>
      </c>
      <c r="C219" t="s">
        <v>2104</v>
      </c>
      <c r="D219" t="s">
        <v>1618</v>
      </c>
      <c r="E219" s="13">
        <v>5</v>
      </c>
      <c r="F219">
        <v>20</v>
      </c>
      <c r="G219">
        <v>9</v>
      </c>
      <c r="H219">
        <v>24</v>
      </c>
      <c r="I219">
        <v>8</v>
      </c>
      <c r="J219">
        <v>11</v>
      </c>
      <c r="K219">
        <v>22</v>
      </c>
      <c r="L219" s="13">
        <v>20</v>
      </c>
      <c r="M219">
        <v>17</v>
      </c>
      <c r="N219">
        <v>3</v>
      </c>
      <c r="O219">
        <v>35</v>
      </c>
      <c r="P219">
        <v>1</v>
      </c>
      <c r="Q219">
        <v>10</v>
      </c>
      <c r="R219" t="s">
        <v>1622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26">
      <c r="A220" s="1" t="s">
        <v>2105</v>
      </c>
      <c r="B220" t="s">
        <v>259</v>
      </c>
      <c r="C220" t="s">
        <v>2106</v>
      </c>
      <c r="D220" t="s">
        <v>1618</v>
      </c>
      <c r="E220" s="13">
        <v>5</v>
      </c>
      <c r="F220">
        <v>20</v>
      </c>
      <c r="G220">
        <v>9</v>
      </c>
      <c r="H220">
        <v>24</v>
      </c>
      <c r="I220">
        <v>8</v>
      </c>
      <c r="J220">
        <v>11</v>
      </c>
      <c r="K220">
        <v>22</v>
      </c>
      <c r="L220" s="13">
        <v>20</v>
      </c>
      <c r="M220">
        <v>17</v>
      </c>
      <c r="N220">
        <v>3</v>
      </c>
      <c r="O220">
        <v>35</v>
      </c>
      <c r="P220">
        <v>1</v>
      </c>
      <c r="Q220">
        <v>10</v>
      </c>
      <c r="R220" t="s">
        <v>1622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26">
      <c r="A221" s="1" t="s">
        <v>2107</v>
      </c>
      <c r="B221" t="s">
        <v>87</v>
      </c>
      <c r="C221" t="s">
        <v>2108</v>
      </c>
      <c r="D221" t="s">
        <v>1618</v>
      </c>
      <c r="E221" s="13">
        <v>8</v>
      </c>
      <c r="F221">
        <v>18</v>
      </c>
      <c r="G221">
        <v>0</v>
      </c>
      <c r="H221">
        <v>42</v>
      </c>
      <c r="I221">
        <v>7</v>
      </c>
      <c r="J221">
        <v>0</v>
      </c>
      <c r="K221">
        <v>0</v>
      </c>
      <c r="L221" s="13">
        <v>22</v>
      </c>
      <c r="M221">
        <v>3</v>
      </c>
      <c r="N221">
        <v>3</v>
      </c>
      <c r="O221">
        <v>15</v>
      </c>
      <c r="P221">
        <v>1</v>
      </c>
      <c r="Q221">
        <v>10</v>
      </c>
      <c r="R221" t="s">
        <v>1638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>
      <c r="A222" s="1" t="s">
        <v>2109</v>
      </c>
      <c r="B222" t="s">
        <v>37</v>
      </c>
      <c r="C222" t="s">
        <v>2110</v>
      </c>
      <c r="D222" t="s">
        <v>1618</v>
      </c>
      <c r="E222" s="13">
        <v>50</v>
      </c>
      <c r="F222">
        <v>80</v>
      </c>
      <c r="G222">
        <v>130</v>
      </c>
      <c r="H222">
        <v>0</v>
      </c>
      <c r="I222">
        <v>85</v>
      </c>
      <c r="J222">
        <v>60</v>
      </c>
      <c r="K222">
        <v>0</v>
      </c>
      <c r="L222" s="13">
        <v>57</v>
      </c>
      <c r="M222">
        <v>32</v>
      </c>
      <c r="N222">
        <v>30</v>
      </c>
      <c r="O222">
        <v>21</v>
      </c>
      <c r="P222">
        <v>3</v>
      </c>
      <c r="Q222">
        <v>20</v>
      </c>
      <c r="R222" t="s">
        <v>1724</v>
      </c>
      <c r="S222" t="s">
        <v>1720</v>
      </c>
      <c r="T222" t="s">
        <v>1721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1" t="s">
        <v>2111</v>
      </c>
      <c r="B223" t="s">
        <v>259</v>
      </c>
      <c r="C223" t="s">
        <v>2112</v>
      </c>
      <c r="D223" t="s">
        <v>1618</v>
      </c>
      <c r="E223" s="13">
        <v>30</v>
      </c>
      <c r="F223">
        <v>25</v>
      </c>
      <c r="G223">
        <v>41</v>
      </c>
      <c r="H223">
        <v>48</v>
      </c>
      <c r="I223">
        <v>25</v>
      </c>
      <c r="J223">
        <v>25</v>
      </c>
      <c r="K223">
        <v>36</v>
      </c>
      <c r="L223" s="13">
        <v>41</v>
      </c>
      <c r="M223">
        <v>48</v>
      </c>
      <c r="N223">
        <v>9</v>
      </c>
      <c r="O223">
        <v>40</v>
      </c>
      <c r="P223">
        <v>1</v>
      </c>
      <c r="Q223">
        <v>20</v>
      </c>
      <c r="R223" t="s">
        <v>1622</v>
      </c>
      <c r="S223" t="s">
        <v>1625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1" t="s">
        <v>2113</v>
      </c>
      <c r="B224" t="s">
        <v>259</v>
      </c>
      <c r="C224" t="s">
        <v>2114</v>
      </c>
      <c r="D224" t="s">
        <v>1618</v>
      </c>
      <c r="E224" s="13">
        <v>30</v>
      </c>
      <c r="F224">
        <v>25</v>
      </c>
      <c r="G224">
        <v>41</v>
      </c>
      <c r="H224">
        <v>48</v>
      </c>
      <c r="I224">
        <v>25</v>
      </c>
      <c r="J224">
        <v>25</v>
      </c>
      <c r="K224">
        <v>36</v>
      </c>
      <c r="L224" s="13">
        <v>41</v>
      </c>
      <c r="M224">
        <v>48</v>
      </c>
      <c r="N224">
        <v>9</v>
      </c>
      <c r="O224">
        <v>40</v>
      </c>
      <c r="P224">
        <v>1</v>
      </c>
      <c r="Q224">
        <v>20</v>
      </c>
      <c r="R224" t="s">
        <v>1622</v>
      </c>
      <c r="S224" t="s">
        <v>1625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1" t="s">
        <v>2115</v>
      </c>
      <c r="B225" t="s">
        <v>259</v>
      </c>
      <c r="C225" t="s">
        <v>2116</v>
      </c>
      <c r="D225" t="s">
        <v>1618</v>
      </c>
      <c r="E225" s="13">
        <v>30</v>
      </c>
      <c r="F225">
        <v>25</v>
      </c>
      <c r="G225">
        <v>41</v>
      </c>
      <c r="H225">
        <v>48</v>
      </c>
      <c r="I225">
        <v>25</v>
      </c>
      <c r="J225">
        <v>23</v>
      </c>
      <c r="K225">
        <v>35</v>
      </c>
      <c r="L225" s="13">
        <v>41</v>
      </c>
      <c r="M225">
        <v>48</v>
      </c>
      <c r="N225">
        <v>8</v>
      </c>
      <c r="O225">
        <v>40</v>
      </c>
      <c r="P225">
        <v>1</v>
      </c>
      <c r="Q225">
        <v>20</v>
      </c>
      <c r="R225" t="s">
        <v>1622</v>
      </c>
      <c r="S225" t="s">
        <v>1625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1" t="s">
        <v>2117</v>
      </c>
      <c r="B226" t="s">
        <v>259</v>
      </c>
      <c r="C226" t="s">
        <v>2118</v>
      </c>
      <c r="D226" t="s">
        <v>1618</v>
      </c>
      <c r="E226" s="13">
        <v>30</v>
      </c>
      <c r="F226">
        <v>25</v>
      </c>
      <c r="G226">
        <v>41</v>
      </c>
      <c r="H226">
        <v>48</v>
      </c>
      <c r="I226">
        <v>25</v>
      </c>
      <c r="J226">
        <v>23</v>
      </c>
      <c r="K226">
        <v>35</v>
      </c>
      <c r="L226" s="13">
        <v>41</v>
      </c>
      <c r="M226">
        <v>48</v>
      </c>
      <c r="N226">
        <v>8</v>
      </c>
      <c r="O226">
        <v>40</v>
      </c>
      <c r="P226">
        <v>1</v>
      </c>
      <c r="Q226">
        <v>20</v>
      </c>
      <c r="R226" t="s">
        <v>1622</v>
      </c>
      <c r="S226" t="s">
        <v>1625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1" t="s">
        <v>2119</v>
      </c>
      <c r="B227" t="s">
        <v>259</v>
      </c>
      <c r="C227" t="s">
        <v>2120</v>
      </c>
      <c r="D227" t="s">
        <v>1618</v>
      </c>
      <c r="E227" s="13">
        <v>26</v>
      </c>
      <c r="F227">
        <v>23</v>
      </c>
      <c r="G227">
        <v>36</v>
      </c>
      <c r="H227">
        <v>44</v>
      </c>
      <c r="I227">
        <v>23</v>
      </c>
      <c r="J227">
        <v>21</v>
      </c>
      <c r="K227">
        <v>33</v>
      </c>
      <c r="L227" s="13">
        <v>37</v>
      </c>
      <c r="M227">
        <v>44</v>
      </c>
      <c r="N227">
        <v>8</v>
      </c>
      <c r="O227">
        <v>40</v>
      </c>
      <c r="P227">
        <v>1</v>
      </c>
      <c r="Q227">
        <v>20</v>
      </c>
      <c r="R227" t="s">
        <v>1622</v>
      </c>
      <c r="S227" t="s">
        <v>1625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1" t="s">
        <v>2121</v>
      </c>
      <c r="B228" t="s">
        <v>37</v>
      </c>
      <c r="C228" t="s">
        <v>2110</v>
      </c>
      <c r="D228" t="s">
        <v>1618</v>
      </c>
      <c r="E228" s="13">
        <v>17</v>
      </c>
      <c r="F228">
        <v>74</v>
      </c>
      <c r="G228">
        <v>126</v>
      </c>
      <c r="H228">
        <v>0</v>
      </c>
      <c r="I228">
        <v>72</v>
      </c>
      <c r="J228">
        <v>72</v>
      </c>
      <c r="K228">
        <v>0</v>
      </c>
      <c r="L228" s="13">
        <v>30</v>
      </c>
      <c r="M228">
        <v>19</v>
      </c>
      <c r="N228">
        <v>15</v>
      </c>
      <c r="O228">
        <v>18</v>
      </c>
      <c r="P228">
        <v>3</v>
      </c>
      <c r="Q228">
        <v>10</v>
      </c>
      <c r="R228" t="s">
        <v>1724</v>
      </c>
      <c r="S228" t="s">
        <v>1720</v>
      </c>
      <c r="T228" t="s">
        <v>1721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1" t="s">
        <v>2122</v>
      </c>
      <c r="B229" t="s">
        <v>37</v>
      </c>
      <c r="C229" t="s">
        <v>2123</v>
      </c>
      <c r="D229" t="s">
        <v>1618</v>
      </c>
      <c r="E229" s="13">
        <v>15</v>
      </c>
      <c r="F229">
        <v>72</v>
      </c>
      <c r="G229">
        <v>124</v>
      </c>
      <c r="H229">
        <v>0</v>
      </c>
      <c r="I229">
        <v>70</v>
      </c>
      <c r="J229">
        <v>66</v>
      </c>
      <c r="K229">
        <v>0</v>
      </c>
      <c r="L229" s="13">
        <v>28</v>
      </c>
      <c r="M229">
        <v>19</v>
      </c>
      <c r="N229">
        <v>12</v>
      </c>
      <c r="O229">
        <v>18</v>
      </c>
      <c r="P229">
        <v>3</v>
      </c>
      <c r="Q229">
        <v>10</v>
      </c>
      <c r="R229" t="s">
        <v>1724</v>
      </c>
      <c r="S229" t="s">
        <v>1720</v>
      </c>
      <c r="T229" t="s">
        <v>1721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1" t="s">
        <v>2124</v>
      </c>
      <c r="B230" t="s">
        <v>37</v>
      </c>
      <c r="C230" t="s">
        <v>2125</v>
      </c>
      <c r="D230" t="s">
        <v>1618</v>
      </c>
      <c r="E230" s="13">
        <v>15</v>
      </c>
      <c r="F230">
        <v>72</v>
      </c>
      <c r="G230">
        <v>124</v>
      </c>
      <c r="H230">
        <v>0</v>
      </c>
      <c r="I230">
        <v>70</v>
      </c>
      <c r="J230">
        <v>66</v>
      </c>
      <c r="K230">
        <v>0</v>
      </c>
      <c r="L230" s="13">
        <v>28</v>
      </c>
      <c r="M230">
        <v>19</v>
      </c>
      <c r="N230">
        <v>12</v>
      </c>
      <c r="O230">
        <v>18</v>
      </c>
      <c r="P230">
        <v>3</v>
      </c>
      <c r="Q230">
        <v>10</v>
      </c>
      <c r="R230" t="s">
        <v>1724</v>
      </c>
      <c r="S230" t="s">
        <v>1720</v>
      </c>
      <c r="T230" t="s">
        <v>1721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1" t="s">
        <v>2126</v>
      </c>
      <c r="B231" t="s">
        <v>131</v>
      </c>
      <c r="C231" t="s">
        <v>2127</v>
      </c>
      <c r="D231" t="s">
        <v>1618</v>
      </c>
      <c r="E231" s="13">
        <v>3</v>
      </c>
      <c r="F231">
        <v>24</v>
      </c>
      <c r="G231">
        <v>20</v>
      </c>
      <c r="H231">
        <v>40</v>
      </c>
      <c r="I231">
        <v>14</v>
      </c>
      <c r="J231">
        <v>28</v>
      </c>
      <c r="K231">
        <v>28</v>
      </c>
      <c r="L231" s="13">
        <v>18</v>
      </c>
      <c r="M231">
        <v>30</v>
      </c>
      <c r="N231">
        <v>9</v>
      </c>
      <c r="O231">
        <v>30</v>
      </c>
      <c r="P231">
        <v>2</v>
      </c>
      <c r="Q231">
        <v>10</v>
      </c>
      <c r="R231" t="s">
        <v>1677</v>
      </c>
      <c r="S231" t="s">
        <v>1638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1" t="s">
        <v>2128</v>
      </c>
      <c r="B232" t="s">
        <v>131</v>
      </c>
      <c r="C232" t="s">
        <v>2129</v>
      </c>
      <c r="D232" t="s">
        <v>1618</v>
      </c>
      <c r="E232" s="13">
        <v>3</v>
      </c>
      <c r="F232">
        <v>24</v>
      </c>
      <c r="G232">
        <v>20</v>
      </c>
      <c r="H232">
        <v>40</v>
      </c>
      <c r="I232">
        <v>14</v>
      </c>
      <c r="J232">
        <v>28</v>
      </c>
      <c r="K232">
        <v>28</v>
      </c>
      <c r="L232" s="13">
        <v>18</v>
      </c>
      <c r="M232">
        <v>30</v>
      </c>
      <c r="N232">
        <v>9</v>
      </c>
      <c r="O232">
        <v>30</v>
      </c>
      <c r="P232">
        <v>2</v>
      </c>
      <c r="Q232">
        <v>10</v>
      </c>
      <c r="R232" t="s">
        <v>1677</v>
      </c>
      <c r="S232" t="s">
        <v>1638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1" t="s">
        <v>2130</v>
      </c>
      <c r="B233" t="s">
        <v>131</v>
      </c>
      <c r="C233" t="s">
        <v>2131</v>
      </c>
      <c r="D233" t="s">
        <v>1618</v>
      </c>
      <c r="E233" s="13">
        <v>3</v>
      </c>
      <c r="F233">
        <v>24</v>
      </c>
      <c r="G233">
        <v>20</v>
      </c>
      <c r="H233">
        <v>40</v>
      </c>
      <c r="I233">
        <v>14</v>
      </c>
      <c r="J233">
        <v>28</v>
      </c>
      <c r="K233">
        <v>28</v>
      </c>
      <c r="L233" s="13">
        <v>18</v>
      </c>
      <c r="M233">
        <v>30</v>
      </c>
      <c r="N233">
        <v>9</v>
      </c>
      <c r="O233">
        <v>30</v>
      </c>
      <c r="P233">
        <v>2</v>
      </c>
      <c r="Q233">
        <v>10</v>
      </c>
      <c r="R233" t="s">
        <v>1677</v>
      </c>
      <c r="S233" t="s">
        <v>1638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1" t="s">
        <v>2132</v>
      </c>
      <c r="B234" t="s">
        <v>29</v>
      </c>
      <c r="C234" t="s">
        <v>2133</v>
      </c>
      <c r="D234" t="s">
        <v>1618</v>
      </c>
      <c r="E234" s="13">
        <v>53</v>
      </c>
      <c r="F234">
        <v>72</v>
      </c>
      <c r="G234">
        <v>40</v>
      </c>
      <c r="H234">
        <v>0</v>
      </c>
      <c r="I234">
        <v>60</v>
      </c>
      <c r="J234">
        <v>68</v>
      </c>
      <c r="K234">
        <v>0</v>
      </c>
      <c r="L234" s="13">
        <v>60</v>
      </c>
      <c r="M234">
        <v>39</v>
      </c>
      <c r="N234">
        <v>50</v>
      </c>
      <c r="O234">
        <v>30</v>
      </c>
      <c r="P234">
        <v>1</v>
      </c>
      <c r="Q234">
        <v>20</v>
      </c>
      <c r="R234" t="s">
        <v>1667</v>
      </c>
      <c r="S234" t="s">
        <v>1668</v>
      </c>
      <c r="T234" t="s">
        <v>1669</v>
      </c>
      <c r="V234">
        <f t="shared" si="8"/>
        <v>80</v>
      </c>
      <c r="W234">
        <v>20</v>
      </c>
      <c r="X234">
        <v>20</v>
      </c>
      <c r="Y234">
        <v>30</v>
      </c>
      <c r="Z234">
        <v>10</v>
      </c>
    </row>
    <row r="235" spans="1:26">
      <c r="A235" s="1" t="s">
        <v>2134</v>
      </c>
      <c r="B235" t="s">
        <v>37</v>
      </c>
      <c r="C235" t="s">
        <v>2110</v>
      </c>
      <c r="D235" t="s">
        <v>1618</v>
      </c>
      <c r="E235" s="13">
        <v>53</v>
      </c>
      <c r="F235">
        <v>78</v>
      </c>
      <c r="G235">
        <v>137</v>
      </c>
      <c r="H235">
        <v>0</v>
      </c>
      <c r="I235">
        <v>85</v>
      </c>
      <c r="J235">
        <v>76</v>
      </c>
      <c r="K235">
        <v>0</v>
      </c>
      <c r="L235" s="13">
        <v>60</v>
      </c>
      <c r="M235">
        <v>32</v>
      </c>
      <c r="N235">
        <v>24</v>
      </c>
      <c r="O235">
        <v>21</v>
      </c>
      <c r="P235">
        <v>3</v>
      </c>
      <c r="Q235">
        <v>20</v>
      </c>
      <c r="R235" t="s">
        <v>1724</v>
      </c>
      <c r="S235" t="s">
        <v>1720</v>
      </c>
      <c r="T235" t="s">
        <v>1721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1" t="s">
        <v>2135</v>
      </c>
      <c r="B236" t="s">
        <v>37</v>
      </c>
      <c r="C236" t="s">
        <v>2123</v>
      </c>
      <c r="D236" t="s">
        <v>1618</v>
      </c>
      <c r="E236" s="13">
        <v>47</v>
      </c>
      <c r="F236">
        <v>78</v>
      </c>
      <c r="G236">
        <v>134</v>
      </c>
      <c r="H236">
        <v>0</v>
      </c>
      <c r="I236">
        <v>80</v>
      </c>
      <c r="J236">
        <v>74</v>
      </c>
      <c r="K236">
        <v>0</v>
      </c>
      <c r="L236" s="13">
        <v>55</v>
      </c>
      <c r="M236">
        <v>29</v>
      </c>
      <c r="N236">
        <v>22</v>
      </c>
      <c r="O236">
        <v>21</v>
      </c>
      <c r="P236">
        <v>3</v>
      </c>
      <c r="Q236">
        <v>20</v>
      </c>
      <c r="R236" t="s">
        <v>1724</v>
      </c>
      <c r="S236" t="s">
        <v>1720</v>
      </c>
      <c r="T236" t="s">
        <v>1721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1" t="s">
        <v>2136</v>
      </c>
      <c r="B237" t="s">
        <v>37</v>
      </c>
      <c r="C237" t="s">
        <v>2125</v>
      </c>
      <c r="D237" t="s">
        <v>1618</v>
      </c>
      <c r="E237" s="13">
        <v>47</v>
      </c>
      <c r="F237">
        <v>78</v>
      </c>
      <c r="G237">
        <v>134</v>
      </c>
      <c r="H237">
        <v>0</v>
      </c>
      <c r="I237">
        <v>80</v>
      </c>
      <c r="J237">
        <v>74</v>
      </c>
      <c r="K237">
        <v>0</v>
      </c>
      <c r="L237" s="13">
        <v>55</v>
      </c>
      <c r="M237">
        <v>29</v>
      </c>
      <c r="N237">
        <v>22</v>
      </c>
      <c r="O237">
        <v>21</v>
      </c>
      <c r="P237">
        <v>3</v>
      </c>
      <c r="Q237">
        <v>20</v>
      </c>
      <c r="R237" t="s">
        <v>1724</v>
      </c>
      <c r="S237" t="s">
        <v>1720</v>
      </c>
      <c r="T237" t="s">
        <v>1721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1" t="s">
        <v>2137</v>
      </c>
      <c r="B238" t="s">
        <v>259</v>
      </c>
      <c r="C238" t="s">
        <v>2138</v>
      </c>
      <c r="D238" t="s">
        <v>1618</v>
      </c>
      <c r="E238" s="13">
        <v>35</v>
      </c>
      <c r="F238">
        <v>27</v>
      </c>
      <c r="G238">
        <v>42</v>
      </c>
      <c r="H238">
        <v>62</v>
      </c>
      <c r="I238">
        <v>18</v>
      </c>
      <c r="J238">
        <v>35</v>
      </c>
      <c r="K238">
        <v>35</v>
      </c>
      <c r="L238" s="13">
        <v>45</v>
      </c>
      <c r="M238">
        <v>49</v>
      </c>
      <c r="N238">
        <v>15</v>
      </c>
      <c r="O238">
        <v>40</v>
      </c>
      <c r="P238">
        <v>1</v>
      </c>
      <c r="Q238">
        <v>20</v>
      </c>
      <c r="R238" t="s">
        <v>1637</v>
      </c>
      <c r="S238" t="s">
        <v>1641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1" t="s">
        <v>2139</v>
      </c>
      <c r="B239" t="s">
        <v>259</v>
      </c>
      <c r="C239" t="s">
        <v>2140</v>
      </c>
      <c r="D239" t="s">
        <v>1618</v>
      </c>
      <c r="E239" s="13">
        <v>35</v>
      </c>
      <c r="F239">
        <v>27</v>
      </c>
      <c r="G239">
        <v>42</v>
      </c>
      <c r="H239">
        <v>62</v>
      </c>
      <c r="I239">
        <v>18</v>
      </c>
      <c r="J239">
        <v>35</v>
      </c>
      <c r="K239">
        <v>35</v>
      </c>
      <c r="L239" s="13">
        <v>45</v>
      </c>
      <c r="M239">
        <v>49</v>
      </c>
      <c r="N239">
        <v>15</v>
      </c>
      <c r="O239">
        <v>40</v>
      </c>
      <c r="P239">
        <v>1</v>
      </c>
      <c r="Q239">
        <v>20</v>
      </c>
      <c r="R239" t="s">
        <v>1637</v>
      </c>
      <c r="S239" t="s">
        <v>1641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1" t="s">
        <v>2141</v>
      </c>
      <c r="B240" t="s">
        <v>37</v>
      </c>
      <c r="C240" t="s">
        <v>1936</v>
      </c>
      <c r="D240" t="s">
        <v>1618</v>
      </c>
      <c r="E240" s="13">
        <v>17</v>
      </c>
      <c r="F240">
        <v>90</v>
      </c>
      <c r="G240">
        <v>109</v>
      </c>
      <c r="H240">
        <v>0</v>
      </c>
      <c r="I240">
        <v>80</v>
      </c>
      <c r="J240">
        <v>25</v>
      </c>
      <c r="K240">
        <v>0</v>
      </c>
      <c r="L240" s="13">
        <v>30</v>
      </c>
      <c r="M240">
        <v>26</v>
      </c>
      <c r="N240">
        <v>16</v>
      </c>
      <c r="O240">
        <v>30</v>
      </c>
      <c r="P240">
        <v>3</v>
      </c>
      <c r="Q240">
        <v>10</v>
      </c>
      <c r="R240" t="s">
        <v>1720</v>
      </c>
      <c r="S240" t="s">
        <v>1720</v>
      </c>
      <c r="T240" t="s">
        <v>1721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1" t="s">
        <v>2142</v>
      </c>
      <c r="B241" t="s">
        <v>84</v>
      </c>
      <c r="C241" t="s">
        <v>1986</v>
      </c>
      <c r="D241" t="s">
        <v>1618</v>
      </c>
      <c r="E241" s="13">
        <v>15</v>
      </c>
      <c r="F241">
        <v>54</v>
      </c>
      <c r="G241">
        <v>38</v>
      </c>
      <c r="H241">
        <v>20</v>
      </c>
      <c r="I241">
        <v>36</v>
      </c>
      <c r="J241">
        <v>22</v>
      </c>
      <c r="K241">
        <v>0</v>
      </c>
      <c r="L241" s="13">
        <v>28</v>
      </c>
      <c r="M241">
        <v>30</v>
      </c>
      <c r="N241">
        <v>14</v>
      </c>
      <c r="O241">
        <v>32</v>
      </c>
      <c r="P241">
        <v>2</v>
      </c>
      <c r="Q241">
        <v>10</v>
      </c>
      <c r="R241" t="s">
        <v>1693</v>
      </c>
      <c r="S241" t="s">
        <v>1638</v>
      </c>
      <c r="T241" t="s">
        <v>1638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1" t="s">
        <v>2143</v>
      </c>
      <c r="B242" t="s">
        <v>259</v>
      </c>
      <c r="C242" t="s">
        <v>2144</v>
      </c>
      <c r="D242" t="s">
        <v>1618</v>
      </c>
      <c r="E242" s="13">
        <v>5</v>
      </c>
      <c r="F242">
        <v>28</v>
      </c>
      <c r="G242">
        <v>9</v>
      </c>
      <c r="H242">
        <v>24</v>
      </c>
      <c r="I242">
        <v>8</v>
      </c>
      <c r="J242">
        <v>12</v>
      </c>
      <c r="K242">
        <v>21</v>
      </c>
      <c r="L242" s="13">
        <v>20</v>
      </c>
      <c r="M242">
        <v>30</v>
      </c>
      <c r="N242">
        <v>4</v>
      </c>
      <c r="O242">
        <v>35</v>
      </c>
      <c r="P242">
        <v>1</v>
      </c>
      <c r="Q242">
        <v>10</v>
      </c>
      <c r="R242" t="s">
        <v>1622</v>
      </c>
      <c r="S242" t="s">
        <v>1625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1" t="s">
        <v>2145</v>
      </c>
      <c r="B243" t="s">
        <v>259</v>
      </c>
      <c r="C243" t="s">
        <v>2144</v>
      </c>
      <c r="D243" t="s">
        <v>1618</v>
      </c>
      <c r="E243" s="13">
        <v>5</v>
      </c>
      <c r="F243">
        <v>28</v>
      </c>
      <c r="G243">
        <v>9</v>
      </c>
      <c r="H243">
        <v>24</v>
      </c>
      <c r="I243">
        <v>8</v>
      </c>
      <c r="J243">
        <v>12</v>
      </c>
      <c r="K243">
        <v>21</v>
      </c>
      <c r="L243" s="13">
        <v>20</v>
      </c>
      <c r="M243">
        <v>30</v>
      </c>
      <c r="N243">
        <v>4</v>
      </c>
      <c r="O243">
        <v>35</v>
      </c>
      <c r="P243">
        <v>1</v>
      </c>
      <c r="Q243">
        <v>10</v>
      </c>
      <c r="R243" t="s">
        <v>1622</v>
      </c>
      <c r="S243" t="s">
        <v>1625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1" t="s">
        <v>2146</v>
      </c>
      <c r="B244" t="s">
        <v>259</v>
      </c>
      <c r="C244" t="s">
        <v>2144</v>
      </c>
      <c r="D244" t="s">
        <v>1618</v>
      </c>
      <c r="E244" s="13">
        <v>5</v>
      </c>
      <c r="F244">
        <v>28</v>
      </c>
      <c r="G244">
        <v>9</v>
      </c>
      <c r="H244">
        <v>24</v>
      </c>
      <c r="I244">
        <v>8</v>
      </c>
      <c r="J244">
        <v>12</v>
      </c>
      <c r="K244">
        <v>21</v>
      </c>
      <c r="L244" s="13">
        <v>20</v>
      </c>
      <c r="M244">
        <v>30</v>
      </c>
      <c r="N244">
        <v>4</v>
      </c>
      <c r="O244">
        <v>35</v>
      </c>
      <c r="P244">
        <v>1</v>
      </c>
      <c r="Q244">
        <v>10</v>
      </c>
      <c r="R244" t="s">
        <v>1622</v>
      </c>
      <c r="S244" t="s">
        <v>1625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1" t="s">
        <v>2147</v>
      </c>
      <c r="B245" t="s">
        <v>259</v>
      </c>
      <c r="C245" t="s">
        <v>2144</v>
      </c>
      <c r="D245" t="s">
        <v>1618</v>
      </c>
      <c r="E245" s="13">
        <v>5</v>
      </c>
      <c r="F245">
        <v>28</v>
      </c>
      <c r="G245">
        <v>9</v>
      </c>
      <c r="H245">
        <v>24</v>
      </c>
      <c r="I245">
        <v>8</v>
      </c>
      <c r="J245">
        <v>12</v>
      </c>
      <c r="K245">
        <v>21</v>
      </c>
      <c r="L245" s="13">
        <v>20</v>
      </c>
      <c r="M245">
        <v>30</v>
      </c>
      <c r="N245">
        <v>4</v>
      </c>
      <c r="O245">
        <v>35</v>
      </c>
      <c r="P245">
        <v>1</v>
      </c>
      <c r="Q245">
        <v>10</v>
      </c>
      <c r="R245" t="s">
        <v>1622</v>
      </c>
      <c r="S245" t="s">
        <v>1625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1" t="s">
        <v>2148</v>
      </c>
      <c r="B246" t="s">
        <v>37</v>
      </c>
      <c r="C246" t="s">
        <v>1936</v>
      </c>
      <c r="D246" t="s">
        <v>1618</v>
      </c>
      <c r="E246" s="13">
        <v>47</v>
      </c>
      <c r="F246">
        <v>90</v>
      </c>
      <c r="G246">
        <v>132</v>
      </c>
      <c r="H246">
        <v>0</v>
      </c>
      <c r="I246">
        <v>100</v>
      </c>
      <c r="J246">
        <v>40</v>
      </c>
      <c r="K246">
        <v>0</v>
      </c>
      <c r="L246" s="13">
        <v>55</v>
      </c>
      <c r="M246">
        <v>38</v>
      </c>
      <c r="N246">
        <v>26</v>
      </c>
      <c r="O246">
        <v>30</v>
      </c>
      <c r="P246">
        <v>3</v>
      </c>
      <c r="Q246">
        <v>20</v>
      </c>
      <c r="R246" t="s">
        <v>1724</v>
      </c>
      <c r="S246" t="s">
        <v>1724</v>
      </c>
      <c r="T246" t="s">
        <v>1678</v>
      </c>
      <c r="U246" t="s">
        <v>1628</v>
      </c>
      <c r="V246">
        <f t="shared" si="8"/>
        <v>12</v>
      </c>
      <c r="W246">
        <v>3</v>
      </c>
      <c r="X246">
        <v>3</v>
      </c>
      <c r="Y246">
        <v>3</v>
      </c>
      <c r="Z246">
        <v>3</v>
      </c>
    </row>
    <row r="247" spans="1:26">
      <c r="A247" s="1" t="s">
        <v>2149</v>
      </c>
      <c r="B247" t="s">
        <v>84</v>
      </c>
      <c r="C247" t="s">
        <v>1986</v>
      </c>
      <c r="D247" t="s">
        <v>1618</v>
      </c>
      <c r="E247" s="13">
        <v>44</v>
      </c>
      <c r="F247">
        <v>54</v>
      </c>
      <c r="G247">
        <v>59</v>
      </c>
      <c r="H247">
        <v>0</v>
      </c>
      <c r="I247">
        <v>51</v>
      </c>
      <c r="J247">
        <v>52</v>
      </c>
      <c r="K247">
        <v>0</v>
      </c>
      <c r="L247" s="13">
        <v>52</v>
      </c>
      <c r="M247">
        <v>48</v>
      </c>
      <c r="N247">
        <v>36</v>
      </c>
      <c r="O247">
        <v>32</v>
      </c>
      <c r="P247">
        <v>2</v>
      </c>
      <c r="Q247">
        <v>20</v>
      </c>
      <c r="R247" t="s">
        <v>1677</v>
      </c>
      <c r="S247" t="s">
        <v>1625</v>
      </c>
      <c r="T247" t="s">
        <v>1625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1" t="s">
        <v>2150</v>
      </c>
      <c r="B248" t="s">
        <v>259</v>
      </c>
      <c r="C248" t="s">
        <v>2144</v>
      </c>
      <c r="D248" t="s">
        <v>1618</v>
      </c>
      <c r="E248" s="13">
        <v>35</v>
      </c>
      <c r="F248">
        <v>27</v>
      </c>
      <c r="G248">
        <v>34</v>
      </c>
      <c r="H248">
        <v>64</v>
      </c>
      <c r="I248">
        <v>21</v>
      </c>
      <c r="J248">
        <v>33</v>
      </c>
      <c r="K248">
        <v>36</v>
      </c>
      <c r="L248" s="13">
        <v>45</v>
      </c>
      <c r="M248">
        <v>60</v>
      </c>
      <c r="N248">
        <v>12</v>
      </c>
      <c r="O248">
        <v>40</v>
      </c>
      <c r="P248">
        <v>1</v>
      </c>
      <c r="Q248">
        <v>20</v>
      </c>
      <c r="R248" t="s">
        <v>1641</v>
      </c>
      <c r="S248" t="s">
        <v>1637</v>
      </c>
      <c r="V248">
        <f t="shared" ref="V248:V275" si="9">SUM(W248:Z248)</f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1" t="s">
        <v>2151</v>
      </c>
      <c r="B249" t="s">
        <v>259</v>
      </c>
      <c r="C249" t="s">
        <v>2144</v>
      </c>
      <c r="D249" t="s">
        <v>1618</v>
      </c>
      <c r="E249" s="13">
        <v>35</v>
      </c>
      <c r="F249">
        <v>27</v>
      </c>
      <c r="G249">
        <v>34</v>
      </c>
      <c r="H249">
        <v>64</v>
      </c>
      <c r="I249">
        <v>21</v>
      </c>
      <c r="J249">
        <v>33</v>
      </c>
      <c r="K249">
        <v>36</v>
      </c>
      <c r="L249" s="13">
        <v>45</v>
      </c>
      <c r="M249">
        <v>60</v>
      </c>
      <c r="N249">
        <v>12</v>
      </c>
      <c r="O249">
        <v>40</v>
      </c>
      <c r="P249">
        <v>1</v>
      </c>
      <c r="Q249">
        <v>20</v>
      </c>
      <c r="R249" t="s">
        <v>1641</v>
      </c>
      <c r="S249" t="s">
        <v>1637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1" t="s">
        <v>2152</v>
      </c>
      <c r="B250" t="s">
        <v>87</v>
      </c>
      <c r="C250" t="s">
        <v>2153</v>
      </c>
      <c r="D250" t="s">
        <v>1618</v>
      </c>
      <c r="E250" s="13">
        <v>29</v>
      </c>
      <c r="F250">
        <v>27</v>
      </c>
      <c r="G250">
        <v>0</v>
      </c>
      <c r="H250">
        <v>64</v>
      </c>
      <c r="I250">
        <v>21</v>
      </c>
      <c r="J250">
        <v>0</v>
      </c>
      <c r="K250">
        <v>0</v>
      </c>
      <c r="L250" s="13">
        <v>40</v>
      </c>
      <c r="M250">
        <v>5</v>
      </c>
      <c r="N250">
        <v>8</v>
      </c>
      <c r="O250">
        <v>15</v>
      </c>
      <c r="P250">
        <v>1</v>
      </c>
      <c r="Q250">
        <v>20</v>
      </c>
      <c r="R250" t="s">
        <v>1641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1" t="s">
        <v>2154</v>
      </c>
      <c r="B251" t="s">
        <v>87</v>
      </c>
      <c r="C251" t="s">
        <v>2153</v>
      </c>
      <c r="D251" t="s">
        <v>1618</v>
      </c>
      <c r="E251" s="13">
        <v>29</v>
      </c>
      <c r="F251">
        <v>27</v>
      </c>
      <c r="G251">
        <v>0</v>
      </c>
      <c r="H251">
        <v>64</v>
      </c>
      <c r="I251">
        <v>21</v>
      </c>
      <c r="J251">
        <v>0</v>
      </c>
      <c r="K251">
        <v>0</v>
      </c>
      <c r="L251" s="13">
        <v>40</v>
      </c>
      <c r="M251">
        <v>5</v>
      </c>
      <c r="N251">
        <v>8</v>
      </c>
      <c r="O251">
        <v>15</v>
      </c>
      <c r="P251">
        <v>1</v>
      </c>
      <c r="Q251">
        <v>20</v>
      </c>
      <c r="R251" t="s">
        <v>1641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1" t="s">
        <v>2155</v>
      </c>
      <c r="B252" t="s">
        <v>231</v>
      </c>
      <c r="C252" t="s">
        <v>2156</v>
      </c>
      <c r="D252" t="s">
        <v>1618</v>
      </c>
      <c r="E252" s="13">
        <v>20</v>
      </c>
      <c r="F252">
        <v>32</v>
      </c>
      <c r="G252">
        <v>0</v>
      </c>
      <c r="H252">
        <v>0</v>
      </c>
      <c r="I252">
        <v>19</v>
      </c>
      <c r="J252">
        <v>14</v>
      </c>
      <c r="K252">
        <v>0</v>
      </c>
      <c r="L252" s="13">
        <v>32</v>
      </c>
      <c r="M252">
        <v>28</v>
      </c>
      <c r="N252">
        <v>34</v>
      </c>
      <c r="O252">
        <v>25</v>
      </c>
      <c r="P252">
        <v>1</v>
      </c>
      <c r="Q252">
        <v>10</v>
      </c>
      <c r="R252" t="s">
        <v>1662</v>
      </c>
      <c r="S252" t="s">
        <v>1663</v>
      </c>
      <c r="T252" t="s">
        <v>1664</v>
      </c>
      <c r="V252">
        <f t="shared" si="9"/>
        <v>42</v>
      </c>
      <c r="W252">
        <v>14</v>
      </c>
      <c r="X252">
        <v>16</v>
      </c>
      <c r="Y252">
        <v>12</v>
      </c>
      <c r="Z252">
        <v>0</v>
      </c>
    </row>
    <row r="253" spans="1:26">
      <c r="A253" s="1" t="s">
        <v>2157</v>
      </c>
      <c r="B253" t="s">
        <v>84</v>
      </c>
      <c r="C253" t="s">
        <v>2158</v>
      </c>
      <c r="D253" t="s">
        <v>1618</v>
      </c>
      <c r="E253" s="13">
        <v>13</v>
      </c>
      <c r="F253">
        <v>37</v>
      </c>
      <c r="G253">
        <v>38</v>
      </c>
      <c r="H253">
        <v>12</v>
      </c>
      <c r="I253">
        <v>26</v>
      </c>
      <c r="J253">
        <v>16</v>
      </c>
      <c r="K253">
        <v>0</v>
      </c>
      <c r="L253" s="13">
        <v>26</v>
      </c>
      <c r="M253">
        <v>33</v>
      </c>
      <c r="N253">
        <v>11</v>
      </c>
      <c r="O253">
        <v>25</v>
      </c>
      <c r="P253">
        <v>2</v>
      </c>
      <c r="Q253">
        <v>10</v>
      </c>
      <c r="R253" t="s">
        <v>1710</v>
      </c>
      <c r="S253" t="s">
        <v>1638</v>
      </c>
      <c r="V253">
        <f t="shared" si="9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1" t="s">
        <v>2159</v>
      </c>
      <c r="B254" t="s">
        <v>84</v>
      </c>
      <c r="C254" t="s">
        <v>2160</v>
      </c>
      <c r="D254" t="s">
        <v>1618</v>
      </c>
      <c r="E254" s="13">
        <v>13</v>
      </c>
      <c r="F254">
        <v>36</v>
      </c>
      <c r="G254">
        <v>38</v>
      </c>
      <c r="H254">
        <v>12</v>
      </c>
      <c r="I254">
        <v>25</v>
      </c>
      <c r="J254">
        <v>16</v>
      </c>
      <c r="K254">
        <v>0</v>
      </c>
      <c r="L254" s="13">
        <v>26</v>
      </c>
      <c r="M254">
        <v>33</v>
      </c>
      <c r="N254">
        <v>11</v>
      </c>
      <c r="O254">
        <v>25</v>
      </c>
      <c r="P254">
        <v>2</v>
      </c>
      <c r="Q254">
        <v>10</v>
      </c>
      <c r="R254" t="s">
        <v>1710</v>
      </c>
      <c r="S254" t="s">
        <v>1638</v>
      </c>
      <c r="V254">
        <f t="shared" si="9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1" t="s">
        <v>2161</v>
      </c>
      <c r="B255" t="s">
        <v>84</v>
      </c>
      <c r="C255" t="s">
        <v>2037</v>
      </c>
      <c r="D255" t="s">
        <v>1618</v>
      </c>
      <c r="E255" s="13">
        <v>13</v>
      </c>
      <c r="F255">
        <v>36</v>
      </c>
      <c r="G255">
        <v>38</v>
      </c>
      <c r="H255">
        <v>12</v>
      </c>
      <c r="I255">
        <v>25</v>
      </c>
      <c r="J255">
        <v>16</v>
      </c>
      <c r="K255">
        <v>0</v>
      </c>
      <c r="L255" s="13">
        <v>26</v>
      </c>
      <c r="M255">
        <v>33</v>
      </c>
      <c r="N255">
        <v>11</v>
      </c>
      <c r="O255">
        <v>25</v>
      </c>
      <c r="P255">
        <v>2</v>
      </c>
      <c r="Q255">
        <v>10</v>
      </c>
      <c r="R255" t="s">
        <v>1710</v>
      </c>
      <c r="S255" t="s">
        <v>1638</v>
      </c>
      <c r="V255">
        <f t="shared" si="9"/>
        <v>0</v>
      </c>
      <c r="W255">
        <v>0</v>
      </c>
      <c r="X255">
        <v>0</v>
      </c>
      <c r="Y255">
        <v>0</v>
      </c>
      <c r="Z255">
        <v>0</v>
      </c>
    </row>
    <row r="256" spans="1:26">
      <c r="A256" s="1" t="s">
        <v>2162</v>
      </c>
      <c r="B256" t="s">
        <v>84</v>
      </c>
      <c r="C256" t="s">
        <v>2039</v>
      </c>
      <c r="D256" t="s">
        <v>1618</v>
      </c>
      <c r="E256" s="13">
        <v>13</v>
      </c>
      <c r="F256">
        <v>37</v>
      </c>
      <c r="G256">
        <v>38</v>
      </c>
      <c r="H256">
        <v>12</v>
      </c>
      <c r="I256">
        <v>36</v>
      </c>
      <c r="J256">
        <v>16</v>
      </c>
      <c r="K256">
        <v>0</v>
      </c>
      <c r="L256" s="13">
        <v>26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1710</v>
      </c>
      <c r="S256" t="s">
        <v>1638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1" t="s">
        <v>2163</v>
      </c>
      <c r="B257" t="s">
        <v>259</v>
      </c>
      <c r="C257" t="s">
        <v>2164</v>
      </c>
      <c r="D257" t="s">
        <v>1618</v>
      </c>
      <c r="E257" s="13">
        <v>5</v>
      </c>
      <c r="F257">
        <v>15</v>
      </c>
      <c r="G257">
        <v>11</v>
      </c>
      <c r="H257">
        <v>27</v>
      </c>
      <c r="I257">
        <v>5</v>
      </c>
      <c r="J257">
        <v>12</v>
      </c>
      <c r="K257">
        <v>20</v>
      </c>
      <c r="L257" s="13">
        <v>20</v>
      </c>
      <c r="M257">
        <v>41</v>
      </c>
      <c r="N257">
        <v>5</v>
      </c>
      <c r="O257">
        <v>35</v>
      </c>
      <c r="P257">
        <v>1</v>
      </c>
      <c r="Q257">
        <v>10</v>
      </c>
      <c r="R257" t="s">
        <v>1622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1" t="s">
        <v>2165</v>
      </c>
      <c r="B258" t="s">
        <v>29</v>
      </c>
      <c r="C258" t="s">
        <v>2166</v>
      </c>
      <c r="D258" t="s">
        <v>1618</v>
      </c>
      <c r="E258" s="13">
        <v>41</v>
      </c>
      <c r="F258">
        <v>62</v>
      </c>
      <c r="G258">
        <v>39</v>
      </c>
      <c r="H258">
        <v>0</v>
      </c>
      <c r="I258">
        <v>49</v>
      </c>
      <c r="J258">
        <v>69</v>
      </c>
      <c r="K258">
        <v>0</v>
      </c>
      <c r="L258" s="13">
        <v>50</v>
      </c>
      <c r="M258">
        <v>47</v>
      </c>
      <c r="N258">
        <v>44</v>
      </c>
      <c r="O258">
        <v>30</v>
      </c>
      <c r="P258">
        <v>2</v>
      </c>
      <c r="Q258">
        <v>20</v>
      </c>
      <c r="R258" t="s">
        <v>1667</v>
      </c>
      <c r="S258" t="s">
        <v>1668</v>
      </c>
      <c r="T258" t="s">
        <v>1669</v>
      </c>
      <c r="V258">
        <f t="shared" si="9"/>
        <v>75</v>
      </c>
      <c r="W258">
        <v>21</v>
      </c>
      <c r="X258">
        <v>21</v>
      </c>
      <c r="Y258">
        <v>21</v>
      </c>
      <c r="Z258">
        <v>12</v>
      </c>
    </row>
    <row r="259" spans="1:26">
      <c r="A259" s="1" t="s">
        <v>2167</v>
      </c>
      <c r="B259" t="s">
        <v>29</v>
      </c>
      <c r="C259" t="s">
        <v>2071</v>
      </c>
      <c r="D259" t="s">
        <v>1618</v>
      </c>
      <c r="E259" s="13">
        <v>41</v>
      </c>
      <c r="F259">
        <v>62</v>
      </c>
      <c r="G259">
        <v>39</v>
      </c>
      <c r="H259">
        <v>0</v>
      </c>
      <c r="I259">
        <v>49</v>
      </c>
      <c r="J259">
        <v>69</v>
      </c>
      <c r="K259">
        <v>0</v>
      </c>
      <c r="L259" s="13">
        <v>50</v>
      </c>
      <c r="M259">
        <v>49</v>
      </c>
      <c r="N259">
        <v>44</v>
      </c>
      <c r="O259">
        <v>30</v>
      </c>
      <c r="P259">
        <v>2</v>
      </c>
      <c r="Q259">
        <v>40</v>
      </c>
      <c r="R259" t="s">
        <v>1667</v>
      </c>
      <c r="S259" t="s">
        <v>1668</v>
      </c>
      <c r="T259" t="s">
        <v>1669</v>
      </c>
      <c r="V259">
        <f t="shared" si="9"/>
        <v>75</v>
      </c>
      <c r="W259">
        <v>21</v>
      </c>
      <c r="X259">
        <v>21</v>
      </c>
      <c r="Y259">
        <v>21</v>
      </c>
      <c r="Z259">
        <v>12</v>
      </c>
    </row>
    <row r="260" spans="1:26">
      <c r="A260" s="1" t="s">
        <v>2168</v>
      </c>
      <c r="B260" t="s">
        <v>84</v>
      </c>
      <c r="C260" t="s">
        <v>2169</v>
      </c>
      <c r="D260" t="s">
        <v>1618</v>
      </c>
      <c r="E260" s="13">
        <v>44</v>
      </c>
      <c r="F260">
        <v>45</v>
      </c>
      <c r="G260">
        <v>65</v>
      </c>
      <c r="H260">
        <v>59</v>
      </c>
      <c r="I260">
        <v>49</v>
      </c>
      <c r="J260">
        <v>64</v>
      </c>
      <c r="K260">
        <v>0</v>
      </c>
      <c r="L260" s="13">
        <v>52</v>
      </c>
      <c r="M260">
        <v>45</v>
      </c>
      <c r="N260">
        <v>28</v>
      </c>
      <c r="O260">
        <v>30</v>
      </c>
      <c r="P260">
        <v>2</v>
      </c>
      <c r="Q260">
        <v>20</v>
      </c>
      <c r="R260" t="s">
        <v>1710</v>
      </c>
      <c r="S260" t="s">
        <v>1677</v>
      </c>
      <c r="T260" t="s">
        <v>1641</v>
      </c>
      <c r="U260" t="s">
        <v>1678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1" t="s">
        <v>2170</v>
      </c>
      <c r="B261" t="s">
        <v>84</v>
      </c>
      <c r="C261" t="s">
        <v>2171</v>
      </c>
      <c r="D261" t="s">
        <v>1618</v>
      </c>
      <c r="E261" s="13">
        <v>44</v>
      </c>
      <c r="F261">
        <v>44</v>
      </c>
      <c r="G261">
        <v>65</v>
      </c>
      <c r="H261">
        <v>49</v>
      </c>
      <c r="I261">
        <v>49</v>
      </c>
      <c r="J261">
        <v>54</v>
      </c>
      <c r="K261">
        <v>0</v>
      </c>
      <c r="L261" s="13">
        <v>52</v>
      </c>
      <c r="M261">
        <v>45</v>
      </c>
      <c r="N261">
        <v>28</v>
      </c>
      <c r="O261">
        <v>30</v>
      </c>
      <c r="P261">
        <v>2</v>
      </c>
      <c r="Q261">
        <v>20</v>
      </c>
      <c r="R261" t="s">
        <v>1710</v>
      </c>
      <c r="S261" t="s">
        <v>1677</v>
      </c>
      <c r="T261" t="s">
        <v>1641</v>
      </c>
      <c r="U261" t="s">
        <v>1678</v>
      </c>
      <c r="V261">
        <f t="shared" si="9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1" t="s">
        <v>2172</v>
      </c>
      <c r="B262" t="s">
        <v>259</v>
      </c>
      <c r="C262" t="s">
        <v>2173</v>
      </c>
      <c r="D262" t="s">
        <v>1618</v>
      </c>
      <c r="E262" s="13">
        <v>35</v>
      </c>
      <c r="F262">
        <v>15</v>
      </c>
      <c r="G262">
        <v>35</v>
      </c>
      <c r="H262">
        <v>69</v>
      </c>
      <c r="I262">
        <v>19</v>
      </c>
      <c r="J262">
        <v>39</v>
      </c>
      <c r="K262">
        <v>35</v>
      </c>
      <c r="L262" s="13">
        <v>45</v>
      </c>
      <c r="M262">
        <v>60</v>
      </c>
      <c r="N262">
        <v>12</v>
      </c>
      <c r="O262">
        <v>40</v>
      </c>
      <c r="P262">
        <v>2</v>
      </c>
      <c r="Q262">
        <v>20</v>
      </c>
      <c r="R262" t="s">
        <v>1622</v>
      </c>
      <c r="S262" t="s">
        <v>1625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1" t="s">
        <v>2174</v>
      </c>
      <c r="B263" t="s">
        <v>259</v>
      </c>
      <c r="C263" t="s">
        <v>2087</v>
      </c>
      <c r="D263" t="s">
        <v>1618</v>
      </c>
      <c r="E263" s="13">
        <v>35</v>
      </c>
      <c r="F263">
        <v>15</v>
      </c>
      <c r="G263">
        <v>35</v>
      </c>
      <c r="H263">
        <v>69</v>
      </c>
      <c r="I263">
        <v>19</v>
      </c>
      <c r="J263">
        <v>39</v>
      </c>
      <c r="K263">
        <v>35</v>
      </c>
      <c r="L263" s="13">
        <v>45</v>
      </c>
      <c r="M263">
        <v>60</v>
      </c>
      <c r="N263">
        <v>12</v>
      </c>
      <c r="O263">
        <v>40</v>
      </c>
      <c r="P263">
        <v>2</v>
      </c>
      <c r="Q263">
        <v>20</v>
      </c>
      <c r="R263" t="s">
        <v>1622</v>
      </c>
      <c r="S263" t="s">
        <v>1625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1" t="s">
        <v>2175</v>
      </c>
      <c r="B264" t="s">
        <v>84</v>
      </c>
      <c r="C264" t="s">
        <v>2176</v>
      </c>
      <c r="D264" t="s">
        <v>1618</v>
      </c>
      <c r="E264" s="13">
        <v>21</v>
      </c>
      <c r="F264">
        <v>60</v>
      </c>
      <c r="G264">
        <v>53</v>
      </c>
      <c r="H264">
        <v>24</v>
      </c>
      <c r="I264">
        <v>34</v>
      </c>
      <c r="J264">
        <v>18</v>
      </c>
      <c r="K264">
        <v>0</v>
      </c>
      <c r="L264" s="13">
        <v>33</v>
      </c>
      <c r="M264">
        <v>33</v>
      </c>
      <c r="N264">
        <v>12</v>
      </c>
      <c r="O264">
        <v>25</v>
      </c>
      <c r="P264">
        <v>2</v>
      </c>
      <c r="Q264">
        <v>10</v>
      </c>
      <c r="R264" t="s">
        <v>1710</v>
      </c>
      <c r="S264" t="s">
        <v>1638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1" t="s">
        <v>2177</v>
      </c>
      <c r="B265" t="s">
        <v>84</v>
      </c>
      <c r="C265" t="s">
        <v>2178</v>
      </c>
      <c r="D265" t="s">
        <v>1618</v>
      </c>
      <c r="E265" s="13">
        <v>17</v>
      </c>
      <c r="F265">
        <v>58</v>
      </c>
      <c r="G265">
        <v>47</v>
      </c>
      <c r="H265">
        <v>20</v>
      </c>
      <c r="I265">
        <v>32</v>
      </c>
      <c r="J265">
        <v>16</v>
      </c>
      <c r="K265">
        <v>0</v>
      </c>
      <c r="L265" s="13">
        <v>30</v>
      </c>
      <c r="M265">
        <v>33</v>
      </c>
      <c r="N265">
        <v>11</v>
      </c>
      <c r="O265">
        <v>25</v>
      </c>
      <c r="P265">
        <v>2</v>
      </c>
      <c r="Q265">
        <v>10</v>
      </c>
      <c r="R265" t="s">
        <v>1710</v>
      </c>
      <c r="S265" t="s">
        <v>1638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1" t="s">
        <v>2179</v>
      </c>
      <c r="B266" t="s">
        <v>84</v>
      </c>
      <c r="C266" t="s">
        <v>2180</v>
      </c>
      <c r="D266" t="s">
        <v>1618</v>
      </c>
      <c r="E266" s="13">
        <v>17</v>
      </c>
      <c r="F266">
        <v>58</v>
      </c>
      <c r="G266">
        <v>47</v>
      </c>
      <c r="H266">
        <v>20</v>
      </c>
      <c r="I266">
        <v>32</v>
      </c>
      <c r="J266">
        <v>16</v>
      </c>
      <c r="K266">
        <v>0</v>
      </c>
      <c r="L266" s="13">
        <v>30</v>
      </c>
      <c r="M266">
        <v>33</v>
      </c>
      <c r="N266">
        <v>11</v>
      </c>
      <c r="O266">
        <v>25</v>
      </c>
      <c r="P266">
        <v>2</v>
      </c>
      <c r="Q266">
        <v>10</v>
      </c>
      <c r="R266" t="s">
        <v>1710</v>
      </c>
      <c r="S266" t="s">
        <v>1638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1" t="s">
        <v>2181</v>
      </c>
      <c r="B267" t="s">
        <v>259</v>
      </c>
      <c r="C267" t="s">
        <v>2182</v>
      </c>
      <c r="D267" t="s">
        <v>1618</v>
      </c>
      <c r="E267" s="13">
        <v>15</v>
      </c>
      <c r="F267">
        <v>25</v>
      </c>
      <c r="G267">
        <v>11</v>
      </c>
      <c r="H267">
        <v>32</v>
      </c>
      <c r="I267">
        <v>8</v>
      </c>
      <c r="J267">
        <v>12</v>
      </c>
      <c r="K267">
        <v>38</v>
      </c>
      <c r="L267" s="13">
        <v>28</v>
      </c>
      <c r="M267">
        <v>40</v>
      </c>
      <c r="N267">
        <v>12</v>
      </c>
      <c r="O267">
        <v>35</v>
      </c>
      <c r="P267">
        <v>1</v>
      </c>
      <c r="Q267">
        <v>10</v>
      </c>
      <c r="R267" t="s">
        <v>1622</v>
      </c>
      <c r="S267" t="s">
        <v>1625</v>
      </c>
      <c r="T267" t="s">
        <v>1629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1" t="s">
        <v>2183</v>
      </c>
      <c r="B268" t="s">
        <v>37</v>
      </c>
      <c r="C268" t="s">
        <v>2133</v>
      </c>
      <c r="D268" t="s">
        <v>1618</v>
      </c>
      <c r="E268" s="13">
        <v>16</v>
      </c>
      <c r="F268">
        <v>88</v>
      </c>
      <c r="G268">
        <v>110</v>
      </c>
      <c r="H268">
        <v>0</v>
      </c>
      <c r="I268">
        <v>80</v>
      </c>
      <c r="J268">
        <v>25</v>
      </c>
      <c r="K268">
        <v>0</v>
      </c>
      <c r="L268" s="13">
        <v>29</v>
      </c>
      <c r="M268">
        <v>25</v>
      </c>
      <c r="N268">
        <v>14</v>
      </c>
      <c r="O268">
        <v>30</v>
      </c>
      <c r="P268">
        <v>3</v>
      </c>
      <c r="Q268">
        <v>10</v>
      </c>
      <c r="R268" t="s">
        <v>1720</v>
      </c>
      <c r="S268" t="s">
        <v>1720</v>
      </c>
      <c r="T268" t="s">
        <v>1721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1" t="s">
        <v>2184</v>
      </c>
      <c r="B269" t="s">
        <v>259</v>
      </c>
      <c r="C269" t="s">
        <v>2185</v>
      </c>
      <c r="D269" t="s">
        <v>1618</v>
      </c>
      <c r="E269" s="13">
        <v>15</v>
      </c>
      <c r="F269">
        <v>26</v>
      </c>
      <c r="G269">
        <v>13</v>
      </c>
      <c r="H269">
        <v>36</v>
      </c>
      <c r="I269">
        <v>8</v>
      </c>
      <c r="J269">
        <v>12</v>
      </c>
      <c r="K269">
        <v>40</v>
      </c>
      <c r="L269" s="13">
        <v>28</v>
      </c>
      <c r="M269">
        <v>40</v>
      </c>
      <c r="N269">
        <v>12</v>
      </c>
      <c r="O269">
        <v>35</v>
      </c>
      <c r="P269">
        <v>1</v>
      </c>
      <c r="Q269">
        <v>10</v>
      </c>
      <c r="R269" t="s">
        <v>1622</v>
      </c>
      <c r="S269" t="s">
        <v>1625</v>
      </c>
      <c r="T269" t="s">
        <v>1629</v>
      </c>
      <c r="V269">
        <f t="shared" si="9"/>
        <v>0</v>
      </c>
      <c r="W269">
        <v>0</v>
      </c>
      <c r="X269">
        <v>0</v>
      </c>
      <c r="Y269">
        <v>0</v>
      </c>
      <c r="Z269">
        <v>0</v>
      </c>
    </row>
    <row r="270" spans="1:26">
      <c r="A270" s="1" t="s">
        <v>2186</v>
      </c>
      <c r="B270" t="s">
        <v>84</v>
      </c>
      <c r="C270" t="s">
        <v>2176</v>
      </c>
      <c r="D270" t="s">
        <v>1618</v>
      </c>
      <c r="E270" s="13">
        <v>41</v>
      </c>
      <c r="F270">
        <v>34</v>
      </c>
      <c r="G270">
        <v>41</v>
      </c>
      <c r="H270">
        <v>12</v>
      </c>
      <c r="I270">
        <v>15</v>
      </c>
      <c r="J270">
        <v>54</v>
      </c>
      <c r="K270">
        <v>0</v>
      </c>
      <c r="L270" s="13">
        <v>50</v>
      </c>
      <c r="M270">
        <v>58</v>
      </c>
      <c r="N270">
        <v>28</v>
      </c>
      <c r="O270">
        <v>30</v>
      </c>
      <c r="P270">
        <v>2</v>
      </c>
      <c r="Q270">
        <v>20</v>
      </c>
      <c r="R270" t="s">
        <v>1710</v>
      </c>
      <c r="S270" t="s">
        <v>1677</v>
      </c>
      <c r="T270" t="s">
        <v>1641</v>
      </c>
      <c r="U270" t="s">
        <v>1678</v>
      </c>
      <c r="V270">
        <f t="shared" si="9"/>
        <v>12</v>
      </c>
      <c r="W270">
        <v>3</v>
      </c>
      <c r="X270">
        <v>3</v>
      </c>
      <c r="Y270">
        <v>3</v>
      </c>
      <c r="Z270">
        <v>3</v>
      </c>
    </row>
    <row r="271" spans="1:26">
      <c r="A271" s="1" t="s">
        <v>2187</v>
      </c>
      <c r="B271" t="s">
        <v>84</v>
      </c>
      <c r="C271" t="s">
        <v>2178</v>
      </c>
      <c r="D271" t="s">
        <v>1618</v>
      </c>
      <c r="E271" s="13">
        <v>40</v>
      </c>
      <c r="F271">
        <v>32</v>
      </c>
      <c r="G271">
        <v>41</v>
      </c>
      <c r="H271">
        <v>12</v>
      </c>
      <c r="I271">
        <v>15</v>
      </c>
      <c r="J271">
        <v>54</v>
      </c>
      <c r="K271">
        <v>0</v>
      </c>
      <c r="L271" s="13">
        <v>49</v>
      </c>
      <c r="M271">
        <v>53</v>
      </c>
      <c r="N271">
        <v>28</v>
      </c>
      <c r="O271">
        <v>30</v>
      </c>
      <c r="P271">
        <v>2</v>
      </c>
      <c r="Q271">
        <v>20</v>
      </c>
      <c r="R271" t="s">
        <v>1710</v>
      </c>
      <c r="S271" t="s">
        <v>1677</v>
      </c>
      <c r="T271" t="s">
        <v>1641</v>
      </c>
      <c r="U271" t="s">
        <v>1678</v>
      </c>
      <c r="V271">
        <f t="shared" si="9"/>
        <v>12</v>
      </c>
      <c r="W271">
        <v>3</v>
      </c>
      <c r="X271">
        <v>3</v>
      </c>
      <c r="Y271">
        <v>3</v>
      </c>
      <c r="Z271">
        <v>3</v>
      </c>
    </row>
    <row r="272" spans="1:26">
      <c r="A272" s="1" t="s">
        <v>2188</v>
      </c>
      <c r="B272" t="s">
        <v>84</v>
      </c>
      <c r="C272" t="s">
        <v>2180</v>
      </c>
      <c r="D272" t="s">
        <v>1618</v>
      </c>
      <c r="E272" s="13">
        <v>40</v>
      </c>
      <c r="F272">
        <v>32</v>
      </c>
      <c r="G272">
        <v>41</v>
      </c>
      <c r="H272">
        <v>12</v>
      </c>
      <c r="I272">
        <v>15</v>
      </c>
      <c r="J272">
        <v>54</v>
      </c>
      <c r="K272">
        <v>0</v>
      </c>
      <c r="L272" s="13">
        <v>49</v>
      </c>
      <c r="M272">
        <v>53</v>
      </c>
      <c r="N272">
        <v>28</v>
      </c>
      <c r="O272">
        <v>30</v>
      </c>
      <c r="P272">
        <v>2</v>
      </c>
      <c r="Q272">
        <v>20</v>
      </c>
      <c r="R272" t="s">
        <v>1710</v>
      </c>
      <c r="S272" t="s">
        <v>1677</v>
      </c>
      <c r="T272" t="s">
        <v>1641</v>
      </c>
      <c r="U272" t="s">
        <v>1678</v>
      </c>
      <c r="V272">
        <f t="shared" si="9"/>
        <v>12</v>
      </c>
      <c r="W272">
        <v>3</v>
      </c>
      <c r="X272">
        <v>3</v>
      </c>
      <c r="Y272">
        <v>3</v>
      </c>
      <c r="Z272">
        <v>3</v>
      </c>
    </row>
    <row r="273" spans="1:26">
      <c r="A273" s="1" t="s">
        <v>2189</v>
      </c>
      <c r="B273" t="s">
        <v>259</v>
      </c>
      <c r="C273" t="s">
        <v>2182</v>
      </c>
      <c r="D273" t="s">
        <v>1618</v>
      </c>
      <c r="E273" s="13">
        <v>35</v>
      </c>
      <c r="F273">
        <v>35</v>
      </c>
      <c r="G273">
        <v>24</v>
      </c>
      <c r="H273">
        <v>64</v>
      </c>
      <c r="I273">
        <v>12</v>
      </c>
      <c r="J273">
        <v>32</v>
      </c>
      <c r="K273">
        <v>15</v>
      </c>
      <c r="L273" s="13">
        <v>45</v>
      </c>
      <c r="M273">
        <v>60</v>
      </c>
      <c r="N273">
        <v>12</v>
      </c>
      <c r="O273">
        <v>40</v>
      </c>
      <c r="P273">
        <v>1</v>
      </c>
      <c r="Q273">
        <v>20</v>
      </c>
      <c r="R273" t="s">
        <v>1637</v>
      </c>
      <c r="S273" t="s">
        <v>1641</v>
      </c>
      <c r="T273" t="s">
        <v>1630</v>
      </c>
      <c r="V273">
        <f t="shared" si="9"/>
        <v>0</v>
      </c>
      <c r="W273">
        <v>0</v>
      </c>
      <c r="X273">
        <v>0</v>
      </c>
      <c r="Y273">
        <v>0</v>
      </c>
      <c r="Z273">
        <v>0</v>
      </c>
    </row>
    <row r="274" spans="1:26">
      <c r="A274" s="1" t="s">
        <v>2190</v>
      </c>
      <c r="B274" t="s">
        <v>259</v>
      </c>
      <c r="C274" t="s">
        <v>2185</v>
      </c>
      <c r="D274" t="s">
        <v>1618</v>
      </c>
      <c r="E274" s="13">
        <v>35</v>
      </c>
      <c r="F274">
        <v>35</v>
      </c>
      <c r="G274">
        <v>24</v>
      </c>
      <c r="H274">
        <v>64</v>
      </c>
      <c r="I274">
        <v>12</v>
      </c>
      <c r="J274">
        <v>32</v>
      </c>
      <c r="K274">
        <v>15</v>
      </c>
      <c r="L274" s="13">
        <v>45</v>
      </c>
      <c r="M274">
        <v>60</v>
      </c>
      <c r="N274">
        <v>12</v>
      </c>
      <c r="O274">
        <v>40</v>
      </c>
      <c r="P274">
        <v>1</v>
      </c>
      <c r="Q274">
        <v>20</v>
      </c>
      <c r="R274" t="s">
        <v>1637</v>
      </c>
      <c r="S274" t="s">
        <v>1641</v>
      </c>
      <c r="T274" t="s">
        <v>1630</v>
      </c>
      <c r="V274">
        <f t="shared" si="9"/>
        <v>0</v>
      </c>
      <c r="W274">
        <v>0</v>
      </c>
      <c r="X274">
        <v>0</v>
      </c>
      <c r="Y274">
        <v>0</v>
      </c>
      <c r="Z274">
        <v>0</v>
      </c>
    </row>
    <row r="275" spans="1:26">
      <c r="A275" s="1" t="s">
        <v>2191</v>
      </c>
      <c r="B275" t="s">
        <v>131</v>
      </c>
      <c r="C275" t="s">
        <v>2192</v>
      </c>
      <c r="D275" t="s">
        <v>1618</v>
      </c>
      <c r="E275" s="13">
        <v>32</v>
      </c>
      <c r="F275">
        <v>50</v>
      </c>
      <c r="G275">
        <v>43</v>
      </c>
      <c r="H275">
        <v>66</v>
      </c>
      <c r="I275">
        <v>28</v>
      </c>
      <c r="J275">
        <v>28</v>
      </c>
      <c r="K275">
        <v>16</v>
      </c>
      <c r="L275" s="13">
        <v>42</v>
      </c>
      <c r="M275">
        <v>48</v>
      </c>
      <c r="N275">
        <v>20</v>
      </c>
      <c r="O275">
        <v>30</v>
      </c>
      <c r="P275">
        <v>2</v>
      </c>
      <c r="Q275">
        <v>20</v>
      </c>
      <c r="R275" t="s">
        <v>1677</v>
      </c>
      <c r="S275" t="s">
        <v>1625</v>
      </c>
      <c r="T275" t="s">
        <v>1630</v>
      </c>
      <c r="V275">
        <f t="shared" si="9"/>
        <v>6</v>
      </c>
      <c r="W275">
        <v>2</v>
      </c>
      <c r="X275">
        <v>2</v>
      </c>
      <c r="Y275">
        <v>2</v>
      </c>
      <c r="Z275">
        <v>0</v>
      </c>
    </row>
    <row r="276" s="14" customFormat="1" spans="1:30">
      <c r="A276" s="18" t="s">
        <v>2193</v>
      </c>
      <c r="B276" s="14" t="s">
        <v>1912</v>
      </c>
      <c r="C276" s="14" t="s">
        <v>1913</v>
      </c>
      <c r="D276" s="14" t="s">
        <v>1618</v>
      </c>
      <c r="E276" s="19">
        <v>75</v>
      </c>
      <c r="F276" s="14">
        <v>333</v>
      </c>
      <c r="G276" s="14">
        <v>160</v>
      </c>
      <c r="H276" s="14">
        <v>0</v>
      </c>
      <c r="I276" s="14">
        <v>0</v>
      </c>
      <c r="J276" s="19">
        <v>50</v>
      </c>
      <c r="K276" s="14">
        <v>0</v>
      </c>
      <c r="L276" s="19">
        <v>85</v>
      </c>
      <c r="M276" s="19">
        <v>10</v>
      </c>
      <c r="N276" s="19">
        <v>45</v>
      </c>
      <c r="O276" s="19">
        <v>1</v>
      </c>
      <c r="P276" s="19">
        <v>4</v>
      </c>
      <c r="Q276" s="19">
        <v>40</v>
      </c>
      <c r="R276" s="21" t="s">
        <v>1724</v>
      </c>
      <c r="S276" s="21" t="s">
        <v>1980</v>
      </c>
      <c r="T276" s="21" t="s">
        <v>1980</v>
      </c>
      <c r="U276" s="14" t="s">
        <v>1847</v>
      </c>
      <c r="V276" s="14">
        <f t="shared" ref="V276:V309" si="10">SUM($W276:$Z276)</f>
        <v>47</v>
      </c>
      <c r="W276" s="14">
        <v>15</v>
      </c>
      <c r="X276" s="14">
        <v>15</v>
      </c>
      <c r="Y276" s="14">
        <v>15</v>
      </c>
      <c r="Z276" s="14">
        <v>2</v>
      </c>
      <c r="AD276" s="14" t="s">
        <v>2194</v>
      </c>
    </row>
    <row r="277" s="14" customFormat="1" spans="1:30">
      <c r="A277" s="18" t="s">
        <v>2195</v>
      </c>
      <c r="B277" s="14" t="s">
        <v>1912</v>
      </c>
      <c r="C277" s="14" t="s">
        <v>2196</v>
      </c>
      <c r="D277" s="14" t="s">
        <v>1618</v>
      </c>
      <c r="E277" s="19">
        <v>100</v>
      </c>
      <c r="F277" s="14">
        <v>666</v>
      </c>
      <c r="G277" s="14">
        <v>200</v>
      </c>
      <c r="H277" s="14">
        <v>0</v>
      </c>
      <c r="I277" s="14">
        <v>0</v>
      </c>
      <c r="J277" s="19">
        <v>100</v>
      </c>
      <c r="K277" s="14">
        <v>0</v>
      </c>
      <c r="L277" s="20">
        <v>120</v>
      </c>
      <c r="M277" s="19">
        <v>10</v>
      </c>
      <c r="N277" s="19">
        <v>60</v>
      </c>
      <c r="O277" s="19">
        <v>1</v>
      </c>
      <c r="P277" s="19">
        <v>4</v>
      </c>
      <c r="Q277" s="19">
        <v>60</v>
      </c>
      <c r="R277" s="21" t="s">
        <v>2029</v>
      </c>
      <c r="S277" s="21" t="s">
        <v>2029</v>
      </c>
      <c r="T277" s="21" t="s">
        <v>1980</v>
      </c>
      <c r="U277" s="14" t="s">
        <v>1980</v>
      </c>
      <c r="V277" s="14">
        <f t="shared" si="10"/>
        <v>60</v>
      </c>
      <c r="W277" s="14">
        <v>15</v>
      </c>
      <c r="X277" s="14">
        <v>15</v>
      </c>
      <c r="Y277" s="14">
        <v>15</v>
      </c>
      <c r="Z277" s="14">
        <v>15</v>
      </c>
      <c r="AD277" s="14" t="s">
        <v>2194</v>
      </c>
    </row>
    <row r="278" s="14" customFormat="1" spans="1:30">
      <c r="A278" s="18" t="s">
        <v>2197</v>
      </c>
      <c r="B278" s="14" t="s">
        <v>105</v>
      </c>
      <c r="C278" s="14" t="s">
        <v>1970</v>
      </c>
      <c r="D278" s="14" t="s">
        <v>1618</v>
      </c>
      <c r="E278" s="14">
        <v>100</v>
      </c>
      <c r="F278" s="14">
        <v>188</v>
      </c>
      <c r="G278" s="14">
        <v>120</v>
      </c>
      <c r="H278" s="14">
        <v>0</v>
      </c>
      <c r="I278" s="14">
        <v>88</v>
      </c>
      <c r="J278" s="19">
        <v>50</v>
      </c>
      <c r="K278" s="14">
        <v>0</v>
      </c>
      <c r="L278" s="19">
        <v>110</v>
      </c>
      <c r="M278" s="14">
        <v>90</v>
      </c>
      <c r="N278" s="14">
        <v>60</v>
      </c>
      <c r="O278" s="14">
        <v>35</v>
      </c>
      <c r="P278" s="14">
        <v>3</v>
      </c>
      <c r="Q278" s="14">
        <v>60</v>
      </c>
      <c r="R278" s="21" t="s">
        <v>1856</v>
      </c>
      <c r="S278" s="21" t="s">
        <v>1857</v>
      </c>
      <c r="T278" s="21" t="s">
        <v>1857</v>
      </c>
      <c r="V278" s="14">
        <f t="shared" si="10"/>
        <v>32</v>
      </c>
      <c r="W278" s="14">
        <v>8</v>
      </c>
      <c r="X278" s="14">
        <v>8</v>
      </c>
      <c r="Y278" s="14">
        <v>8</v>
      </c>
      <c r="Z278" s="14">
        <v>8</v>
      </c>
      <c r="AA278" s="18"/>
      <c r="AD278" s="14" t="s">
        <v>2198</v>
      </c>
    </row>
    <row r="279" s="14" customFormat="1" spans="1:30">
      <c r="A279" s="18" t="s">
        <v>2199</v>
      </c>
      <c r="B279" s="14" t="s">
        <v>105</v>
      </c>
      <c r="C279" s="14" t="s">
        <v>2200</v>
      </c>
      <c r="D279" s="14" t="s">
        <v>1618</v>
      </c>
      <c r="E279" s="14">
        <v>100</v>
      </c>
      <c r="F279" s="14">
        <v>158</v>
      </c>
      <c r="G279" s="14">
        <v>88</v>
      </c>
      <c r="H279" s="14">
        <v>90</v>
      </c>
      <c r="I279" s="14">
        <v>88</v>
      </c>
      <c r="J279" s="19">
        <v>50</v>
      </c>
      <c r="K279" s="14">
        <v>0</v>
      </c>
      <c r="L279" s="19">
        <v>100</v>
      </c>
      <c r="M279" s="14">
        <v>90</v>
      </c>
      <c r="N279" s="14">
        <v>40</v>
      </c>
      <c r="O279" s="14">
        <v>35</v>
      </c>
      <c r="P279" s="14">
        <v>3</v>
      </c>
      <c r="Q279" s="14">
        <v>40</v>
      </c>
      <c r="R279" s="21" t="s">
        <v>1856</v>
      </c>
      <c r="S279" s="21" t="s">
        <v>1857</v>
      </c>
      <c r="T279" s="21" t="s">
        <v>1857</v>
      </c>
      <c r="V279" s="14">
        <f t="shared" si="10"/>
        <v>32</v>
      </c>
      <c r="W279" s="14">
        <v>8</v>
      </c>
      <c r="X279" s="14">
        <v>8</v>
      </c>
      <c r="Y279" s="14">
        <v>8</v>
      </c>
      <c r="Z279" s="14">
        <v>8</v>
      </c>
      <c r="AA279" s="18"/>
      <c r="AD279" s="14" t="s">
        <v>2198</v>
      </c>
    </row>
    <row r="280" s="14" customFormat="1" spans="1:30">
      <c r="A280" s="18" t="s">
        <v>2201</v>
      </c>
      <c r="B280" s="14" t="s">
        <v>44</v>
      </c>
      <c r="C280" s="14" t="s">
        <v>1957</v>
      </c>
      <c r="D280" s="14" t="s">
        <v>1618</v>
      </c>
      <c r="E280" s="19">
        <v>100</v>
      </c>
      <c r="F280" s="14">
        <v>300</v>
      </c>
      <c r="G280" s="14">
        <v>110</v>
      </c>
      <c r="H280" s="14">
        <v>0</v>
      </c>
      <c r="I280" s="14">
        <v>150</v>
      </c>
      <c r="J280" s="19">
        <v>95</v>
      </c>
      <c r="K280" s="14">
        <v>0</v>
      </c>
      <c r="L280" s="19">
        <v>100</v>
      </c>
      <c r="M280" s="19">
        <v>60</v>
      </c>
      <c r="N280" s="19">
        <v>50</v>
      </c>
      <c r="O280" s="19">
        <v>38</v>
      </c>
      <c r="P280" s="19">
        <v>3</v>
      </c>
      <c r="Q280" s="19">
        <v>60</v>
      </c>
      <c r="R280" s="21" t="s">
        <v>1980</v>
      </c>
      <c r="S280" s="21" t="s">
        <v>1980</v>
      </c>
      <c r="T280" s="21" t="s">
        <v>2202</v>
      </c>
      <c r="U280" s="14" t="s">
        <v>1981</v>
      </c>
      <c r="V280" s="14">
        <f t="shared" si="10"/>
        <v>192</v>
      </c>
      <c r="W280" s="14">
        <v>48</v>
      </c>
      <c r="X280" s="14">
        <v>48</v>
      </c>
      <c r="Y280" s="14">
        <v>48</v>
      </c>
      <c r="Z280" s="14">
        <v>48</v>
      </c>
      <c r="AD280" s="14" t="s">
        <v>2198</v>
      </c>
    </row>
    <row r="281" s="14" customFormat="1" spans="1:30">
      <c r="A281" s="18" t="s">
        <v>2203</v>
      </c>
      <c r="B281" s="14" t="s">
        <v>37</v>
      </c>
      <c r="C281" s="14" t="s">
        <v>1993</v>
      </c>
      <c r="D281" s="14" t="s">
        <v>1618</v>
      </c>
      <c r="E281" s="19">
        <v>100</v>
      </c>
      <c r="F281" s="14">
        <v>300</v>
      </c>
      <c r="G281" s="14">
        <v>230</v>
      </c>
      <c r="H281" s="14">
        <v>0</v>
      </c>
      <c r="I281" s="14">
        <v>150</v>
      </c>
      <c r="J281" s="19">
        <v>90</v>
      </c>
      <c r="K281" s="14">
        <v>0</v>
      </c>
      <c r="L281" s="19">
        <v>100</v>
      </c>
      <c r="M281" s="19">
        <v>60</v>
      </c>
      <c r="N281" s="19">
        <v>85</v>
      </c>
      <c r="O281" s="19">
        <v>31</v>
      </c>
      <c r="P281" s="19">
        <v>4</v>
      </c>
      <c r="Q281" s="19">
        <v>60</v>
      </c>
      <c r="R281" s="21" t="s">
        <v>1964</v>
      </c>
      <c r="S281" s="21" t="s">
        <v>1964</v>
      </c>
      <c r="T281" s="21" t="s">
        <v>1968</v>
      </c>
      <c r="U281" s="14" t="s">
        <v>1724</v>
      </c>
      <c r="V281" s="14">
        <f t="shared" si="10"/>
        <v>48</v>
      </c>
      <c r="W281" s="14">
        <v>12</v>
      </c>
      <c r="X281" s="14">
        <v>12</v>
      </c>
      <c r="Y281" s="14">
        <v>12</v>
      </c>
      <c r="Z281" s="14">
        <v>12</v>
      </c>
      <c r="AD281" s="14" t="s">
        <v>2198</v>
      </c>
    </row>
    <row r="282" s="14" customFormat="1" spans="1:30">
      <c r="A282" s="18" t="s">
        <v>2204</v>
      </c>
      <c r="B282" s="14" t="s">
        <v>37</v>
      </c>
      <c r="C282" s="14" t="s">
        <v>2205</v>
      </c>
      <c r="D282" s="14" t="s">
        <v>1618</v>
      </c>
      <c r="E282" s="19">
        <v>100</v>
      </c>
      <c r="F282" s="14">
        <v>233</v>
      </c>
      <c r="G282" s="14">
        <v>5</v>
      </c>
      <c r="H282" s="14">
        <v>0</v>
      </c>
      <c r="I282" s="14">
        <v>100</v>
      </c>
      <c r="J282" s="19">
        <v>0</v>
      </c>
      <c r="K282" s="14">
        <v>0</v>
      </c>
      <c r="L282" s="19">
        <v>0</v>
      </c>
      <c r="M282" s="19">
        <v>1</v>
      </c>
      <c r="N282" s="19">
        <v>45</v>
      </c>
      <c r="O282" s="19">
        <v>28</v>
      </c>
      <c r="P282" s="19">
        <v>3</v>
      </c>
      <c r="Q282" s="19">
        <v>0</v>
      </c>
      <c r="R282" s="21"/>
      <c r="S282" s="21"/>
      <c r="T282" s="21"/>
      <c r="V282" s="14">
        <f t="shared" si="10"/>
        <v>12</v>
      </c>
      <c r="W282" s="14">
        <v>3</v>
      </c>
      <c r="X282" s="14">
        <v>3</v>
      </c>
      <c r="Y282" s="14">
        <v>3</v>
      </c>
      <c r="Z282" s="14">
        <v>3</v>
      </c>
      <c r="AD282" s="14" t="s">
        <v>2206</v>
      </c>
    </row>
    <row r="283" s="14" customFormat="1" spans="1:30">
      <c r="A283" s="18" t="s">
        <v>2207</v>
      </c>
      <c r="B283" s="14" t="s">
        <v>259</v>
      </c>
      <c r="C283" s="14" t="s">
        <v>2208</v>
      </c>
      <c r="D283" s="14" t="s">
        <v>1618</v>
      </c>
      <c r="E283" s="19">
        <v>95</v>
      </c>
      <c r="F283" s="14">
        <v>148</v>
      </c>
      <c r="G283" s="14">
        <v>72</v>
      </c>
      <c r="H283" s="14">
        <v>132</v>
      </c>
      <c r="I283" s="14">
        <v>72</v>
      </c>
      <c r="J283" s="19">
        <v>72</v>
      </c>
      <c r="K283" s="14">
        <v>95</v>
      </c>
      <c r="L283" s="19">
        <v>95</v>
      </c>
      <c r="M283" s="19">
        <v>100</v>
      </c>
      <c r="N283" s="19">
        <v>40</v>
      </c>
      <c r="O283" s="19">
        <v>45</v>
      </c>
      <c r="P283" s="19">
        <v>2</v>
      </c>
      <c r="Q283" s="19">
        <v>40</v>
      </c>
      <c r="R283" s="21" t="s">
        <v>1693</v>
      </c>
      <c r="S283" s="21" t="s">
        <v>1800</v>
      </c>
      <c r="T283" s="21"/>
      <c r="V283" s="14">
        <f t="shared" si="10"/>
        <v>0</v>
      </c>
      <c r="W283" s="14">
        <v>0</v>
      </c>
      <c r="X283" s="14">
        <v>0</v>
      </c>
      <c r="Y283" s="14">
        <v>0</v>
      </c>
      <c r="Z283" s="14">
        <v>0</v>
      </c>
      <c r="AA283" s="18">
        <v>103771</v>
      </c>
      <c r="AD283" s="14" t="s">
        <v>2206</v>
      </c>
    </row>
    <row r="284" s="14" customFormat="1" spans="1:30">
      <c r="A284" s="18" t="s">
        <v>2209</v>
      </c>
      <c r="B284" s="14" t="s">
        <v>259</v>
      </c>
      <c r="C284" s="14" t="s">
        <v>2210</v>
      </c>
      <c r="D284" s="14" t="s">
        <v>1618</v>
      </c>
      <c r="E284" s="19">
        <v>95</v>
      </c>
      <c r="F284" s="14">
        <v>148</v>
      </c>
      <c r="G284" s="14">
        <v>72</v>
      </c>
      <c r="H284" s="14">
        <v>132</v>
      </c>
      <c r="I284" s="14">
        <v>72</v>
      </c>
      <c r="J284" s="19">
        <v>72</v>
      </c>
      <c r="K284" s="14">
        <v>95</v>
      </c>
      <c r="L284" s="19">
        <v>95</v>
      </c>
      <c r="M284" s="19">
        <v>100</v>
      </c>
      <c r="N284" s="19">
        <v>40</v>
      </c>
      <c r="O284" s="19">
        <v>45</v>
      </c>
      <c r="P284" s="19">
        <v>2</v>
      </c>
      <c r="Q284" s="19">
        <v>40</v>
      </c>
      <c r="R284" s="21" t="s">
        <v>1693</v>
      </c>
      <c r="S284" s="21" t="s">
        <v>1800</v>
      </c>
      <c r="T284" s="21"/>
      <c r="V284" s="14">
        <f t="shared" si="10"/>
        <v>0</v>
      </c>
      <c r="W284" s="14">
        <v>0</v>
      </c>
      <c r="X284" s="14">
        <v>0</v>
      </c>
      <c r="Y284" s="14">
        <v>0</v>
      </c>
      <c r="Z284" s="14">
        <v>0</v>
      </c>
      <c r="AA284" s="18">
        <v>103771</v>
      </c>
      <c r="AD284" s="14" t="s">
        <v>2206</v>
      </c>
    </row>
    <row r="285" s="14" customFormat="1" spans="1:30">
      <c r="A285" s="18" t="s">
        <v>2211</v>
      </c>
      <c r="B285" s="14" t="s">
        <v>37</v>
      </c>
      <c r="C285" s="14" t="s">
        <v>1936</v>
      </c>
      <c r="D285" s="14" t="s">
        <v>1618</v>
      </c>
      <c r="E285" s="19">
        <v>100</v>
      </c>
      <c r="F285" s="14">
        <v>312</v>
      </c>
      <c r="G285" s="14">
        <v>232</v>
      </c>
      <c r="H285" s="14">
        <v>0</v>
      </c>
      <c r="I285" s="14">
        <v>160</v>
      </c>
      <c r="J285" s="19">
        <v>102</v>
      </c>
      <c r="K285" s="14">
        <v>0</v>
      </c>
      <c r="L285" s="19">
        <v>120</v>
      </c>
      <c r="M285" s="19">
        <v>55</v>
      </c>
      <c r="N285" s="19">
        <v>49</v>
      </c>
      <c r="O285" s="19">
        <v>31</v>
      </c>
      <c r="P285" s="19">
        <v>4</v>
      </c>
      <c r="Q285" s="19">
        <v>50</v>
      </c>
      <c r="R285" s="21" t="s">
        <v>1922</v>
      </c>
      <c r="S285" s="21" t="s">
        <v>1923</v>
      </c>
      <c r="T285" s="21" t="s">
        <v>1724</v>
      </c>
      <c r="U285" s="14" t="s">
        <v>1924</v>
      </c>
      <c r="V285" s="14">
        <f t="shared" si="10"/>
        <v>12</v>
      </c>
      <c r="W285" s="14">
        <v>3</v>
      </c>
      <c r="X285" s="14">
        <v>3</v>
      </c>
      <c r="Y285" s="14">
        <v>3</v>
      </c>
      <c r="Z285" s="14">
        <v>3</v>
      </c>
      <c r="AA285" s="18"/>
      <c r="AD285" s="14" t="s">
        <v>2206</v>
      </c>
    </row>
    <row r="286" s="14" customFormat="1" spans="1:30">
      <c r="A286" s="18" t="s">
        <v>2212</v>
      </c>
      <c r="B286" s="14" t="s">
        <v>37</v>
      </c>
      <c r="C286" s="14" t="s">
        <v>1933</v>
      </c>
      <c r="D286" s="14" t="s">
        <v>1618</v>
      </c>
      <c r="E286" s="19">
        <v>100</v>
      </c>
      <c r="F286" s="14">
        <v>306</v>
      </c>
      <c r="G286" s="14">
        <v>228</v>
      </c>
      <c r="H286" s="14">
        <v>0</v>
      </c>
      <c r="I286" s="14">
        <v>155</v>
      </c>
      <c r="J286" s="19">
        <v>102</v>
      </c>
      <c r="K286" s="14">
        <v>0</v>
      </c>
      <c r="L286" s="19">
        <v>120</v>
      </c>
      <c r="M286" s="19">
        <v>60</v>
      </c>
      <c r="N286" s="19">
        <v>49</v>
      </c>
      <c r="O286" s="19">
        <v>30</v>
      </c>
      <c r="P286" s="19">
        <v>4</v>
      </c>
      <c r="Q286" s="19">
        <v>50</v>
      </c>
      <c r="R286" s="21" t="s">
        <v>1922</v>
      </c>
      <c r="S286" s="21" t="s">
        <v>1923</v>
      </c>
      <c r="T286" s="21" t="s">
        <v>1724</v>
      </c>
      <c r="U286" s="14" t="s">
        <v>1924</v>
      </c>
      <c r="V286" s="14">
        <f t="shared" si="10"/>
        <v>12</v>
      </c>
      <c r="W286" s="14">
        <v>3</v>
      </c>
      <c r="X286" s="14">
        <v>3</v>
      </c>
      <c r="Y286" s="14">
        <v>3</v>
      </c>
      <c r="Z286" s="14">
        <v>3</v>
      </c>
      <c r="AD286" s="14" t="s">
        <v>2206</v>
      </c>
    </row>
    <row r="287" s="14" customFormat="1" spans="1:30">
      <c r="A287" s="18" t="s">
        <v>2213</v>
      </c>
      <c r="B287" s="14" t="s">
        <v>1960</v>
      </c>
      <c r="C287" s="14" t="s">
        <v>2028</v>
      </c>
      <c r="D287" s="14" t="s">
        <v>1618</v>
      </c>
      <c r="E287" s="19">
        <v>100</v>
      </c>
      <c r="F287" s="14">
        <v>333</v>
      </c>
      <c r="G287" s="14">
        <v>5</v>
      </c>
      <c r="H287" s="14">
        <v>0</v>
      </c>
      <c r="I287" s="14">
        <v>0</v>
      </c>
      <c r="J287" s="19">
        <v>150</v>
      </c>
      <c r="K287" s="14">
        <v>0</v>
      </c>
      <c r="L287" s="19">
        <v>0</v>
      </c>
      <c r="M287" s="19">
        <v>0</v>
      </c>
      <c r="N287" s="19">
        <v>60</v>
      </c>
      <c r="O287" s="19">
        <v>1</v>
      </c>
      <c r="P287" s="19">
        <v>3</v>
      </c>
      <c r="Q287" s="19">
        <v>0</v>
      </c>
      <c r="R287" s="21" t="s">
        <v>1980</v>
      </c>
      <c r="S287" s="21" t="s">
        <v>1980</v>
      </c>
      <c r="T287" s="21" t="s">
        <v>1980</v>
      </c>
      <c r="U287" s="14" t="s">
        <v>1980</v>
      </c>
      <c r="V287" s="14">
        <f t="shared" si="10"/>
        <v>60</v>
      </c>
      <c r="W287" s="14">
        <v>15</v>
      </c>
      <c r="X287" s="14">
        <v>15</v>
      </c>
      <c r="Y287" s="14">
        <v>15</v>
      </c>
      <c r="Z287" s="14">
        <v>15</v>
      </c>
      <c r="AD287" s="14" t="s">
        <v>2214</v>
      </c>
    </row>
    <row r="288" s="14" customFormat="1" spans="1:30">
      <c r="A288" s="18" t="s">
        <v>2215</v>
      </c>
      <c r="B288" s="14" t="s">
        <v>1960</v>
      </c>
      <c r="C288" s="14" t="s">
        <v>2028</v>
      </c>
      <c r="D288" s="14" t="s">
        <v>1618</v>
      </c>
      <c r="E288" s="19">
        <v>100</v>
      </c>
      <c r="F288" s="14">
        <v>396</v>
      </c>
      <c r="G288" s="14">
        <v>150</v>
      </c>
      <c r="H288" s="14">
        <v>0</v>
      </c>
      <c r="I288" s="14">
        <v>50</v>
      </c>
      <c r="J288" s="19">
        <v>150</v>
      </c>
      <c r="K288" s="14">
        <v>0</v>
      </c>
      <c r="L288" s="19">
        <v>120</v>
      </c>
      <c r="M288" s="19">
        <v>0</v>
      </c>
      <c r="N288" s="19">
        <v>60</v>
      </c>
      <c r="O288" s="19">
        <v>1</v>
      </c>
      <c r="P288" s="19">
        <v>3</v>
      </c>
      <c r="Q288" s="19">
        <v>60</v>
      </c>
      <c r="R288" s="21" t="s">
        <v>2029</v>
      </c>
      <c r="S288" s="21" t="s">
        <v>2029</v>
      </c>
      <c r="T288" s="21" t="s">
        <v>1980</v>
      </c>
      <c r="U288" s="14" t="s">
        <v>1980</v>
      </c>
      <c r="V288" s="14">
        <f t="shared" si="10"/>
        <v>60</v>
      </c>
      <c r="W288" s="14">
        <v>15</v>
      </c>
      <c r="X288" s="14">
        <v>15</v>
      </c>
      <c r="Y288" s="14">
        <v>15</v>
      </c>
      <c r="Z288" s="14">
        <v>15</v>
      </c>
      <c r="AD288" s="14" t="s">
        <v>2214</v>
      </c>
    </row>
    <row r="289" s="14" customFormat="1" spans="1:30">
      <c r="A289" s="18" t="s">
        <v>2216</v>
      </c>
      <c r="B289" s="14" t="s">
        <v>44</v>
      </c>
      <c r="C289" s="14" t="s">
        <v>1957</v>
      </c>
      <c r="D289" s="14" t="s">
        <v>1618</v>
      </c>
      <c r="E289" s="19">
        <v>100</v>
      </c>
      <c r="F289" s="14">
        <v>450</v>
      </c>
      <c r="G289" s="14">
        <v>210</v>
      </c>
      <c r="H289" s="14">
        <v>0</v>
      </c>
      <c r="I289" s="14">
        <v>200</v>
      </c>
      <c r="J289" s="19">
        <v>95</v>
      </c>
      <c r="K289" s="14">
        <v>0</v>
      </c>
      <c r="L289" s="19">
        <v>130</v>
      </c>
      <c r="M289" s="19">
        <v>80</v>
      </c>
      <c r="N289" s="19">
        <v>50</v>
      </c>
      <c r="O289" s="19">
        <v>38</v>
      </c>
      <c r="P289" s="19">
        <v>3</v>
      </c>
      <c r="Q289" s="19">
        <v>60</v>
      </c>
      <c r="R289" s="21" t="s">
        <v>1980</v>
      </c>
      <c r="S289" s="21" t="s">
        <v>1980</v>
      </c>
      <c r="T289" s="21" t="s">
        <v>2202</v>
      </c>
      <c r="U289" s="14" t="s">
        <v>1981</v>
      </c>
      <c r="V289" s="14">
        <f t="shared" si="10"/>
        <v>192</v>
      </c>
      <c r="W289" s="14">
        <v>48</v>
      </c>
      <c r="X289" s="14">
        <v>48</v>
      </c>
      <c r="Y289" s="14">
        <v>48</v>
      </c>
      <c r="Z289" s="14">
        <v>48</v>
      </c>
      <c r="AD289" s="14" t="s">
        <v>2214</v>
      </c>
    </row>
    <row r="290" s="14" customFormat="1" spans="1:30">
      <c r="A290" s="18" t="s">
        <v>2217</v>
      </c>
      <c r="B290" s="14" t="s">
        <v>29</v>
      </c>
      <c r="C290" s="14" t="s">
        <v>2166</v>
      </c>
      <c r="D290" s="14" t="s">
        <v>1618</v>
      </c>
      <c r="E290" s="19">
        <v>100</v>
      </c>
      <c r="F290" s="14">
        <v>266</v>
      </c>
      <c r="G290" s="14">
        <v>133</v>
      </c>
      <c r="H290" s="14">
        <v>0</v>
      </c>
      <c r="I290" s="14">
        <v>150</v>
      </c>
      <c r="J290" s="19">
        <v>120</v>
      </c>
      <c r="K290" s="14">
        <v>0</v>
      </c>
      <c r="L290" s="19">
        <v>120</v>
      </c>
      <c r="M290" s="19">
        <v>77</v>
      </c>
      <c r="N290" s="19">
        <v>69</v>
      </c>
      <c r="O290" s="19">
        <v>34</v>
      </c>
      <c r="P290" s="19">
        <v>1</v>
      </c>
      <c r="Q290" s="19">
        <v>60</v>
      </c>
      <c r="R290" s="21" t="s">
        <v>2029</v>
      </c>
      <c r="S290" s="21" t="s">
        <v>2029</v>
      </c>
      <c r="T290" s="21" t="s">
        <v>2218</v>
      </c>
      <c r="U290" s="14" t="s">
        <v>2219</v>
      </c>
      <c r="V290" s="14">
        <f t="shared" si="10"/>
        <v>168</v>
      </c>
      <c r="W290" s="14">
        <v>48</v>
      </c>
      <c r="X290" s="14">
        <v>48</v>
      </c>
      <c r="Y290" s="14">
        <v>48</v>
      </c>
      <c r="Z290" s="14">
        <v>24</v>
      </c>
      <c r="AD290" s="14" t="s">
        <v>2214</v>
      </c>
    </row>
    <row r="291" s="14" customFormat="1" spans="1:30">
      <c r="A291" s="18" t="s">
        <v>2220</v>
      </c>
      <c r="B291" s="14" t="s">
        <v>259</v>
      </c>
      <c r="C291" s="14" t="s">
        <v>2221</v>
      </c>
      <c r="D291" s="14" t="s">
        <v>1618</v>
      </c>
      <c r="E291" s="19">
        <v>115</v>
      </c>
      <c r="F291" s="14">
        <v>84</v>
      </c>
      <c r="G291" s="14">
        <v>52</v>
      </c>
      <c r="H291" s="14">
        <v>140</v>
      </c>
      <c r="I291" s="14">
        <v>65</v>
      </c>
      <c r="J291" s="19">
        <v>130</v>
      </c>
      <c r="K291" s="14">
        <v>96</v>
      </c>
      <c r="L291" s="19">
        <v>130</v>
      </c>
      <c r="M291" s="19">
        <v>145</v>
      </c>
      <c r="N291" s="19">
        <v>40</v>
      </c>
      <c r="O291" s="19">
        <v>35</v>
      </c>
      <c r="P291" s="19">
        <v>3</v>
      </c>
      <c r="Q291" s="19">
        <v>600</v>
      </c>
      <c r="R291" s="21" t="s">
        <v>1720</v>
      </c>
      <c r="S291" s="21" t="s">
        <v>1800</v>
      </c>
      <c r="T291" s="21" t="s">
        <v>1803</v>
      </c>
      <c r="U291" s="14" t="s">
        <v>1633</v>
      </c>
      <c r="V291" s="14">
        <f t="shared" si="10"/>
        <v>0</v>
      </c>
      <c r="W291" s="14">
        <v>0</v>
      </c>
      <c r="X291" s="14">
        <v>0</v>
      </c>
      <c r="Y291" s="14">
        <v>0</v>
      </c>
      <c r="Z291" s="14">
        <v>0</v>
      </c>
      <c r="AA291" s="18" t="s">
        <v>2222</v>
      </c>
      <c r="AD291" s="14" t="s">
        <v>2214</v>
      </c>
    </row>
    <row r="292" s="14" customFormat="1" spans="1:30">
      <c r="A292" s="18" t="s">
        <v>2223</v>
      </c>
      <c r="B292" s="14" t="s">
        <v>29</v>
      </c>
      <c r="C292" s="14" t="s">
        <v>2071</v>
      </c>
      <c r="D292" s="14" t="s">
        <v>1618</v>
      </c>
      <c r="E292" s="19">
        <v>95</v>
      </c>
      <c r="F292" s="14">
        <v>324</v>
      </c>
      <c r="G292" s="14">
        <v>200</v>
      </c>
      <c r="H292" s="14">
        <v>0</v>
      </c>
      <c r="I292" s="14">
        <v>200</v>
      </c>
      <c r="J292" s="19">
        <v>275</v>
      </c>
      <c r="K292" s="14">
        <v>0</v>
      </c>
      <c r="L292" s="19">
        <v>110</v>
      </c>
      <c r="M292" s="19">
        <v>71</v>
      </c>
      <c r="N292" s="19">
        <v>65</v>
      </c>
      <c r="O292" s="19">
        <v>30</v>
      </c>
      <c r="P292" s="19">
        <v>1</v>
      </c>
      <c r="Q292" s="19">
        <v>70</v>
      </c>
      <c r="R292" s="21" t="s">
        <v>2029</v>
      </c>
      <c r="S292" s="21" t="s">
        <v>2029</v>
      </c>
      <c r="T292" s="21" t="s">
        <v>2218</v>
      </c>
      <c r="U292" s="14" t="s">
        <v>2219</v>
      </c>
      <c r="V292" s="14">
        <f t="shared" si="10"/>
        <v>180</v>
      </c>
      <c r="W292" s="14">
        <v>48</v>
      </c>
      <c r="X292" s="14">
        <v>48</v>
      </c>
      <c r="Y292" s="14">
        <v>48</v>
      </c>
      <c r="Z292" s="14">
        <v>36</v>
      </c>
      <c r="AD292" s="14" t="s">
        <v>2214</v>
      </c>
    </row>
    <row r="293" s="14" customFormat="1" spans="1:30">
      <c r="A293" s="18" t="s">
        <v>2224</v>
      </c>
      <c r="B293" s="14" t="s">
        <v>231</v>
      </c>
      <c r="C293" s="14" t="s">
        <v>2225</v>
      </c>
      <c r="D293" s="14" t="s">
        <v>1618</v>
      </c>
      <c r="E293" s="19">
        <v>95</v>
      </c>
      <c r="F293" s="14">
        <v>164</v>
      </c>
      <c r="G293" s="14">
        <v>106</v>
      </c>
      <c r="H293" s="14">
        <v>0</v>
      </c>
      <c r="I293" s="14">
        <v>121</v>
      </c>
      <c r="J293" s="19">
        <v>100</v>
      </c>
      <c r="K293" s="14">
        <v>0</v>
      </c>
      <c r="L293" s="19">
        <v>100</v>
      </c>
      <c r="M293" s="19">
        <v>52</v>
      </c>
      <c r="N293" s="19">
        <v>48</v>
      </c>
      <c r="O293" s="19">
        <v>26</v>
      </c>
      <c r="P293" s="19">
        <v>1</v>
      </c>
      <c r="Q293" s="19">
        <v>60</v>
      </c>
      <c r="R293" s="21" t="s">
        <v>2029</v>
      </c>
      <c r="S293" s="21" t="s">
        <v>1980</v>
      </c>
      <c r="T293" s="21" t="s">
        <v>1980</v>
      </c>
      <c r="U293" s="14" t="s">
        <v>2219</v>
      </c>
      <c r="V293" s="14">
        <f t="shared" si="10"/>
        <v>128</v>
      </c>
      <c r="W293" s="14">
        <v>36</v>
      </c>
      <c r="X293" s="14">
        <v>36</v>
      </c>
      <c r="Y293" s="14">
        <v>36</v>
      </c>
      <c r="Z293" s="14">
        <v>20</v>
      </c>
      <c r="AD293" s="14" t="s">
        <v>2214</v>
      </c>
    </row>
    <row r="294" s="14" customFormat="1" spans="1:30">
      <c r="A294" s="18" t="s">
        <v>2226</v>
      </c>
      <c r="B294" s="14" t="s">
        <v>1845</v>
      </c>
      <c r="C294" s="14" t="s">
        <v>2227</v>
      </c>
      <c r="D294" s="14" t="s">
        <v>1618</v>
      </c>
      <c r="E294" s="19">
        <v>95</v>
      </c>
      <c r="F294" s="14">
        <v>180</v>
      </c>
      <c r="G294" s="14">
        <v>144</v>
      </c>
      <c r="H294" s="14">
        <v>0</v>
      </c>
      <c r="I294" s="14">
        <v>107</v>
      </c>
      <c r="J294" s="19">
        <v>90</v>
      </c>
      <c r="K294" s="14">
        <v>0</v>
      </c>
      <c r="L294" s="19">
        <v>100</v>
      </c>
      <c r="M294" s="19">
        <v>53</v>
      </c>
      <c r="N294" s="19">
        <v>36</v>
      </c>
      <c r="O294" s="19">
        <v>21</v>
      </c>
      <c r="P294" s="19">
        <v>3</v>
      </c>
      <c r="Q294" s="19">
        <v>60</v>
      </c>
      <c r="R294" s="21" t="s">
        <v>2228</v>
      </c>
      <c r="S294" s="21" t="s">
        <v>2228</v>
      </c>
      <c r="T294" s="21" t="s">
        <v>2229</v>
      </c>
      <c r="U294" s="14" t="s">
        <v>1981</v>
      </c>
      <c r="V294" s="14">
        <f t="shared" si="10"/>
        <v>60</v>
      </c>
      <c r="W294" s="14">
        <v>0</v>
      </c>
      <c r="X294" s="14">
        <v>0</v>
      </c>
      <c r="Y294" s="14">
        <v>0</v>
      </c>
      <c r="Z294" s="14">
        <v>60</v>
      </c>
      <c r="AD294" s="14" t="s">
        <v>2214</v>
      </c>
    </row>
    <row r="295" s="14" customFormat="1" spans="1:30">
      <c r="A295" s="18" t="s">
        <v>2230</v>
      </c>
      <c r="B295" s="14" t="s">
        <v>1845</v>
      </c>
      <c r="C295" s="14" t="s">
        <v>2231</v>
      </c>
      <c r="D295" s="14" t="s">
        <v>1618</v>
      </c>
      <c r="E295" s="19">
        <v>95</v>
      </c>
      <c r="F295" s="14">
        <v>180</v>
      </c>
      <c r="G295" s="14">
        <v>144</v>
      </c>
      <c r="H295" s="14">
        <v>0</v>
      </c>
      <c r="I295" s="14">
        <v>107</v>
      </c>
      <c r="J295" s="19">
        <v>90</v>
      </c>
      <c r="K295" s="14">
        <v>0</v>
      </c>
      <c r="L295" s="19">
        <v>100</v>
      </c>
      <c r="M295" s="19">
        <v>53</v>
      </c>
      <c r="N295" s="19">
        <v>36</v>
      </c>
      <c r="O295" s="19">
        <v>21</v>
      </c>
      <c r="P295" s="19">
        <v>3</v>
      </c>
      <c r="Q295" s="19">
        <v>60</v>
      </c>
      <c r="R295" s="21" t="s">
        <v>2228</v>
      </c>
      <c r="S295" s="21" t="s">
        <v>2228</v>
      </c>
      <c r="T295" s="21" t="s">
        <v>2229</v>
      </c>
      <c r="U295" s="14" t="s">
        <v>1981</v>
      </c>
      <c r="V295" s="14">
        <f t="shared" si="10"/>
        <v>60</v>
      </c>
      <c r="W295" s="14">
        <v>0</v>
      </c>
      <c r="X295" s="14">
        <v>0</v>
      </c>
      <c r="Y295" s="14">
        <v>0</v>
      </c>
      <c r="Z295" s="14">
        <v>60</v>
      </c>
      <c r="AD295" s="14" t="s">
        <v>2214</v>
      </c>
    </row>
    <row r="296" s="14" customFormat="1" spans="1:30">
      <c r="A296" s="18" t="s">
        <v>2232</v>
      </c>
      <c r="B296" s="14" t="s">
        <v>37</v>
      </c>
      <c r="C296" s="14" t="s">
        <v>2233</v>
      </c>
      <c r="D296" s="14" t="s">
        <v>1618</v>
      </c>
      <c r="E296" s="19">
        <v>100</v>
      </c>
      <c r="F296" s="14">
        <v>450</v>
      </c>
      <c r="G296" s="14">
        <v>450</v>
      </c>
      <c r="H296" s="14">
        <v>0</v>
      </c>
      <c r="I296" s="14">
        <v>233</v>
      </c>
      <c r="J296" s="19">
        <v>151</v>
      </c>
      <c r="K296" s="14">
        <v>0</v>
      </c>
      <c r="L296" s="19">
        <v>120</v>
      </c>
      <c r="M296" s="19">
        <v>60</v>
      </c>
      <c r="N296" s="19">
        <v>38</v>
      </c>
      <c r="O296" s="19">
        <v>28</v>
      </c>
      <c r="P296" s="19">
        <v>4</v>
      </c>
      <c r="Q296" s="19">
        <v>60</v>
      </c>
      <c r="R296" s="21" t="s">
        <v>1964</v>
      </c>
      <c r="S296" s="21" t="s">
        <v>1964</v>
      </c>
      <c r="T296" s="21" t="s">
        <v>1678</v>
      </c>
      <c r="U296" s="14" t="s">
        <v>1968</v>
      </c>
      <c r="V296" s="14">
        <f t="shared" si="10"/>
        <v>0</v>
      </c>
      <c r="W296" s="14">
        <v>0</v>
      </c>
      <c r="X296" s="14">
        <v>0</v>
      </c>
      <c r="Y296" s="14">
        <v>0</v>
      </c>
      <c r="Z296" s="14">
        <v>0</v>
      </c>
      <c r="AD296" s="14" t="s">
        <v>2214</v>
      </c>
    </row>
    <row r="297" s="14" customFormat="1" spans="1:30">
      <c r="A297" s="18" t="s">
        <v>2234</v>
      </c>
      <c r="B297" s="14" t="s">
        <v>37</v>
      </c>
      <c r="C297" s="14" t="s">
        <v>2235</v>
      </c>
      <c r="D297" s="14" t="s">
        <v>1618</v>
      </c>
      <c r="E297" s="19">
        <v>100</v>
      </c>
      <c r="F297" s="14">
        <v>333</v>
      </c>
      <c r="G297" s="14">
        <v>450</v>
      </c>
      <c r="H297" s="14">
        <v>0</v>
      </c>
      <c r="I297" s="14">
        <v>200</v>
      </c>
      <c r="J297" s="19">
        <v>151</v>
      </c>
      <c r="K297" s="14">
        <v>0</v>
      </c>
      <c r="L297" s="19">
        <v>120</v>
      </c>
      <c r="M297" s="19">
        <v>60</v>
      </c>
      <c r="N297" s="19">
        <v>38</v>
      </c>
      <c r="O297" s="19">
        <v>28</v>
      </c>
      <c r="P297" s="19">
        <v>4</v>
      </c>
      <c r="Q297" s="19">
        <v>60</v>
      </c>
      <c r="R297" s="21" t="s">
        <v>1964</v>
      </c>
      <c r="S297" s="21" t="s">
        <v>1964</v>
      </c>
      <c r="T297" s="21" t="s">
        <v>1678</v>
      </c>
      <c r="U297" s="14" t="s">
        <v>1968</v>
      </c>
      <c r="V297" s="14">
        <f t="shared" si="10"/>
        <v>0</v>
      </c>
      <c r="W297" s="14">
        <v>0</v>
      </c>
      <c r="X297" s="14">
        <v>0</v>
      </c>
      <c r="Y297" s="14">
        <v>0</v>
      </c>
      <c r="Z297" s="14">
        <v>0</v>
      </c>
      <c r="AD297" s="14" t="s">
        <v>2214</v>
      </c>
    </row>
    <row r="298" s="14" customFormat="1" spans="1:30">
      <c r="A298" s="18" t="s">
        <v>2236</v>
      </c>
      <c r="B298" s="14" t="s">
        <v>84</v>
      </c>
      <c r="C298" s="14" t="s">
        <v>2237</v>
      </c>
      <c r="D298" s="14" t="s">
        <v>1618</v>
      </c>
      <c r="E298" s="19">
        <v>95</v>
      </c>
      <c r="F298" s="14">
        <v>154</v>
      </c>
      <c r="G298" s="14">
        <v>250</v>
      </c>
      <c r="H298" s="14">
        <v>82</v>
      </c>
      <c r="I298" s="14">
        <v>125</v>
      </c>
      <c r="J298" s="19">
        <v>151</v>
      </c>
      <c r="K298" s="14">
        <v>0</v>
      </c>
      <c r="L298" s="19">
        <v>120</v>
      </c>
      <c r="M298" s="19">
        <v>70</v>
      </c>
      <c r="N298" s="19">
        <v>55</v>
      </c>
      <c r="O298" s="19">
        <v>28</v>
      </c>
      <c r="P298" s="19">
        <v>3</v>
      </c>
      <c r="Q298" s="19">
        <v>60</v>
      </c>
      <c r="R298" s="21" t="s">
        <v>2238</v>
      </c>
      <c r="S298" s="21" t="s">
        <v>2238</v>
      </c>
      <c r="T298" s="21" t="s">
        <v>2239</v>
      </c>
      <c r="U298" s="14" t="s">
        <v>2240</v>
      </c>
      <c r="V298" s="14">
        <f t="shared" si="10"/>
        <v>0</v>
      </c>
      <c r="W298" s="14">
        <v>0</v>
      </c>
      <c r="X298" s="14">
        <v>0</v>
      </c>
      <c r="Y298" s="14">
        <v>0</v>
      </c>
      <c r="Z298" s="14">
        <v>0</v>
      </c>
      <c r="AD298" s="14" t="s">
        <v>2214</v>
      </c>
    </row>
    <row r="299" s="14" customFormat="1" spans="1:30">
      <c r="A299" s="18" t="s">
        <v>2241</v>
      </c>
      <c r="B299" s="14" t="s">
        <v>87</v>
      </c>
      <c r="C299" s="14" t="s">
        <v>2242</v>
      </c>
      <c r="D299" s="14" t="s">
        <v>1618</v>
      </c>
      <c r="E299" s="19">
        <v>100</v>
      </c>
      <c r="F299" s="14">
        <v>88</v>
      </c>
      <c r="G299" s="14">
        <v>0</v>
      </c>
      <c r="H299" s="14">
        <v>168</v>
      </c>
      <c r="I299" s="14">
        <v>50</v>
      </c>
      <c r="J299" s="19">
        <v>0</v>
      </c>
      <c r="K299" s="14">
        <v>0</v>
      </c>
      <c r="L299" s="19">
        <v>105</v>
      </c>
      <c r="M299" s="19">
        <v>105</v>
      </c>
      <c r="N299" s="19">
        <v>30</v>
      </c>
      <c r="O299" s="19">
        <v>25</v>
      </c>
      <c r="P299" s="19">
        <v>1</v>
      </c>
      <c r="Q299" s="19">
        <v>150</v>
      </c>
      <c r="R299" s="21" t="s">
        <v>1641</v>
      </c>
      <c r="S299" s="21" t="s">
        <v>1641</v>
      </c>
      <c r="T299" s="21"/>
      <c r="V299" s="14">
        <f t="shared" si="10"/>
        <v>0</v>
      </c>
      <c r="W299" s="14">
        <v>0</v>
      </c>
      <c r="X299" s="14">
        <v>0</v>
      </c>
      <c r="Y299" s="14">
        <v>0</v>
      </c>
      <c r="Z299" s="14">
        <v>0</v>
      </c>
      <c r="AD299" s="14" t="s">
        <v>2214</v>
      </c>
    </row>
    <row r="300" s="14" customFormat="1" spans="1:30">
      <c r="A300" s="18" t="s">
        <v>2243</v>
      </c>
      <c r="B300" s="14" t="s">
        <v>37</v>
      </c>
      <c r="C300" s="14" t="s">
        <v>1993</v>
      </c>
      <c r="D300" s="14" t="s">
        <v>1618</v>
      </c>
      <c r="E300" s="19">
        <v>100</v>
      </c>
      <c r="F300" s="14">
        <v>450</v>
      </c>
      <c r="G300" s="14">
        <v>330</v>
      </c>
      <c r="H300" s="14">
        <v>0</v>
      </c>
      <c r="I300" s="14">
        <v>250</v>
      </c>
      <c r="J300" s="19">
        <v>95</v>
      </c>
      <c r="K300" s="14">
        <v>0</v>
      </c>
      <c r="L300" s="19">
        <v>130</v>
      </c>
      <c r="M300" s="19">
        <v>80</v>
      </c>
      <c r="N300" s="19">
        <v>43</v>
      </c>
      <c r="O300" s="19">
        <v>27</v>
      </c>
      <c r="P300" s="19">
        <v>4</v>
      </c>
      <c r="Q300" s="19">
        <v>120</v>
      </c>
      <c r="R300" s="21" t="s">
        <v>1964</v>
      </c>
      <c r="S300" s="21" t="s">
        <v>1964</v>
      </c>
      <c r="T300" s="21" t="s">
        <v>1968</v>
      </c>
      <c r="U300" s="14" t="s">
        <v>1724</v>
      </c>
      <c r="V300" s="14">
        <f t="shared" si="10"/>
        <v>48</v>
      </c>
      <c r="W300" s="14">
        <v>12</v>
      </c>
      <c r="X300" s="14">
        <v>12</v>
      </c>
      <c r="Y300" s="14">
        <v>12</v>
      </c>
      <c r="Z300" s="14">
        <v>12</v>
      </c>
      <c r="AD300" s="14" t="s">
        <v>2214</v>
      </c>
    </row>
    <row r="301" s="14" customFormat="1" spans="1:30">
      <c r="A301" s="18" t="s">
        <v>2244</v>
      </c>
      <c r="B301" s="14" t="s">
        <v>37</v>
      </c>
      <c r="C301" s="14" t="s">
        <v>1967</v>
      </c>
      <c r="D301" s="14" t="s">
        <v>1618</v>
      </c>
      <c r="E301" s="19">
        <v>100</v>
      </c>
      <c r="F301" s="14">
        <v>300</v>
      </c>
      <c r="G301" s="14">
        <v>270</v>
      </c>
      <c r="H301" s="14">
        <v>0</v>
      </c>
      <c r="I301" s="14">
        <v>180</v>
      </c>
      <c r="J301" s="19">
        <v>81</v>
      </c>
      <c r="K301" s="14">
        <v>0</v>
      </c>
      <c r="L301" s="19">
        <v>130</v>
      </c>
      <c r="M301" s="19">
        <v>45</v>
      </c>
      <c r="N301" s="19">
        <v>36</v>
      </c>
      <c r="O301" s="19">
        <v>27</v>
      </c>
      <c r="P301" s="19">
        <v>4</v>
      </c>
      <c r="Q301" s="19">
        <v>60</v>
      </c>
      <c r="R301" s="21" t="s">
        <v>1964</v>
      </c>
      <c r="S301" s="21" t="s">
        <v>1964</v>
      </c>
      <c r="T301" s="21" t="s">
        <v>1968</v>
      </c>
      <c r="U301" s="14" t="s">
        <v>1724</v>
      </c>
      <c r="V301" s="14">
        <f t="shared" si="10"/>
        <v>20</v>
      </c>
      <c r="W301" s="14">
        <v>5</v>
      </c>
      <c r="X301" s="14">
        <v>5</v>
      </c>
      <c r="Y301" s="14">
        <v>5</v>
      </c>
      <c r="Z301" s="14">
        <v>5</v>
      </c>
      <c r="AD301" s="14" t="s">
        <v>2214</v>
      </c>
    </row>
    <row r="302" s="14" customFormat="1" spans="1:30">
      <c r="A302" s="18" t="s">
        <v>2245</v>
      </c>
      <c r="B302" s="14" t="s">
        <v>37</v>
      </c>
      <c r="C302" s="14" t="s">
        <v>2246</v>
      </c>
      <c r="D302" s="14" t="s">
        <v>1618</v>
      </c>
      <c r="E302" s="19">
        <v>100</v>
      </c>
      <c r="F302" s="14">
        <v>300</v>
      </c>
      <c r="G302" s="14">
        <v>200</v>
      </c>
      <c r="H302" s="14">
        <v>0</v>
      </c>
      <c r="I302" s="14">
        <v>180</v>
      </c>
      <c r="J302" s="19">
        <v>131</v>
      </c>
      <c r="K302" s="14">
        <v>0</v>
      </c>
      <c r="L302" s="19">
        <v>130</v>
      </c>
      <c r="M302" s="19">
        <v>49</v>
      </c>
      <c r="N302" s="19">
        <v>53</v>
      </c>
      <c r="O302" s="19">
        <v>27</v>
      </c>
      <c r="P302" s="19">
        <v>4</v>
      </c>
      <c r="Q302" s="19">
        <v>60</v>
      </c>
      <c r="R302" s="21" t="s">
        <v>1964</v>
      </c>
      <c r="S302" s="21" t="s">
        <v>1964</v>
      </c>
      <c r="T302" s="21" t="s">
        <v>1968</v>
      </c>
      <c r="U302" s="14" t="s">
        <v>1724</v>
      </c>
      <c r="V302" s="14">
        <f t="shared" si="10"/>
        <v>0</v>
      </c>
      <c r="W302" s="14">
        <v>0</v>
      </c>
      <c r="X302" s="14">
        <v>0</v>
      </c>
      <c r="Y302" s="14">
        <v>0</v>
      </c>
      <c r="Z302" s="14">
        <v>0</v>
      </c>
      <c r="AD302" s="14" t="s">
        <v>2214</v>
      </c>
    </row>
    <row r="303" s="14" customFormat="1" spans="1:30">
      <c r="A303" s="18" t="s">
        <v>2247</v>
      </c>
      <c r="B303" s="14" t="s">
        <v>51</v>
      </c>
      <c r="C303" s="14" t="s">
        <v>2035</v>
      </c>
      <c r="D303" s="14" t="s">
        <v>1618</v>
      </c>
      <c r="E303" s="19">
        <v>100</v>
      </c>
      <c r="F303" s="14">
        <v>300</v>
      </c>
      <c r="G303" s="14">
        <v>220</v>
      </c>
      <c r="H303" s="14">
        <v>0</v>
      </c>
      <c r="I303" s="14">
        <v>180</v>
      </c>
      <c r="J303" s="19">
        <v>150</v>
      </c>
      <c r="K303" s="14">
        <v>0</v>
      </c>
      <c r="L303" s="19">
        <v>130</v>
      </c>
      <c r="M303" s="19">
        <v>47</v>
      </c>
      <c r="N303" s="19">
        <v>60</v>
      </c>
      <c r="O303" s="19">
        <v>28</v>
      </c>
      <c r="P303" s="19">
        <v>3</v>
      </c>
      <c r="Q303" s="19">
        <v>60</v>
      </c>
      <c r="R303" s="21" t="s">
        <v>2248</v>
      </c>
      <c r="S303" s="21" t="s">
        <v>2249</v>
      </c>
      <c r="T303" s="21" t="s">
        <v>2250</v>
      </c>
      <c r="V303" s="14">
        <f t="shared" si="10"/>
        <v>0</v>
      </c>
      <c r="W303" s="14">
        <v>0</v>
      </c>
      <c r="X303" s="14">
        <v>0</v>
      </c>
      <c r="Y303" s="14">
        <v>0</v>
      </c>
      <c r="Z303" s="14">
        <v>0</v>
      </c>
      <c r="AD303" s="14" t="s">
        <v>2214</v>
      </c>
    </row>
    <row r="304" s="14" customFormat="1" spans="1:30">
      <c r="A304" s="18" t="s">
        <v>2251</v>
      </c>
      <c r="B304" s="14" t="s">
        <v>37</v>
      </c>
      <c r="C304" s="14" t="s">
        <v>1963</v>
      </c>
      <c r="D304" s="14" t="s">
        <v>1618</v>
      </c>
      <c r="E304" s="19">
        <v>100</v>
      </c>
      <c r="F304" s="14">
        <v>450</v>
      </c>
      <c r="G304" s="14">
        <v>500</v>
      </c>
      <c r="H304" s="14">
        <v>0</v>
      </c>
      <c r="I304" s="14">
        <v>250</v>
      </c>
      <c r="J304" s="19">
        <v>118</v>
      </c>
      <c r="K304" s="14">
        <v>0</v>
      </c>
      <c r="L304" s="19">
        <v>150</v>
      </c>
      <c r="M304" s="19">
        <v>47</v>
      </c>
      <c r="N304" s="19">
        <v>50</v>
      </c>
      <c r="O304" s="19">
        <v>27</v>
      </c>
      <c r="P304" s="19">
        <v>4</v>
      </c>
      <c r="Q304" s="19">
        <v>150</v>
      </c>
      <c r="R304" s="21" t="s">
        <v>1964</v>
      </c>
      <c r="S304" s="21" t="s">
        <v>1964</v>
      </c>
      <c r="T304" s="21" t="s">
        <v>1721</v>
      </c>
      <c r="U304" s="14" t="s">
        <v>2252</v>
      </c>
      <c r="V304" s="14">
        <f t="shared" si="10"/>
        <v>28</v>
      </c>
      <c r="W304" s="14">
        <v>7</v>
      </c>
      <c r="X304" s="14">
        <v>7</v>
      </c>
      <c r="Y304" s="14">
        <v>7</v>
      </c>
      <c r="Z304" s="14">
        <v>7</v>
      </c>
      <c r="AA304" s="18" t="s">
        <v>2253</v>
      </c>
      <c r="AD304" s="14" t="s">
        <v>2214</v>
      </c>
    </row>
    <row r="305" s="14" customFormat="1" spans="1:30">
      <c r="A305" s="18" t="s">
        <v>2254</v>
      </c>
      <c r="B305" s="14" t="s">
        <v>1912</v>
      </c>
      <c r="C305" s="14" t="s">
        <v>1993</v>
      </c>
      <c r="D305" s="14" t="s">
        <v>1618</v>
      </c>
      <c r="E305" s="19">
        <v>100</v>
      </c>
      <c r="F305" s="14">
        <v>450</v>
      </c>
      <c r="G305" s="14">
        <v>500</v>
      </c>
      <c r="H305" s="14">
        <v>0</v>
      </c>
      <c r="I305" s="14">
        <v>250</v>
      </c>
      <c r="J305" s="19">
        <v>110</v>
      </c>
      <c r="K305" s="14">
        <v>0</v>
      </c>
      <c r="L305" s="19">
        <v>150</v>
      </c>
      <c r="M305" s="19">
        <v>50</v>
      </c>
      <c r="N305" s="19">
        <v>60</v>
      </c>
      <c r="O305" s="19">
        <v>1</v>
      </c>
      <c r="P305" s="19">
        <v>4</v>
      </c>
      <c r="Q305" s="19">
        <v>80</v>
      </c>
      <c r="R305" s="21" t="s">
        <v>1964</v>
      </c>
      <c r="S305" s="21" t="s">
        <v>1964</v>
      </c>
      <c r="T305" s="21" t="s">
        <v>1667</v>
      </c>
      <c r="U305" s="14" t="s">
        <v>2255</v>
      </c>
      <c r="V305" s="14">
        <f t="shared" si="10"/>
        <v>25</v>
      </c>
      <c r="W305" s="14">
        <v>0</v>
      </c>
      <c r="X305" s="14">
        <v>0</v>
      </c>
      <c r="Y305" s="14">
        <v>5</v>
      </c>
      <c r="Z305" s="14">
        <v>20</v>
      </c>
      <c r="AD305" s="14" t="s">
        <v>2214</v>
      </c>
    </row>
    <row r="306" s="14" customFormat="1" spans="1:30">
      <c r="A306" s="18" t="s">
        <v>2256</v>
      </c>
      <c r="B306" s="14" t="s">
        <v>131</v>
      </c>
      <c r="C306" s="14" t="s">
        <v>2257</v>
      </c>
      <c r="D306" s="14" t="s">
        <v>1618</v>
      </c>
      <c r="E306" s="19">
        <v>100</v>
      </c>
      <c r="F306" s="14">
        <v>136</v>
      </c>
      <c r="G306" s="14">
        <v>94</v>
      </c>
      <c r="H306" s="14">
        <v>105</v>
      </c>
      <c r="I306" s="14">
        <v>100</v>
      </c>
      <c r="J306" s="19">
        <v>76</v>
      </c>
      <c r="K306" s="14">
        <v>115</v>
      </c>
      <c r="L306" s="19">
        <v>150</v>
      </c>
      <c r="M306" s="19">
        <v>82</v>
      </c>
      <c r="N306" s="19">
        <v>60</v>
      </c>
      <c r="O306" s="19">
        <v>35</v>
      </c>
      <c r="P306" s="19">
        <v>3</v>
      </c>
      <c r="Q306" s="19">
        <v>60</v>
      </c>
      <c r="R306" s="21" t="s">
        <v>1724</v>
      </c>
      <c r="S306" s="21" t="s">
        <v>1677</v>
      </c>
      <c r="T306" s="21" t="s">
        <v>1634</v>
      </c>
      <c r="U306" s="14" t="s">
        <v>1800</v>
      </c>
      <c r="V306" s="14">
        <f t="shared" si="10"/>
        <v>0</v>
      </c>
      <c r="W306" s="14">
        <v>0</v>
      </c>
      <c r="X306" s="14">
        <v>0</v>
      </c>
      <c r="Y306" s="14">
        <v>0</v>
      </c>
      <c r="Z306" s="14">
        <v>0</v>
      </c>
      <c r="AD306" s="14" t="s">
        <v>2214</v>
      </c>
    </row>
    <row r="307" s="14" customFormat="1" spans="1:30">
      <c r="A307" s="18" t="s">
        <v>2258</v>
      </c>
      <c r="B307" s="14" t="s">
        <v>44</v>
      </c>
      <c r="C307" s="14" t="s">
        <v>2073</v>
      </c>
      <c r="D307" s="14" t="s">
        <v>1618</v>
      </c>
      <c r="E307" s="19">
        <v>105</v>
      </c>
      <c r="F307" s="14">
        <v>250</v>
      </c>
      <c r="G307" s="14">
        <v>100</v>
      </c>
      <c r="H307" s="14">
        <v>0</v>
      </c>
      <c r="I307" s="14">
        <v>190</v>
      </c>
      <c r="J307" s="19">
        <v>70</v>
      </c>
      <c r="K307" s="14">
        <v>0</v>
      </c>
      <c r="L307" s="19">
        <v>130</v>
      </c>
      <c r="M307" s="19">
        <v>40</v>
      </c>
      <c r="N307" s="19">
        <v>60</v>
      </c>
      <c r="O307" s="19">
        <v>27</v>
      </c>
      <c r="P307" s="19">
        <v>3</v>
      </c>
      <c r="Q307" s="19">
        <v>60</v>
      </c>
      <c r="R307" s="21" t="s">
        <v>1674</v>
      </c>
      <c r="S307" s="21" t="s">
        <v>2029</v>
      </c>
      <c r="T307" s="21" t="s">
        <v>2029</v>
      </c>
      <c r="U307" s="14" t="s">
        <v>2029</v>
      </c>
      <c r="V307" s="14">
        <f t="shared" si="10"/>
        <v>48</v>
      </c>
      <c r="W307" s="14">
        <v>12</v>
      </c>
      <c r="X307" s="14">
        <v>12</v>
      </c>
      <c r="Y307" s="14">
        <v>12</v>
      </c>
      <c r="Z307" s="14">
        <v>12</v>
      </c>
      <c r="AD307" s="14" t="s">
        <v>2214</v>
      </c>
    </row>
    <row r="308" s="14" customFormat="1" spans="1:30">
      <c r="A308" s="18" t="s">
        <v>2259</v>
      </c>
      <c r="B308" s="14" t="s">
        <v>2260</v>
      </c>
      <c r="C308" s="14" t="s">
        <v>2261</v>
      </c>
      <c r="D308" s="14" t="s">
        <v>1618</v>
      </c>
      <c r="E308" s="19">
        <v>95</v>
      </c>
      <c r="F308" s="14">
        <v>180</v>
      </c>
      <c r="G308" s="14">
        <v>130</v>
      </c>
      <c r="H308" s="14">
        <v>150</v>
      </c>
      <c r="I308" s="14">
        <v>85</v>
      </c>
      <c r="J308" s="19">
        <v>100</v>
      </c>
      <c r="K308" s="14">
        <v>0</v>
      </c>
      <c r="L308" s="19">
        <v>100</v>
      </c>
      <c r="M308" s="19">
        <v>80</v>
      </c>
      <c r="N308" s="19">
        <v>60</v>
      </c>
      <c r="O308" s="19">
        <v>40</v>
      </c>
      <c r="P308" s="19">
        <v>3</v>
      </c>
      <c r="Q308" s="19">
        <v>40</v>
      </c>
      <c r="R308" s="21" t="s">
        <v>1724</v>
      </c>
      <c r="S308" s="21" t="s">
        <v>1724</v>
      </c>
      <c r="T308" s="21" t="s">
        <v>1641</v>
      </c>
      <c r="U308" s="14" t="s">
        <v>2262</v>
      </c>
      <c r="V308" s="14">
        <f t="shared" si="10"/>
        <v>10</v>
      </c>
      <c r="W308" s="14">
        <v>0</v>
      </c>
      <c r="X308" s="14">
        <v>0</v>
      </c>
      <c r="Y308" s="14">
        <v>0</v>
      </c>
      <c r="Z308" s="14">
        <v>10</v>
      </c>
      <c r="AD308" s="14" t="s">
        <v>2263</v>
      </c>
    </row>
    <row r="309" s="14" customFormat="1" spans="1:30">
      <c r="A309" s="18" t="s">
        <v>2264</v>
      </c>
      <c r="B309" s="14" t="s">
        <v>87</v>
      </c>
      <c r="C309" s="14" t="s">
        <v>2265</v>
      </c>
      <c r="D309" s="14" t="s">
        <v>1618</v>
      </c>
      <c r="E309" s="19">
        <v>95</v>
      </c>
      <c r="F309" s="14">
        <v>74</v>
      </c>
      <c r="G309" s="14">
        <v>0</v>
      </c>
      <c r="H309" s="14">
        <v>168</v>
      </c>
      <c r="I309" s="14">
        <v>50</v>
      </c>
      <c r="J309" s="19">
        <v>0</v>
      </c>
      <c r="K309" s="14">
        <v>0</v>
      </c>
      <c r="L309" s="19">
        <v>105</v>
      </c>
      <c r="M309" s="19">
        <v>80</v>
      </c>
      <c r="N309" s="19">
        <v>30</v>
      </c>
      <c r="O309" s="19">
        <v>25</v>
      </c>
      <c r="P309" s="19">
        <v>1</v>
      </c>
      <c r="Q309" s="19">
        <v>150</v>
      </c>
      <c r="R309" s="21" t="s">
        <v>1641</v>
      </c>
      <c r="S309" s="21" t="s">
        <v>1641</v>
      </c>
      <c r="T309" s="21"/>
      <c r="V309" s="14">
        <f t="shared" si="10"/>
        <v>0</v>
      </c>
      <c r="W309" s="14">
        <v>0</v>
      </c>
      <c r="X309" s="14">
        <v>0</v>
      </c>
      <c r="Y309" s="14">
        <v>0</v>
      </c>
      <c r="Z309" s="14">
        <v>0</v>
      </c>
      <c r="AD309" s="14" t="s">
        <v>2263</v>
      </c>
    </row>
    <row r="310" s="14" customFormat="1" spans="1:30">
      <c r="A310" s="18" t="s">
        <v>2266</v>
      </c>
      <c r="B310" s="14" t="s">
        <v>1738</v>
      </c>
      <c r="C310" s="14" t="s">
        <v>2267</v>
      </c>
      <c r="D310" s="14" t="s">
        <v>1618</v>
      </c>
      <c r="E310" s="19">
        <v>113</v>
      </c>
      <c r="F310" s="14">
        <v>360</v>
      </c>
      <c r="G310" s="14">
        <v>150</v>
      </c>
      <c r="H310" s="14">
        <v>158</v>
      </c>
      <c r="I310" s="14">
        <v>150</v>
      </c>
      <c r="J310" s="14">
        <v>120</v>
      </c>
      <c r="K310" s="14">
        <v>110</v>
      </c>
      <c r="L310" s="19">
        <v>110</v>
      </c>
      <c r="M310" s="14">
        <v>55</v>
      </c>
      <c r="N310" s="14">
        <v>90</v>
      </c>
      <c r="O310" s="14">
        <v>36</v>
      </c>
      <c r="P310" s="14">
        <v>3</v>
      </c>
      <c r="Q310" s="14">
        <v>80</v>
      </c>
      <c r="R310" s="21" t="s">
        <v>1724</v>
      </c>
      <c r="S310" s="21" t="s">
        <v>1721</v>
      </c>
      <c r="T310" s="21" t="s">
        <v>1669</v>
      </c>
      <c r="U310" s="14" t="s">
        <v>1740</v>
      </c>
      <c r="V310" s="14">
        <f t="shared" ref="V310:V323" si="11">SUM(W310:Z310)</f>
        <v>100</v>
      </c>
      <c r="W310" s="14">
        <v>0</v>
      </c>
      <c r="X310" s="14">
        <v>0</v>
      </c>
      <c r="Y310" s="14">
        <v>50</v>
      </c>
      <c r="Z310" s="14">
        <v>50</v>
      </c>
      <c r="AD310" s="14" t="s">
        <v>2263</v>
      </c>
    </row>
    <row r="311" s="14" customFormat="1" spans="1:30">
      <c r="A311" s="18" t="s">
        <v>2268</v>
      </c>
      <c r="B311" s="14" t="s">
        <v>2260</v>
      </c>
      <c r="C311" s="14" t="s">
        <v>2269</v>
      </c>
      <c r="D311" s="14" t="s">
        <v>1618</v>
      </c>
      <c r="E311" s="19">
        <v>130</v>
      </c>
      <c r="F311" s="14">
        <v>270</v>
      </c>
      <c r="G311" s="14">
        <v>150</v>
      </c>
      <c r="H311" s="14">
        <v>120</v>
      </c>
      <c r="I311" s="14">
        <v>130</v>
      </c>
      <c r="J311" s="19">
        <v>120</v>
      </c>
      <c r="K311" s="14">
        <v>0</v>
      </c>
      <c r="L311" s="19">
        <v>130</v>
      </c>
      <c r="M311" s="19">
        <v>100</v>
      </c>
      <c r="N311" s="19">
        <v>80</v>
      </c>
      <c r="O311" s="19">
        <v>40</v>
      </c>
      <c r="P311" s="19">
        <v>3</v>
      </c>
      <c r="Q311" s="19">
        <v>80</v>
      </c>
      <c r="R311" s="21" t="s">
        <v>1895</v>
      </c>
      <c r="S311" s="21" t="s">
        <v>1896</v>
      </c>
      <c r="T311" s="21" t="s">
        <v>1896</v>
      </c>
      <c r="U311" s="14" t="s">
        <v>1740</v>
      </c>
      <c r="V311" s="14">
        <f t="shared" si="11"/>
        <v>80</v>
      </c>
      <c r="W311" s="14">
        <v>20</v>
      </c>
      <c r="X311" s="14">
        <v>20</v>
      </c>
      <c r="Y311" s="14">
        <v>20</v>
      </c>
      <c r="Z311" s="14">
        <v>20</v>
      </c>
      <c r="AD311" s="14" t="s">
        <v>2263</v>
      </c>
    </row>
    <row r="312" s="14" customFormat="1" spans="1:30">
      <c r="A312" s="18" t="s">
        <v>2270</v>
      </c>
      <c r="B312" s="14" t="s">
        <v>2260</v>
      </c>
      <c r="C312" s="14" t="s">
        <v>2271</v>
      </c>
      <c r="D312" s="14" t="s">
        <v>1618</v>
      </c>
      <c r="E312" s="19">
        <v>130</v>
      </c>
      <c r="F312" s="14">
        <v>270</v>
      </c>
      <c r="G312" s="14">
        <v>150</v>
      </c>
      <c r="H312" s="14">
        <v>120</v>
      </c>
      <c r="I312" s="14">
        <v>100</v>
      </c>
      <c r="J312" s="19">
        <v>140</v>
      </c>
      <c r="K312" s="14">
        <v>0</v>
      </c>
      <c r="L312" s="19">
        <v>130</v>
      </c>
      <c r="M312" s="19">
        <v>80</v>
      </c>
      <c r="N312" s="19">
        <v>90</v>
      </c>
      <c r="O312" s="19">
        <v>40</v>
      </c>
      <c r="P312" s="19">
        <v>3</v>
      </c>
      <c r="Q312" s="19">
        <v>60</v>
      </c>
      <c r="R312" s="21" t="s">
        <v>1667</v>
      </c>
      <c r="S312" s="21" t="s">
        <v>1667</v>
      </c>
      <c r="T312" s="21" t="s">
        <v>1740</v>
      </c>
      <c r="U312" s="14" t="s">
        <v>1740</v>
      </c>
      <c r="V312" s="14">
        <f t="shared" si="11"/>
        <v>80</v>
      </c>
      <c r="W312" s="14">
        <v>20</v>
      </c>
      <c r="X312" s="14">
        <v>20</v>
      </c>
      <c r="Y312" s="14">
        <v>20</v>
      </c>
      <c r="Z312" s="14">
        <v>20</v>
      </c>
      <c r="AD312" s="14" t="s">
        <v>2263</v>
      </c>
    </row>
    <row r="313" s="14" customFormat="1" spans="1:30">
      <c r="A313" s="18" t="s">
        <v>2272</v>
      </c>
      <c r="B313" s="14" t="s">
        <v>2260</v>
      </c>
      <c r="C313" s="14" t="s">
        <v>2273</v>
      </c>
      <c r="D313" s="14" t="s">
        <v>1618</v>
      </c>
      <c r="E313" s="19">
        <v>130</v>
      </c>
      <c r="F313" s="14">
        <v>270</v>
      </c>
      <c r="G313" s="14">
        <v>180</v>
      </c>
      <c r="H313" s="14">
        <v>120</v>
      </c>
      <c r="I313" s="14">
        <v>115</v>
      </c>
      <c r="J313" s="19">
        <v>80</v>
      </c>
      <c r="K313" s="14">
        <v>0</v>
      </c>
      <c r="L313" s="19">
        <v>130</v>
      </c>
      <c r="M313" s="19">
        <v>60</v>
      </c>
      <c r="N313" s="19">
        <v>70</v>
      </c>
      <c r="O313" s="19">
        <v>40</v>
      </c>
      <c r="P313" s="19">
        <v>3</v>
      </c>
      <c r="Q313" s="19">
        <v>100</v>
      </c>
      <c r="R313" s="21" t="s">
        <v>2274</v>
      </c>
      <c r="S313" s="21" t="s">
        <v>2275</v>
      </c>
      <c r="T313" s="21" t="s">
        <v>2275</v>
      </c>
      <c r="U313" s="14" t="s">
        <v>2276</v>
      </c>
      <c r="V313" s="14">
        <f t="shared" si="11"/>
        <v>80</v>
      </c>
      <c r="W313" s="14">
        <v>20</v>
      </c>
      <c r="X313" s="14">
        <v>20</v>
      </c>
      <c r="Y313" s="14">
        <v>20</v>
      </c>
      <c r="Z313" s="14">
        <v>20</v>
      </c>
      <c r="AD313" s="14" t="s">
        <v>2263</v>
      </c>
    </row>
    <row r="314" s="14" customFormat="1" spans="1:30">
      <c r="A314" s="18" t="s">
        <v>2277</v>
      </c>
      <c r="B314" s="14" t="s">
        <v>87</v>
      </c>
      <c r="C314" s="14" t="s">
        <v>2265</v>
      </c>
      <c r="D314" s="14" t="s">
        <v>1618</v>
      </c>
      <c r="E314" s="19">
        <v>95</v>
      </c>
      <c r="F314" s="14">
        <v>74</v>
      </c>
      <c r="G314" s="14">
        <v>0</v>
      </c>
      <c r="H314" s="14">
        <v>168</v>
      </c>
      <c r="I314" s="14">
        <v>50</v>
      </c>
      <c r="J314" s="19">
        <v>0</v>
      </c>
      <c r="K314" s="14">
        <v>0</v>
      </c>
      <c r="L314" s="19">
        <v>105</v>
      </c>
      <c r="M314" s="19">
        <v>80</v>
      </c>
      <c r="N314" s="19">
        <v>30</v>
      </c>
      <c r="O314" s="19">
        <v>25</v>
      </c>
      <c r="P314" s="19">
        <v>1</v>
      </c>
      <c r="Q314" s="19">
        <v>150</v>
      </c>
      <c r="R314" s="21" t="s">
        <v>1641</v>
      </c>
      <c r="S314" s="21" t="s">
        <v>1641</v>
      </c>
      <c r="T314" s="21"/>
      <c r="V314" s="14">
        <f t="shared" si="11"/>
        <v>0</v>
      </c>
      <c r="W314" s="14">
        <v>0</v>
      </c>
      <c r="X314" s="14">
        <v>0</v>
      </c>
      <c r="Y314" s="14">
        <v>0</v>
      </c>
      <c r="Z314" s="14">
        <v>0</v>
      </c>
      <c r="AD314" s="14" t="s">
        <v>2263</v>
      </c>
    </row>
    <row r="315" s="14" customFormat="1" spans="1:30">
      <c r="A315" s="18" t="s">
        <v>2278</v>
      </c>
      <c r="B315" s="14" t="s">
        <v>2260</v>
      </c>
      <c r="C315" s="14" t="s">
        <v>2279</v>
      </c>
      <c r="D315" s="14" t="s">
        <v>1618</v>
      </c>
      <c r="E315" s="19">
        <v>100</v>
      </c>
      <c r="F315" s="14">
        <v>540</v>
      </c>
      <c r="G315" s="14">
        <v>300</v>
      </c>
      <c r="H315" s="14">
        <v>150</v>
      </c>
      <c r="I315" s="14">
        <v>180</v>
      </c>
      <c r="J315" s="19">
        <v>100</v>
      </c>
      <c r="K315" s="14">
        <v>0</v>
      </c>
      <c r="L315" s="19">
        <v>150</v>
      </c>
      <c r="M315" s="19">
        <v>90</v>
      </c>
      <c r="N315" s="19">
        <v>99</v>
      </c>
      <c r="O315" s="19">
        <v>999</v>
      </c>
      <c r="P315" s="19">
        <v>3</v>
      </c>
      <c r="Q315" s="19">
        <v>120</v>
      </c>
      <c r="R315" s="21" t="s">
        <v>1740</v>
      </c>
      <c r="S315" s="21" t="s">
        <v>1740</v>
      </c>
      <c r="T315" s="21" t="s">
        <v>1740</v>
      </c>
      <c r="U315" s="14" t="s">
        <v>1740</v>
      </c>
      <c r="V315" s="14">
        <f t="shared" si="11"/>
        <v>100</v>
      </c>
      <c r="W315" s="14">
        <v>25</v>
      </c>
      <c r="X315" s="14">
        <v>25</v>
      </c>
      <c r="Y315" s="14">
        <v>25</v>
      </c>
      <c r="Z315" s="14">
        <v>25</v>
      </c>
      <c r="AD315" s="14" t="s">
        <v>2263</v>
      </c>
    </row>
    <row r="316" s="14" customFormat="1" spans="1:30">
      <c r="A316" s="18" t="s">
        <v>2280</v>
      </c>
      <c r="B316" s="14" t="s">
        <v>37</v>
      </c>
      <c r="C316" s="14" t="s">
        <v>1972</v>
      </c>
      <c r="D316" s="14" t="s">
        <v>1618</v>
      </c>
      <c r="E316" s="19">
        <v>100</v>
      </c>
      <c r="F316" s="14">
        <v>320</v>
      </c>
      <c r="G316" s="14">
        <v>177</v>
      </c>
      <c r="H316" s="14">
        <v>0</v>
      </c>
      <c r="I316" s="14">
        <v>250</v>
      </c>
      <c r="J316" s="19">
        <v>70</v>
      </c>
      <c r="K316" s="14">
        <v>0</v>
      </c>
      <c r="L316" s="19">
        <v>140</v>
      </c>
      <c r="M316" s="19">
        <v>43</v>
      </c>
      <c r="N316" s="19">
        <v>36</v>
      </c>
      <c r="O316" s="19">
        <v>28</v>
      </c>
      <c r="P316" s="19">
        <v>3</v>
      </c>
      <c r="Q316" s="19">
        <v>60</v>
      </c>
      <c r="R316" s="21" t="s">
        <v>1724</v>
      </c>
      <c r="S316" s="21" t="s">
        <v>1724</v>
      </c>
      <c r="T316" s="21" t="s">
        <v>1628</v>
      </c>
      <c r="U316" s="14" t="s">
        <v>1717</v>
      </c>
      <c r="V316" s="14">
        <f t="shared" si="11"/>
        <v>20</v>
      </c>
      <c r="W316" s="14">
        <v>5</v>
      </c>
      <c r="X316" s="14">
        <v>5</v>
      </c>
      <c r="Y316" s="14">
        <v>5</v>
      </c>
      <c r="Z316" s="14">
        <v>5</v>
      </c>
      <c r="AD316" s="14" t="s">
        <v>2263</v>
      </c>
    </row>
    <row r="317" s="14" customFormat="1" spans="1:30">
      <c r="A317" s="18" t="s">
        <v>2281</v>
      </c>
      <c r="B317" s="14" t="s">
        <v>87</v>
      </c>
      <c r="C317" s="14" t="s">
        <v>2282</v>
      </c>
      <c r="D317" s="14" t="s">
        <v>1618</v>
      </c>
      <c r="E317" s="19">
        <v>95</v>
      </c>
      <c r="F317" s="14">
        <v>666</v>
      </c>
      <c r="G317" s="14">
        <v>0</v>
      </c>
      <c r="H317" s="14">
        <v>140</v>
      </c>
      <c r="I317" s="14">
        <v>58</v>
      </c>
      <c r="J317" s="19">
        <v>0</v>
      </c>
      <c r="K317" s="14">
        <v>0</v>
      </c>
      <c r="L317" s="19">
        <v>100</v>
      </c>
      <c r="M317" s="19">
        <v>35</v>
      </c>
      <c r="N317" s="19">
        <v>12</v>
      </c>
      <c r="O317" s="19">
        <v>25</v>
      </c>
      <c r="P317" s="19">
        <v>1</v>
      </c>
      <c r="Q317" s="19">
        <v>150</v>
      </c>
      <c r="R317" s="21" t="s">
        <v>2239</v>
      </c>
      <c r="S317" s="21" t="s">
        <v>1641</v>
      </c>
      <c r="T317" s="21" t="s">
        <v>1641</v>
      </c>
      <c r="V317" s="14">
        <f t="shared" si="11"/>
        <v>0</v>
      </c>
      <c r="W317" s="14">
        <v>0</v>
      </c>
      <c r="X317" s="14">
        <v>0</v>
      </c>
      <c r="Y317" s="14">
        <v>0</v>
      </c>
      <c r="Z317" s="14">
        <v>0</v>
      </c>
      <c r="AD317" s="14" t="s">
        <v>2283</v>
      </c>
    </row>
    <row r="318" s="14" customFormat="1" spans="1:30">
      <c r="A318" s="18" t="s">
        <v>2284</v>
      </c>
      <c r="B318" s="14" t="s">
        <v>1912</v>
      </c>
      <c r="C318" s="14" t="s">
        <v>2285</v>
      </c>
      <c r="D318" s="14" t="s">
        <v>1618</v>
      </c>
      <c r="E318" s="19">
        <v>110</v>
      </c>
      <c r="F318" s="14">
        <v>9999</v>
      </c>
      <c r="G318" s="14">
        <v>220</v>
      </c>
      <c r="H318" s="14">
        <v>0</v>
      </c>
      <c r="I318" s="14">
        <v>250</v>
      </c>
      <c r="J318" s="19">
        <v>10</v>
      </c>
      <c r="K318" s="14">
        <v>0</v>
      </c>
      <c r="L318" s="19">
        <v>180</v>
      </c>
      <c r="M318" s="19">
        <v>1</v>
      </c>
      <c r="N318" s="19">
        <v>65</v>
      </c>
      <c r="O318" s="19">
        <v>1</v>
      </c>
      <c r="P318" s="19">
        <v>4</v>
      </c>
      <c r="Q318" s="19">
        <v>30</v>
      </c>
      <c r="R318" s="21" t="s">
        <v>2286</v>
      </c>
      <c r="S318" s="21" t="s">
        <v>2286</v>
      </c>
      <c r="T318" s="21" t="s">
        <v>2286</v>
      </c>
      <c r="U318" s="14" t="s">
        <v>2255</v>
      </c>
      <c r="V318" s="14">
        <f t="shared" si="11"/>
        <v>120</v>
      </c>
      <c r="W318" s="14">
        <v>30</v>
      </c>
      <c r="X318" s="14">
        <v>30</v>
      </c>
      <c r="Y318" s="14">
        <v>30</v>
      </c>
      <c r="Z318" s="14">
        <v>30</v>
      </c>
      <c r="AA318" s="18" t="s">
        <v>2287</v>
      </c>
      <c r="AD318" s="14" t="s">
        <v>2283</v>
      </c>
    </row>
    <row r="319" s="14" customFormat="1" spans="1:30">
      <c r="A319" s="18" t="s">
        <v>2288</v>
      </c>
      <c r="B319" s="14" t="s">
        <v>1912</v>
      </c>
      <c r="C319" s="14" t="s">
        <v>1926</v>
      </c>
      <c r="D319" s="14" t="s">
        <v>1618</v>
      </c>
      <c r="E319" s="19">
        <v>100</v>
      </c>
      <c r="F319" s="14">
        <v>666</v>
      </c>
      <c r="G319" s="14">
        <v>400</v>
      </c>
      <c r="H319" s="14">
        <v>0</v>
      </c>
      <c r="I319" s="14">
        <v>100</v>
      </c>
      <c r="J319" s="19">
        <v>100</v>
      </c>
      <c r="K319" s="14">
        <v>0</v>
      </c>
      <c r="L319" s="19">
        <v>140</v>
      </c>
      <c r="M319" s="19">
        <v>14</v>
      </c>
      <c r="N319" s="19">
        <v>60</v>
      </c>
      <c r="O319" s="19">
        <v>1</v>
      </c>
      <c r="P319" s="19">
        <v>4</v>
      </c>
      <c r="Q319" s="19">
        <v>80</v>
      </c>
      <c r="R319" s="21" t="s">
        <v>2029</v>
      </c>
      <c r="S319" s="21" t="s">
        <v>2029</v>
      </c>
      <c r="T319" s="21" t="s">
        <v>2029</v>
      </c>
      <c r="U319" s="14" t="s">
        <v>1740</v>
      </c>
      <c r="V319" s="14">
        <f t="shared" si="11"/>
        <v>60</v>
      </c>
      <c r="W319" s="14">
        <v>15</v>
      </c>
      <c r="X319" s="14">
        <v>15</v>
      </c>
      <c r="Y319" s="14">
        <v>15</v>
      </c>
      <c r="Z319" s="14">
        <v>15</v>
      </c>
      <c r="AD319" s="14" t="s">
        <v>2283</v>
      </c>
    </row>
    <row r="320" s="14" customFormat="1" spans="1:30">
      <c r="A320" s="18" t="s">
        <v>2289</v>
      </c>
      <c r="B320" s="14" t="s">
        <v>1769</v>
      </c>
      <c r="C320" s="14" t="s">
        <v>2290</v>
      </c>
      <c r="D320" s="14" t="s">
        <v>1618</v>
      </c>
      <c r="E320" s="19">
        <v>99</v>
      </c>
      <c r="F320" s="14">
        <v>80</v>
      </c>
      <c r="G320" s="14">
        <v>85</v>
      </c>
      <c r="H320" s="14">
        <v>170</v>
      </c>
      <c r="I320" s="14">
        <v>75</v>
      </c>
      <c r="J320" s="19">
        <v>55</v>
      </c>
      <c r="K320" s="14">
        <v>60</v>
      </c>
      <c r="L320" s="19">
        <v>150</v>
      </c>
      <c r="M320" s="19">
        <v>88</v>
      </c>
      <c r="N320" s="19">
        <v>20</v>
      </c>
      <c r="O320" s="19">
        <v>40</v>
      </c>
      <c r="P320" s="19">
        <v>2</v>
      </c>
      <c r="Q320" s="19">
        <v>80</v>
      </c>
      <c r="R320" s="21" t="s">
        <v>1677</v>
      </c>
      <c r="S320" s="21" t="s">
        <v>1641</v>
      </c>
      <c r="T320" s="21" t="s">
        <v>1641</v>
      </c>
      <c r="U320" s="14" t="s">
        <v>1619</v>
      </c>
      <c r="V320" s="14">
        <f t="shared" si="11"/>
        <v>6</v>
      </c>
      <c r="W320" s="14">
        <v>2</v>
      </c>
      <c r="X320" s="14">
        <v>2</v>
      </c>
      <c r="Y320" s="14">
        <v>2</v>
      </c>
      <c r="Z320" s="14">
        <v>0</v>
      </c>
      <c r="AD320" s="14" t="s">
        <v>2283</v>
      </c>
    </row>
    <row r="321" s="14" customFormat="1" spans="1:30">
      <c r="A321" s="18" t="s">
        <v>2291</v>
      </c>
      <c r="B321" s="14" t="s">
        <v>37</v>
      </c>
      <c r="C321" s="14" t="s">
        <v>2292</v>
      </c>
      <c r="D321" s="14" t="s">
        <v>1618</v>
      </c>
      <c r="E321" s="19">
        <v>100</v>
      </c>
      <c r="F321" s="14">
        <v>406</v>
      </c>
      <c r="G321" s="14">
        <v>250</v>
      </c>
      <c r="H321" s="14">
        <v>0</v>
      </c>
      <c r="I321" s="14">
        <v>200</v>
      </c>
      <c r="J321" s="19">
        <v>70</v>
      </c>
      <c r="K321" s="14">
        <v>0</v>
      </c>
      <c r="L321" s="19">
        <v>120</v>
      </c>
      <c r="M321" s="19">
        <v>43</v>
      </c>
      <c r="N321" s="19">
        <v>36</v>
      </c>
      <c r="O321" s="19">
        <v>28</v>
      </c>
      <c r="P321" s="19">
        <v>3</v>
      </c>
      <c r="Q321" s="19">
        <v>60</v>
      </c>
      <c r="R321" s="21" t="s">
        <v>1724</v>
      </c>
      <c r="S321" s="21" t="s">
        <v>1724</v>
      </c>
      <c r="T321" s="21" t="s">
        <v>1628</v>
      </c>
      <c r="U321" s="14" t="s">
        <v>1717</v>
      </c>
      <c r="V321" s="14">
        <f t="shared" si="11"/>
        <v>20</v>
      </c>
      <c r="W321" s="14">
        <v>5</v>
      </c>
      <c r="X321" s="14">
        <v>5</v>
      </c>
      <c r="Y321" s="14">
        <v>5</v>
      </c>
      <c r="Z321" s="14">
        <v>5</v>
      </c>
      <c r="AD321" s="14" t="s">
        <v>2283</v>
      </c>
    </row>
    <row r="322" s="14" customFormat="1" spans="1:30">
      <c r="A322" s="18" t="s">
        <v>2293</v>
      </c>
      <c r="B322" s="14" t="s">
        <v>1912</v>
      </c>
      <c r="C322" s="14" t="s">
        <v>2294</v>
      </c>
      <c r="D322" s="14" t="s">
        <v>1618</v>
      </c>
      <c r="E322" s="19">
        <v>100</v>
      </c>
      <c r="F322" s="14">
        <v>666</v>
      </c>
      <c r="G322" s="14">
        <v>500</v>
      </c>
      <c r="H322" s="14">
        <v>0</v>
      </c>
      <c r="I322" s="14">
        <v>150</v>
      </c>
      <c r="J322" s="19">
        <v>150</v>
      </c>
      <c r="K322" s="14">
        <v>0</v>
      </c>
      <c r="L322" s="19">
        <v>150</v>
      </c>
      <c r="M322" s="19">
        <v>1</v>
      </c>
      <c r="N322" s="19">
        <v>65</v>
      </c>
      <c r="O322" s="19">
        <v>1</v>
      </c>
      <c r="P322" s="19">
        <v>4</v>
      </c>
      <c r="Q322" s="19">
        <v>90</v>
      </c>
      <c r="R322" s="21" t="s">
        <v>1740</v>
      </c>
      <c r="S322" s="21" t="s">
        <v>1740</v>
      </c>
      <c r="T322" s="21" t="s">
        <v>1939</v>
      </c>
      <c r="U322" s="14" t="s">
        <v>1939</v>
      </c>
      <c r="V322" s="14">
        <f t="shared" si="11"/>
        <v>70</v>
      </c>
      <c r="W322" s="14">
        <v>20</v>
      </c>
      <c r="X322" s="14">
        <v>20</v>
      </c>
      <c r="Y322" s="14">
        <v>15</v>
      </c>
      <c r="Z322" s="14">
        <v>15</v>
      </c>
      <c r="AD322" s="14" t="s">
        <v>2283</v>
      </c>
    </row>
    <row r="323" s="14" customFormat="1" spans="1:30">
      <c r="A323" s="18" t="s">
        <v>2295</v>
      </c>
      <c r="B323" s="14" t="s">
        <v>1912</v>
      </c>
      <c r="C323" s="14" t="s">
        <v>1938</v>
      </c>
      <c r="D323" s="14" t="s">
        <v>1618</v>
      </c>
      <c r="E323" s="19">
        <v>100</v>
      </c>
      <c r="F323" s="14">
        <v>666</v>
      </c>
      <c r="G323" s="14">
        <v>700</v>
      </c>
      <c r="H323" s="14">
        <v>0</v>
      </c>
      <c r="I323" s="14">
        <v>150</v>
      </c>
      <c r="J323" s="19">
        <v>150</v>
      </c>
      <c r="K323" s="14">
        <v>0</v>
      </c>
      <c r="L323" s="19">
        <v>150</v>
      </c>
      <c r="M323" s="19">
        <v>10</v>
      </c>
      <c r="N323" s="19">
        <v>60</v>
      </c>
      <c r="O323" s="19">
        <v>1</v>
      </c>
      <c r="P323" s="19">
        <v>4</v>
      </c>
      <c r="Q323" s="19">
        <v>90</v>
      </c>
      <c r="R323" s="21" t="s">
        <v>1740</v>
      </c>
      <c r="S323" s="21" t="s">
        <v>1939</v>
      </c>
      <c r="T323" s="21" t="s">
        <v>1939</v>
      </c>
      <c r="U323" s="14" t="s">
        <v>1939</v>
      </c>
      <c r="V323" s="14">
        <f t="shared" si="11"/>
        <v>60</v>
      </c>
      <c r="W323" s="14">
        <v>15</v>
      </c>
      <c r="X323" s="14">
        <v>15</v>
      </c>
      <c r="Y323" s="14">
        <v>15</v>
      </c>
      <c r="Z323" s="14">
        <v>15</v>
      </c>
      <c r="AD323" s="14" t="s">
        <v>2283</v>
      </c>
    </row>
    <row r="324" s="14" customFormat="1" spans="1:30">
      <c r="A324" s="18" t="s">
        <v>2296</v>
      </c>
      <c r="B324" s="14" t="s">
        <v>37</v>
      </c>
      <c r="C324" s="14" t="s">
        <v>1993</v>
      </c>
      <c r="D324" s="14" t="s">
        <v>1618</v>
      </c>
      <c r="E324" s="19">
        <v>100</v>
      </c>
      <c r="F324" s="14">
        <v>450</v>
      </c>
      <c r="G324" s="14">
        <v>280</v>
      </c>
      <c r="H324" s="14">
        <v>0</v>
      </c>
      <c r="I324" s="14">
        <v>200</v>
      </c>
      <c r="J324" s="19">
        <v>75</v>
      </c>
      <c r="K324" s="14">
        <v>0</v>
      </c>
      <c r="L324" s="19">
        <v>130</v>
      </c>
      <c r="M324" s="19">
        <v>80</v>
      </c>
      <c r="N324" s="19">
        <v>38</v>
      </c>
      <c r="O324" s="19">
        <v>27</v>
      </c>
      <c r="P324" s="19">
        <v>4</v>
      </c>
      <c r="Q324" s="19">
        <v>60</v>
      </c>
      <c r="R324" s="21" t="s">
        <v>1964</v>
      </c>
      <c r="S324" s="21" t="s">
        <v>1964</v>
      </c>
      <c r="T324" s="21" t="s">
        <v>1968</v>
      </c>
      <c r="U324" s="14" t="s">
        <v>1724</v>
      </c>
      <c r="V324" s="14">
        <f t="shared" ref="V324:V372" si="12">SUM($W324:$Z324)</f>
        <v>48</v>
      </c>
      <c r="W324" s="14">
        <v>12</v>
      </c>
      <c r="X324" s="14">
        <v>12</v>
      </c>
      <c r="Y324" s="14">
        <v>12</v>
      </c>
      <c r="Z324" s="14">
        <v>12</v>
      </c>
      <c r="AD324" s="14" t="s">
        <v>2283</v>
      </c>
    </row>
    <row r="325" s="14" customFormat="1" spans="1:30">
      <c r="A325" s="18" t="s">
        <v>2297</v>
      </c>
      <c r="B325" s="14" t="s">
        <v>37</v>
      </c>
      <c r="C325" s="14" t="s">
        <v>1993</v>
      </c>
      <c r="D325" s="14" t="s">
        <v>1618</v>
      </c>
      <c r="E325" s="19">
        <v>100</v>
      </c>
      <c r="F325" s="14">
        <v>300</v>
      </c>
      <c r="G325" s="14">
        <v>250</v>
      </c>
      <c r="H325" s="14">
        <v>0</v>
      </c>
      <c r="I325" s="14">
        <v>200</v>
      </c>
      <c r="J325" s="19">
        <v>60</v>
      </c>
      <c r="K325" s="14">
        <v>0</v>
      </c>
      <c r="L325" s="19">
        <v>100</v>
      </c>
      <c r="M325" s="19">
        <v>90</v>
      </c>
      <c r="N325" s="19">
        <v>33</v>
      </c>
      <c r="O325" s="19">
        <v>27</v>
      </c>
      <c r="P325" s="19">
        <v>4</v>
      </c>
      <c r="Q325" s="19">
        <v>30</v>
      </c>
      <c r="R325" s="21" t="s">
        <v>1964</v>
      </c>
      <c r="S325" s="21" t="s">
        <v>1964</v>
      </c>
      <c r="T325" s="21" t="s">
        <v>1968</v>
      </c>
      <c r="U325" s="14" t="s">
        <v>1724</v>
      </c>
      <c r="V325" s="14">
        <f t="shared" si="12"/>
        <v>28</v>
      </c>
      <c r="W325" s="14">
        <v>7</v>
      </c>
      <c r="X325" s="14">
        <v>7</v>
      </c>
      <c r="Y325" s="14">
        <v>7</v>
      </c>
      <c r="Z325" s="14">
        <v>7</v>
      </c>
      <c r="AD325" s="14" t="s">
        <v>2283</v>
      </c>
    </row>
    <row r="326" s="14" customFormat="1" spans="1:30">
      <c r="A326" s="18" t="s">
        <v>2298</v>
      </c>
      <c r="B326" s="14" t="s">
        <v>29</v>
      </c>
      <c r="C326" s="14" t="s">
        <v>2299</v>
      </c>
      <c r="D326" s="14" t="s">
        <v>1618</v>
      </c>
      <c r="E326" s="19">
        <v>85</v>
      </c>
      <c r="F326" s="14">
        <v>420</v>
      </c>
      <c r="G326" s="14">
        <v>100</v>
      </c>
      <c r="H326" s="14">
        <v>0</v>
      </c>
      <c r="I326" s="14">
        <v>150</v>
      </c>
      <c r="J326" s="19">
        <v>101</v>
      </c>
      <c r="K326" s="14">
        <v>0</v>
      </c>
      <c r="L326" s="19">
        <v>100</v>
      </c>
      <c r="M326" s="19">
        <v>80</v>
      </c>
      <c r="N326" s="19">
        <v>70</v>
      </c>
      <c r="O326" s="19">
        <v>31</v>
      </c>
      <c r="P326" s="19">
        <v>3</v>
      </c>
      <c r="Q326" s="19">
        <v>60</v>
      </c>
      <c r="R326" s="21" t="s">
        <v>1980</v>
      </c>
      <c r="S326" s="21" t="s">
        <v>1980</v>
      </c>
      <c r="T326" s="21" t="s">
        <v>2202</v>
      </c>
      <c r="U326" s="14" t="s">
        <v>1980</v>
      </c>
      <c r="V326" s="14">
        <f t="shared" si="12"/>
        <v>60</v>
      </c>
      <c r="W326" s="14">
        <v>15</v>
      </c>
      <c r="X326" s="14">
        <v>15</v>
      </c>
      <c r="Y326" s="14">
        <v>15</v>
      </c>
      <c r="Z326" s="14">
        <v>15</v>
      </c>
      <c r="AD326" s="14" t="s">
        <v>2300</v>
      </c>
    </row>
    <row r="327" s="14" customFormat="1" spans="1:30">
      <c r="A327" s="18" t="s">
        <v>2301</v>
      </c>
      <c r="B327" s="14" t="s">
        <v>29</v>
      </c>
      <c r="C327" s="14" t="s">
        <v>2302</v>
      </c>
      <c r="D327" s="14" t="s">
        <v>1618</v>
      </c>
      <c r="E327" s="19">
        <v>85</v>
      </c>
      <c r="F327" s="14">
        <v>380</v>
      </c>
      <c r="G327" s="14">
        <v>100</v>
      </c>
      <c r="H327" s="14">
        <v>0</v>
      </c>
      <c r="I327" s="14">
        <v>165</v>
      </c>
      <c r="J327" s="19">
        <v>101</v>
      </c>
      <c r="K327" s="14">
        <v>0</v>
      </c>
      <c r="L327" s="19">
        <v>100</v>
      </c>
      <c r="M327" s="19">
        <v>80</v>
      </c>
      <c r="N327" s="19">
        <v>70</v>
      </c>
      <c r="O327" s="19">
        <v>28</v>
      </c>
      <c r="P327" s="19">
        <v>3</v>
      </c>
      <c r="Q327" s="19">
        <v>60</v>
      </c>
      <c r="R327" s="21" t="s">
        <v>1980</v>
      </c>
      <c r="S327" s="21" t="s">
        <v>1980</v>
      </c>
      <c r="T327" s="21" t="s">
        <v>2202</v>
      </c>
      <c r="U327" s="14" t="s">
        <v>1980</v>
      </c>
      <c r="V327" s="14">
        <f t="shared" si="12"/>
        <v>60</v>
      </c>
      <c r="W327" s="14">
        <v>15</v>
      </c>
      <c r="X327" s="14">
        <v>15</v>
      </c>
      <c r="Y327" s="14">
        <v>15</v>
      </c>
      <c r="Z327" s="14">
        <v>15</v>
      </c>
      <c r="AD327" s="14" t="s">
        <v>2300</v>
      </c>
    </row>
    <row r="328" s="14" customFormat="1" spans="1:30">
      <c r="A328" s="18" t="s">
        <v>2303</v>
      </c>
      <c r="B328" s="14" t="s">
        <v>29</v>
      </c>
      <c r="C328" s="14" t="s">
        <v>2304</v>
      </c>
      <c r="D328" s="14" t="s">
        <v>1618</v>
      </c>
      <c r="E328" s="19">
        <v>85</v>
      </c>
      <c r="F328" s="14">
        <v>233</v>
      </c>
      <c r="G328" s="14">
        <v>100</v>
      </c>
      <c r="H328" s="14">
        <v>0</v>
      </c>
      <c r="I328" s="14">
        <v>120</v>
      </c>
      <c r="J328" s="19">
        <v>101</v>
      </c>
      <c r="K328" s="14">
        <v>0</v>
      </c>
      <c r="L328" s="19">
        <v>100</v>
      </c>
      <c r="M328" s="19">
        <v>80</v>
      </c>
      <c r="N328" s="19">
        <v>60</v>
      </c>
      <c r="O328" s="19">
        <v>34</v>
      </c>
      <c r="P328" s="19">
        <v>1</v>
      </c>
      <c r="Q328" s="19">
        <v>60</v>
      </c>
      <c r="R328" s="21" t="s">
        <v>1980</v>
      </c>
      <c r="S328" s="21" t="s">
        <v>2305</v>
      </c>
      <c r="T328" s="21" t="s">
        <v>2305</v>
      </c>
      <c r="U328" s="14" t="s">
        <v>2305</v>
      </c>
      <c r="V328" s="14">
        <f t="shared" si="12"/>
        <v>60</v>
      </c>
      <c r="W328" s="14">
        <v>15</v>
      </c>
      <c r="X328" s="14">
        <v>15</v>
      </c>
      <c r="Y328" s="14">
        <v>15</v>
      </c>
      <c r="Z328" s="14">
        <v>15</v>
      </c>
      <c r="AD328" s="14" t="s">
        <v>2300</v>
      </c>
    </row>
    <row r="329" s="14" customFormat="1" spans="1:30">
      <c r="A329" s="18" t="s">
        <v>2306</v>
      </c>
      <c r="B329" s="14" t="s">
        <v>29</v>
      </c>
      <c r="C329" s="14" t="s">
        <v>2307</v>
      </c>
      <c r="D329" s="14" t="s">
        <v>1618</v>
      </c>
      <c r="E329" s="19">
        <v>85</v>
      </c>
      <c r="F329" s="14">
        <v>233</v>
      </c>
      <c r="G329" s="14">
        <v>100</v>
      </c>
      <c r="H329" s="14">
        <v>0</v>
      </c>
      <c r="I329" s="14">
        <v>120</v>
      </c>
      <c r="J329" s="19">
        <v>101</v>
      </c>
      <c r="K329" s="14">
        <v>0</v>
      </c>
      <c r="L329" s="19">
        <v>100</v>
      </c>
      <c r="M329" s="19">
        <v>80</v>
      </c>
      <c r="N329" s="19">
        <v>60</v>
      </c>
      <c r="O329" s="19">
        <v>34</v>
      </c>
      <c r="P329" s="19">
        <v>1</v>
      </c>
      <c r="Q329" s="19">
        <v>60</v>
      </c>
      <c r="R329" s="21" t="s">
        <v>1980</v>
      </c>
      <c r="S329" s="21" t="s">
        <v>2308</v>
      </c>
      <c r="T329" s="21" t="s">
        <v>2308</v>
      </c>
      <c r="U329" s="14" t="s">
        <v>2308</v>
      </c>
      <c r="V329" s="14">
        <f t="shared" si="12"/>
        <v>60</v>
      </c>
      <c r="W329" s="14">
        <v>15</v>
      </c>
      <c r="X329" s="14">
        <v>15</v>
      </c>
      <c r="Y329" s="14">
        <v>15</v>
      </c>
      <c r="Z329" s="14">
        <v>15</v>
      </c>
      <c r="AD329" s="14" t="s">
        <v>2300</v>
      </c>
    </row>
    <row r="330" s="14" customFormat="1" spans="1:30">
      <c r="A330" s="18" t="s">
        <v>2309</v>
      </c>
      <c r="B330" s="14" t="s">
        <v>29</v>
      </c>
      <c r="C330" s="14" t="s">
        <v>2166</v>
      </c>
      <c r="D330" s="14" t="s">
        <v>1618</v>
      </c>
      <c r="E330" s="19">
        <v>85</v>
      </c>
      <c r="F330" s="14">
        <v>333</v>
      </c>
      <c r="G330" s="14">
        <v>100</v>
      </c>
      <c r="H330" s="14">
        <v>0</v>
      </c>
      <c r="I330" s="14">
        <v>135</v>
      </c>
      <c r="J330" s="19">
        <v>101</v>
      </c>
      <c r="K330" s="14">
        <v>0</v>
      </c>
      <c r="L330" s="19">
        <v>100</v>
      </c>
      <c r="M330" s="19">
        <v>80</v>
      </c>
      <c r="N330" s="19">
        <v>65</v>
      </c>
      <c r="O330" s="19">
        <v>34</v>
      </c>
      <c r="P330" s="19">
        <v>3</v>
      </c>
      <c r="Q330" s="19">
        <v>60</v>
      </c>
      <c r="R330" s="21" t="s">
        <v>2029</v>
      </c>
      <c r="S330" s="21" t="s">
        <v>2029</v>
      </c>
      <c r="T330" s="21" t="s">
        <v>1980</v>
      </c>
      <c r="U330" s="14" t="s">
        <v>1980</v>
      </c>
      <c r="V330" s="14">
        <f t="shared" si="12"/>
        <v>60</v>
      </c>
      <c r="W330" s="14">
        <v>15</v>
      </c>
      <c r="X330" s="14">
        <v>15</v>
      </c>
      <c r="Y330" s="14">
        <v>15</v>
      </c>
      <c r="Z330" s="14">
        <v>15</v>
      </c>
      <c r="AD330" s="14" t="s">
        <v>2300</v>
      </c>
    </row>
    <row r="331" s="14" customFormat="1" spans="1:30">
      <c r="A331" s="18" t="s">
        <v>2310</v>
      </c>
      <c r="B331" s="14" t="s">
        <v>29</v>
      </c>
      <c r="C331" s="14" t="s">
        <v>2071</v>
      </c>
      <c r="D331" s="14" t="s">
        <v>1618</v>
      </c>
      <c r="E331" s="19">
        <v>85</v>
      </c>
      <c r="F331" s="14">
        <v>333</v>
      </c>
      <c r="G331" s="14">
        <v>100</v>
      </c>
      <c r="H331" s="14">
        <v>0</v>
      </c>
      <c r="I331" s="14">
        <v>135</v>
      </c>
      <c r="J331" s="19">
        <v>101</v>
      </c>
      <c r="K331" s="14">
        <v>0</v>
      </c>
      <c r="L331" s="19">
        <v>100</v>
      </c>
      <c r="M331" s="19">
        <v>80</v>
      </c>
      <c r="N331" s="19">
        <v>65</v>
      </c>
      <c r="O331" s="19">
        <v>34</v>
      </c>
      <c r="P331" s="19">
        <v>3</v>
      </c>
      <c r="Q331" s="19">
        <v>60</v>
      </c>
      <c r="R331" s="21" t="s">
        <v>2029</v>
      </c>
      <c r="S331" s="21" t="s">
        <v>2029</v>
      </c>
      <c r="T331" s="21" t="s">
        <v>1980</v>
      </c>
      <c r="U331" s="14" t="s">
        <v>1980</v>
      </c>
      <c r="V331" s="14">
        <f t="shared" si="12"/>
        <v>60</v>
      </c>
      <c r="W331" s="14">
        <v>15</v>
      </c>
      <c r="X331" s="14">
        <v>15</v>
      </c>
      <c r="Y331" s="14">
        <v>15</v>
      </c>
      <c r="Z331" s="14">
        <v>15</v>
      </c>
      <c r="AD331" s="14" t="s">
        <v>2300</v>
      </c>
    </row>
    <row r="332" s="14" customFormat="1" spans="1:30">
      <c r="A332" s="18" t="s">
        <v>2311</v>
      </c>
      <c r="B332" s="14" t="s">
        <v>1960</v>
      </c>
      <c r="C332" s="14" t="s">
        <v>1961</v>
      </c>
      <c r="D332" s="14" t="s">
        <v>1618</v>
      </c>
      <c r="E332" s="19">
        <v>100</v>
      </c>
      <c r="F332" s="14">
        <v>450</v>
      </c>
      <c r="G332" s="14">
        <v>144</v>
      </c>
      <c r="H332" s="14">
        <v>0</v>
      </c>
      <c r="I332" s="14">
        <v>150</v>
      </c>
      <c r="J332" s="14">
        <v>200</v>
      </c>
      <c r="K332" s="14">
        <v>0</v>
      </c>
      <c r="L332" s="19">
        <v>100</v>
      </c>
      <c r="M332" s="19">
        <v>1</v>
      </c>
      <c r="N332" s="19">
        <v>88</v>
      </c>
      <c r="O332" s="19">
        <v>1</v>
      </c>
      <c r="P332" s="19">
        <v>3</v>
      </c>
      <c r="Q332" s="19">
        <v>75</v>
      </c>
      <c r="R332" s="21" t="s">
        <v>2312</v>
      </c>
      <c r="S332" s="21" t="s">
        <v>2312</v>
      </c>
      <c r="T332" s="21" t="s">
        <v>2312</v>
      </c>
      <c r="U332" s="14" t="s">
        <v>1674</v>
      </c>
      <c r="V332" s="14">
        <f t="shared" si="12"/>
        <v>65</v>
      </c>
      <c r="W332" s="14">
        <v>15</v>
      </c>
      <c r="X332" s="14">
        <v>15</v>
      </c>
      <c r="Y332" s="14">
        <v>15</v>
      </c>
      <c r="Z332" s="14">
        <v>20</v>
      </c>
      <c r="AD332" s="14" t="s">
        <v>2313</v>
      </c>
    </row>
    <row r="333" s="14" customFormat="1" spans="1:30">
      <c r="A333" s="18" t="s">
        <v>2314</v>
      </c>
      <c r="B333" s="14" t="s">
        <v>1960</v>
      </c>
      <c r="C333" s="14" t="s">
        <v>2315</v>
      </c>
      <c r="D333" s="14" t="s">
        <v>1618</v>
      </c>
      <c r="E333" s="19">
        <v>100</v>
      </c>
      <c r="F333" s="14">
        <v>333</v>
      </c>
      <c r="G333" s="14">
        <v>150</v>
      </c>
      <c r="H333" s="14">
        <v>0</v>
      </c>
      <c r="I333" s="14">
        <v>50</v>
      </c>
      <c r="J333" s="14">
        <v>150</v>
      </c>
      <c r="K333" s="14">
        <v>0</v>
      </c>
      <c r="L333" s="19">
        <v>100</v>
      </c>
      <c r="M333" s="19">
        <v>1</v>
      </c>
      <c r="N333" s="19">
        <v>80</v>
      </c>
      <c r="O333" s="19">
        <v>1</v>
      </c>
      <c r="P333" s="19">
        <v>3</v>
      </c>
      <c r="Q333" s="19">
        <v>75</v>
      </c>
      <c r="R333" s="21" t="s">
        <v>1740</v>
      </c>
      <c r="S333" s="21" t="s">
        <v>1669</v>
      </c>
      <c r="T333" s="21" t="s">
        <v>1669</v>
      </c>
      <c r="U333" s="14" t="s">
        <v>1669</v>
      </c>
      <c r="V333" s="14">
        <f t="shared" si="12"/>
        <v>60</v>
      </c>
      <c r="W333" s="14">
        <v>15</v>
      </c>
      <c r="X333" s="14">
        <v>15</v>
      </c>
      <c r="Y333" s="14">
        <v>15</v>
      </c>
      <c r="Z333" s="14">
        <v>15</v>
      </c>
      <c r="AD333" s="14" t="s">
        <v>2313</v>
      </c>
    </row>
    <row r="334" s="14" customFormat="1" spans="1:30">
      <c r="A334" s="18" t="s">
        <v>2316</v>
      </c>
      <c r="B334" s="14" t="s">
        <v>1960</v>
      </c>
      <c r="C334" s="14" t="s">
        <v>2317</v>
      </c>
      <c r="D334" s="14" t="s">
        <v>1618</v>
      </c>
      <c r="E334" s="19">
        <v>100</v>
      </c>
      <c r="F334" s="14">
        <v>333</v>
      </c>
      <c r="G334" s="14">
        <v>150</v>
      </c>
      <c r="H334" s="14">
        <v>0</v>
      </c>
      <c r="I334" s="14">
        <v>50</v>
      </c>
      <c r="J334" s="14">
        <v>150</v>
      </c>
      <c r="K334" s="14">
        <v>0</v>
      </c>
      <c r="L334" s="19">
        <v>100</v>
      </c>
      <c r="M334" s="19">
        <v>1</v>
      </c>
      <c r="N334" s="19">
        <v>80</v>
      </c>
      <c r="O334" s="19">
        <v>1</v>
      </c>
      <c r="P334" s="19">
        <v>3</v>
      </c>
      <c r="Q334" s="19">
        <v>75</v>
      </c>
      <c r="R334" s="21" t="s">
        <v>1740</v>
      </c>
      <c r="S334" s="21" t="s">
        <v>1669</v>
      </c>
      <c r="T334" s="21" t="s">
        <v>1669</v>
      </c>
      <c r="U334" s="14" t="s">
        <v>1669</v>
      </c>
      <c r="V334" s="14">
        <f t="shared" si="12"/>
        <v>60</v>
      </c>
      <c r="W334" s="14">
        <v>15</v>
      </c>
      <c r="X334" s="14">
        <v>15</v>
      </c>
      <c r="Y334" s="14">
        <v>15</v>
      </c>
      <c r="Z334" s="14">
        <v>15</v>
      </c>
      <c r="AD334" s="14" t="s">
        <v>2313</v>
      </c>
    </row>
    <row r="335" s="14" customFormat="1" spans="1:30">
      <c r="A335" s="18" t="s">
        <v>2318</v>
      </c>
      <c r="B335" s="14" t="s">
        <v>51</v>
      </c>
      <c r="C335" s="14" t="s">
        <v>1874</v>
      </c>
      <c r="D335" s="14" t="s">
        <v>1618</v>
      </c>
      <c r="E335" s="19">
        <v>95</v>
      </c>
      <c r="F335" s="14">
        <v>253</v>
      </c>
      <c r="G335" s="14">
        <v>216</v>
      </c>
      <c r="H335" s="14">
        <v>0</v>
      </c>
      <c r="I335" s="14">
        <v>125</v>
      </c>
      <c r="J335" s="14">
        <v>101</v>
      </c>
      <c r="K335" s="14">
        <v>0</v>
      </c>
      <c r="L335" s="19">
        <v>100</v>
      </c>
      <c r="M335" s="19">
        <v>60</v>
      </c>
      <c r="N335" s="19">
        <v>29</v>
      </c>
      <c r="O335" s="19">
        <v>32</v>
      </c>
      <c r="P335" s="19">
        <v>3</v>
      </c>
      <c r="Q335" s="19">
        <v>75</v>
      </c>
      <c r="R335" s="21" t="s">
        <v>1724</v>
      </c>
      <c r="S335" s="21" t="s">
        <v>1724</v>
      </c>
      <c r="T335" s="21" t="s">
        <v>1628</v>
      </c>
      <c r="U335" s="14" t="s">
        <v>1717</v>
      </c>
      <c r="V335" s="14">
        <f t="shared" si="12"/>
        <v>12</v>
      </c>
      <c r="W335" s="14">
        <v>3</v>
      </c>
      <c r="X335" s="14">
        <v>3</v>
      </c>
      <c r="Y335" s="14">
        <v>3</v>
      </c>
      <c r="Z335" s="14">
        <v>3</v>
      </c>
      <c r="AD335" s="14" t="s">
        <v>2313</v>
      </c>
    </row>
    <row r="336" s="14" customFormat="1" spans="1:30">
      <c r="A336" s="18" t="s">
        <v>2319</v>
      </c>
      <c r="B336" s="14" t="s">
        <v>51</v>
      </c>
      <c r="C336" s="14" t="s">
        <v>1876</v>
      </c>
      <c r="D336" s="14" t="s">
        <v>1618</v>
      </c>
      <c r="E336" s="19">
        <v>95</v>
      </c>
      <c r="F336" s="14">
        <v>233</v>
      </c>
      <c r="G336" s="14">
        <v>196</v>
      </c>
      <c r="H336" s="14">
        <v>0</v>
      </c>
      <c r="I336" s="14">
        <v>125</v>
      </c>
      <c r="J336" s="14">
        <v>101</v>
      </c>
      <c r="K336" s="14">
        <v>0</v>
      </c>
      <c r="L336" s="19">
        <v>100</v>
      </c>
      <c r="M336" s="19">
        <v>60</v>
      </c>
      <c r="N336" s="19">
        <v>26</v>
      </c>
      <c r="O336" s="19">
        <v>32</v>
      </c>
      <c r="P336" s="19">
        <v>3</v>
      </c>
      <c r="Q336" s="19">
        <v>75</v>
      </c>
      <c r="R336" s="21" t="s">
        <v>1724</v>
      </c>
      <c r="S336" s="21" t="s">
        <v>1724</v>
      </c>
      <c r="T336" s="21" t="s">
        <v>1628</v>
      </c>
      <c r="U336" s="14" t="s">
        <v>1717</v>
      </c>
      <c r="V336" s="14">
        <f t="shared" si="12"/>
        <v>12</v>
      </c>
      <c r="W336" s="14">
        <v>3</v>
      </c>
      <c r="X336" s="14">
        <v>3</v>
      </c>
      <c r="Y336" s="14">
        <v>3</v>
      </c>
      <c r="Z336" s="14">
        <v>3</v>
      </c>
      <c r="AD336" s="14" t="s">
        <v>2313</v>
      </c>
    </row>
    <row r="337" s="14" customFormat="1" spans="1:30">
      <c r="A337" s="18" t="s">
        <v>2320</v>
      </c>
      <c r="B337" s="14" t="s">
        <v>84</v>
      </c>
      <c r="C337" s="14" t="s">
        <v>1986</v>
      </c>
      <c r="D337" s="14" t="s">
        <v>1618</v>
      </c>
      <c r="E337" s="19">
        <v>100</v>
      </c>
      <c r="F337" s="14">
        <v>298</v>
      </c>
      <c r="G337" s="14">
        <v>180</v>
      </c>
      <c r="H337" s="14">
        <v>85</v>
      </c>
      <c r="I337" s="14">
        <v>100</v>
      </c>
      <c r="J337" s="14">
        <v>101</v>
      </c>
      <c r="K337" s="14">
        <v>0</v>
      </c>
      <c r="L337" s="19">
        <v>100</v>
      </c>
      <c r="M337" s="19">
        <v>60</v>
      </c>
      <c r="N337" s="19">
        <v>56</v>
      </c>
      <c r="O337" s="19">
        <v>34</v>
      </c>
      <c r="P337" s="19">
        <v>3</v>
      </c>
      <c r="Q337" s="19">
        <v>75</v>
      </c>
      <c r="R337" s="21" t="s">
        <v>1720</v>
      </c>
      <c r="S337" s="21" t="s">
        <v>1641</v>
      </c>
      <c r="T337" s="21" t="s">
        <v>1641</v>
      </c>
      <c r="U337" s="14" t="s">
        <v>1717</v>
      </c>
      <c r="V337" s="14">
        <f t="shared" si="12"/>
        <v>12</v>
      </c>
      <c r="W337" s="14">
        <v>3</v>
      </c>
      <c r="X337" s="14">
        <v>3</v>
      </c>
      <c r="Y337" s="14">
        <v>3</v>
      </c>
      <c r="Z337" s="14">
        <v>3</v>
      </c>
      <c r="AD337" s="14" t="s">
        <v>2313</v>
      </c>
    </row>
    <row r="338" s="14" customFormat="1" spans="1:30">
      <c r="A338" s="18" t="s">
        <v>2321</v>
      </c>
      <c r="B338" s="14" t="s">
        <v>1912</v>
      </c>
      <c r="C338" s="14" t="s">
        <v>1938</v>
      </c>
      <c r="D338" s="14" t="s">
        <v>1618</v>
      </c>
      <c r="E338" s="19">
        <v>105</v>
      </c>
      <c r="F338" s="14">
        <v>666</v>
      </c>
      <c r="G338" s="14">
        <v>250</v>
      </c>
      <c r="H338" s="14">
        <v>0</v>
      </c>
      <c r="I338" s="14">
        <v>50</v>
      </c>
      <c r="J338" s="14">
        <v>101</v>
      </c>
      <c r="K338" s="14">
        <v>0</v>
      </c>
      <c r="L338" s="14">
        <v>120</v>
      </c>
      <c r="M338" s="19">
        <v>10</v>
      </c>
      <c r="N338" s="19">
        <v>77</v>
      </c>
      <c r="O338" s="19">
        <v>1</v>
      </c>
      <c r="P338" s="19">
        <v>4</v>
      </c>
      <c r="Q338" s="19">
        <v>90</v>
      </c>
      <c r="R338" s="21" t="s">
        <v>1724</v>
      </c>
      <c r="S338" s="21" t="s">
        <v>1724</v>
      </c>
      <c r="T338" s="21" t="s">
        <v>1674</v>
      </c>
      <c r="U338" s="14" t="s">
        <v>1927</v>
      </c>
      <c r="V338" s="14">
        <f t="shared" si="12"/>
        <v>200</v>
      </c>
      <c r="W338" s="14">
        <v>50</v>
      </c>
      <c r="X338" s="14">
        <v>50</v>
      </c>
      <c r="Y338" s="14">
        <v>50</v>
      </c>
      <c r="Z338" s="14">
        <v>50</v>
      </c>
      <c r="AD338" s="14" t="s">
        <v>2322</v>
      </c>
    </row>
    <row r="339" s="14" customFormat="1" spans="1:30">
      <c r="A339" s="18" t="s">
        <v>2323</v>
      </c>
      <c r="B339" s="14" t="s">
        <v>1960</v>
      </c>
      <c r="C339" s="14" t="s">
        <v>1961</v>
      </c>
      <c r="D339" s="14" t="s">
        <v>1618</v>
      </c>
      <c r="E339" s="19">
        <v>105</v>
      </c>
      <c r="F339" s="14">
        <v>365</v>
      </c>
      <c r="G339" s="14">
        <v>250</v>
      </c>
      <c r="H339" s="14">
        <v>0</v>
      </c>
      <c r="I339" s="14">
        <v>150</v>
      </c>
      <c r="J339" s="14">
        <v>101</v>
      </c>
      <c r="K339" s="14">
        <v>0</v>
      </c>
      <c r="L339" s="14">
        <v>120</v>
      </c>
      <c r="M339" s="19">
        <v>1</v>
      </c>
      <c r="N339" s="19">
        <v>80</v>
      </c>
      <c r="O339" s="19">
        <v>1</v>
      </c>
      <c r="P339" s="19">
        <v>3</v>
      </c>
      <c r="Q339" s="19">
        <v>90</v>
      </c>
      <c r="R339" s="21" t="s">
        <v>1674</v>
      </c>
      <c r="S339" s="21" t="s">
        <v>1674</v>
      </c>
      <c r="T339" s="21" t="s">
        <v>1740</v>
      </c>
      <c r="U339" s="14" t="s">
        <v>1674</v>
      </c>
      <c r="V339" s="14">
        <f t="shared" si="12"/>
        <v>60</v>
      </c>
      <c r="W339" s="14">
        <v>15</v>
      </c>
      <c r="X339" s="14">
        <v>15</v>
      </c>
      <c r="Y339" s="14">
        <v>15</v>
      </c>
      <c r="Z339" s="14">
        <v>15</v>
      </c>
      <c r="AD339" s="14" t="s">
        <v>2322</v>
      </c>
    </row>
    <row r="340" s="14" customFormat="1" spans="1:30">
      <c r="A340" s="18" t="s">
        <v>2324</v>
      </c>
      <c r="B340" s="14" t="s">
        <v>1912</v>
      </c>
      <c r="C340" s="14" t="s">
        <v>2325</v>
      </c>
      <c r="D340" s="14" t="s">
        <v>1618</v>
      </c>
      <c r="E340" s="19">
        <v>100</v>
      </c>
      <c r="F340" s="14">
        <v>666</v>
      </c>
      <c r="G340" s="14">
        <v>250</v>
      </c>
      <c r="H340" s="14">
        <v>0</v>
      </c>
      <c r="I340" s="14">
        <v>0</v>
      </c>
      <c r="J340" s="14">
        <v>101</v>
      </c>
      <c r="K340" s="14">
        <v>0</v>
      </c>
      <c r="L340" s="14">
        <v>120</v>
      </c>
      <c r="M340" s="19">
        <v>1</v>
      </c>
      <c r="N340" s="19">
        <v>80</v>
      </c>
      <c r="O340" s="19">
        <v>1</v>
      </c>
      <c r="P340" s="19">
        <v>4</v>
      </c>
      <c r="Q340" s="19">
        <v>90</v>
      </c>
      <c r="R340" s="21" t="s">
        <v>1724</v>
      </c>
      <c r="S340" s="21" t="s">
        <v>1724</v>
      </c>
      <c r="T340" s="21" t="s">
        <v>1669</v>
      </c>
      <c r="U340" s="14" t="s">
        <v>1740</v>
      </c>
      <c r="V340" s="14">
        <f t="shared" si="12"/>
        <v>60</v>
      </c>
      <c r="W340" s="14">
        <v>15</v>
      </c>
      <c r="X340" s="14">
        <v>15</v>
      </c>
      <c r="Y340" s="14">
        <v>15</v>
      </c>
      <c r="Z340" s="14">
        <v>15</v>
      </c>
      <c r="AD340" s="14" t="s">
        <v>2322</v>
      </c>
    </row>
    <row r="341" s="14" customFormat="1" spans="1:30">
      <c r="A341" s="18" t="s">
        <v>2326</v>
      </c>
      <c r="B341" s="14" t="s">
        <v>1738</v>
      </c>
      <c r="C341" s="14" t="s">
        <v>194</v>
      </c>
      <c r="D341" s="14" t="s">
        <v>1618</v>
      </c>
      <c r="E341" s="19">
        <v>100</v>
      </c>
      <c r="F341" s="14">
        <v>298</v>
      </c>
      <c r="G341" s="14">
        <v>180</v>
      </c>
      <c r="H341" s="14">
        <v>120</v>
      </c>
      <c r="I341" s="14">
        <v>180</v>
      </c>
      <c r="J341" s="14">
        <v>101</v>
      </c>
      <c r="K341" s="14">
        <v>93</v>
      </c>
      <c r="L341" s="14">
        <v>120</v>
      </c>
      <c r="M341" s="19">
        <v>70</v>
      </c>
      <c r="N341" s="19">
        <v>60</v>
      </c>
      <c r="O341" s="19">
        <v>34</v>
      </c>
      <c r="P341" s="19">
        <v>3</v>
      </c>
      <c r="Q341" s="19">
        <v>90</v>
      </c>
      <c r="R341" s="21" t="s">
        <v>1724</v>
      </c>
      <c r="S341" s="21" t="s">
        <v>1721</v>
      </c>
      <c r="T341" s="21" t="s">
        <v>1799</v>
      </c>
      <c r="U341" s="14" t="s">
        <v>1740</v>
      </c>
      <c r="V341" s="14">
        <f t="shared" si="12"/>
        <v>90</v>
      </c>
      <c r="W341" s="14">
        <v>0</v>
      </c>
      <c r="X341" s="14">
        <v>0</v>
      </c>
      <c r="Y341" s="14">
        <v>0</v>
      </c>
      <c r="Z341" s="14">
        <v>90</v>
      </c>
      <c r="AD341" s="14" t="s">
        <v>2322</v>
      </c>
    </row>
    <row r="342" s="14" customFormat="1" spans="1:30">
      <c r="A342" s="18" t="s">
        <v>2327</v>
      </c>
      <c r="B342" s="14" t="s">
        <v>44</v>
      </c>
      <c r="C342" s="14" t="s">
        <v>1979</v>
      </c>
      <c r="D342" s="14" t="s">
        <v>1618</v>
      </c>
      <c r="E342" s="19">
        <v>100</v>
      </c>
      <c r="F342" s="14">
        <v>233</v>
      </c>
      <c r="G342" s="14">
        <v>50</v>
      </c>
      <c r="H342" s="14">
        <v>0</v>
      </c>
      <c r="I342" s="14">
        <v>180</v>
      </c>
      <c r="J342" s="14">
        <v>101</v>
      </c>
      <c r="K342" s="14">
        <v>0</v>
      </c>
      <c r="L342" s="14">
        <v>120</v>
      </c>
      <c r="M342" s="19">
        <v>70</v>
      </c>
      <c r="N342" s="19">
        <v>60</v>
      </c>
      <c r="O342" s="19">
        <v>33</v>
      </c>
      <c r="P342" s="19">
        <v>1</v>
      </c>
      <c r="Q342" s="19">
        <v>90</v>
      </c>
      <c r="R342" s="21" t="s">
        <v>1674</v>
      </c>
      <c r="S342" s="21" t="s">
        <v>1669</v>
      </c>
      <c r="T342" s="21" t="s">
        <v>1669</v>
      </c>
      <c r="U342" s="14" t="s">
        <v>1669</v>
      </c>
      <c r="V342" s="14">
        <f t="shared" si="12"/>
        <v>192</v>
      </c>
      <c r="W342" s="14">
        <v>48</v>
      </c>
      <c r="X342" s="14">
        <v>48</v>
      </c>
      <c r="Y342" s="14">
        <v>48</v>
      </c>
      <c r="Z342" s="14">
        <v>48</v>
      </c>
      <c r="AD342" s="14" t="s">
        <v>2322</v>
      </c>
    </row>
    <row r="343" s="14" customFormat="1" spans="1:30">
      <c r="A343" s="18" t="s">
        <v>2328</v>
      </c>
      <c r="B343" s="14" t="s">
        <v>92</v>
      </c>
      <c r="C343" s="14" t="s">
        <v>2329</v>
      </c>
      <c r="D343" s="14" t="s">
        <v>1618</v>
      </c>
      <c r="E343" s="19">
        <v>100</v>
      </c>
      <c r="F343" s="14">
        <v>108</v>
      </c>
      <c r="G343" s="14">
        <v>108</v>
      </c>
      <c r="H343" s="14">
        <v>0</v>
      </c>
      <c r="I343" s="14">
        <v>100</v>
      </c>
      <c r="J343" s="14">
        <v>101</v>
      </c>
      <c r="K343" s="14">
        <v>100</v>
      </c>
      <c r="L343" s="14">
        <v>120</v>
      </c>
      <c r="M343" s="19">
        <v>70</v>
      </c>
      <c r="N343" s="19">
        <v>40</v>
      </c>
      <c r="O343" s="19">
        <v>33</v>
      </c>
      <c r="P343" s="19">
        <v>1</v>
      </c>
      <c r="Q343" s="19">
        <v>90</v>
      </c>
      <c r="R343" s="21" t="s">
        <v>1885</v>
      </c>
      <c r="S343" s="21" t="s">
        <v>1886</v>
      </c>
      <c r="T343" s="21" t="s">
        <v>1886</v>
      </c>
      <c r="V343" s="14">
        <f t="shared" si="12"/>
        <v>24</v>
      </c>
      <c r="W343" s="14">
        <v>8</v>
      </c>
      <c r="X343" s="14">
        <v>8</v>
      </c>
      <c r="Y343" s="14">
        <v>8</v>
      </c>
      <c r="Z343" s="14">
        <v>0</v>
      </c>
      <c r="AD343" s="14" t="s">
        <v>2322</v>
      </c>
    </row>
    <row r="344" s="14" customFormat="1" spans="1:30">
      <c r="A344" s="18" t="s">
        <v>2330</v>
      </c>
      <c r="B344" s="14" t="s">
        <v>37</v>
      </c>
      <c r="C344" s="14" t="s">
        <v>2043</v>
      </c>
      <c r="D344" s="14" t="s">
        <v>1618</v>
      </c>
      <c r="E344" s="19">
        <v>110</v>
      </c>
      <c r="F344" s="14">
        <v>540</v>
      </c>
      <c r="G344" s="14">
        <v>350</v>
      </c>
      <c r="H344" s="14">
        <v>0</v>
      </c>
      <c r="I344" s="14">
        <v>250</v>
      </c>
      <c r="J344" s="14">
        <v>30</v>
      </c>
      <c r="K344" s="14">
        <v>0</v>
      </c>
      <c r="L344" s="14">
        <v>130</v>
      </c>
      <c r="M344" s="19">
        <v>90</v>
      </c>
      <c r="N344" s="19">
        <v>66</v>
      </c>
      <c r="O344" s="19">
        <v>35</v>
      </c>
      <c r="P344" s="19">
        <v>4</v>
      </c>
      <c r="Q344" s="19">
        <v>105</v>
      </c>
      <c r="R344" s="21" t="s">
        <v>1964</v>
      </c>
      <c r="S344" s="21" t="s">
        <v>1964</v>
      </c>
      <c r="T344" s="21" t="s">
        <v>1964</v>
      </c>
      <c r="U344" s="14" t="s">
        <v>2331</v>
      </c>
      <c r="V344" s="14">
        <f t="shared" si="12"/>
        <v>12</v>
      </c>
      <c r="W344" s="14">
        <v>3</v>
      </c>
      <c r="X344" s="14">
        <v>3</v>
      </c>
      <c r="Y344" s="14">
        <v>3</v>
      </c>
      <c r="Z344" s="14">
        <v>3</v>
      </c>
      <c r="AD344" s="14" t="s">
        <v>2332</v>
      </c>
    </row>
    <row r="345" s="14" customFormat="1" spans="1:30">
      <c r="A345" s="18" t="s">
        <v>2333</v>
      </c>
      <c r="B345" s="14" t="s">
        <v>1738</v>
      </c>
      <c r="C345" s="14" t="s">
        <v>2025</v>
      </c>
      <c r="D345" s="14" t="s">
        <v>1618</v>
      </c>
      <c r="E345" s="19">
        <v>110</v>
      </c>
      <c r="F345" s="14">
        <v>385</v>
      </c>
      <c r="G345" s="14">
        <v>350</v>
      </c>
      <c r="H345" s="14">
        <v>0</v>
      </c>
      <c r="I345" s="14">
        <v>250</v>
      </c>
      <c r="J345" s="14">
        <v>30</v>
      </c>
      <c r="K345" s="14">
        <v>0</v>
      </c>
      <c r="L345" s="14">
        <v>130</v>
      </c>
      <c r="M345" s="19">
        <v>90</v>
      </c>
      <c r="N345" s="19">
        <v>66</v>
      </c>
      <c r="O345" s="19">
        <v>28</v>
      </c>
      <c r="P345" s="19">
        <v>4</v>
      </c>
      <c r="Q345" s="19">
        <v>105</v>
      </c>
      <c r="R345" s="21" t="s">
        <v>1964</v>
      </c>
      <c r="S345" s="21" t="s">
        <v>1964</v>
      </c>
      <c r="T345" s="21" t="s">
        <v>1964</v>
      </c>
      <c r="U345" s="14" t="s">
        <v>2312</v>
      </c>
      <c r="V345" s="14">
        <f t="shared" si="12"/>
        <v>50</v>
      </c>
      <c r="W345" s="14">
        <v>0</v>
      </c>
      <c r="X345" s="14">
        <v>0</v>
      </c>
      <c r="Y345" s="14">
        <v>0</v>
      </c>
      <c r="Z345" s="14">
        <v>50</v>
      </c>
      <c r="AD345" s="14" t="s">
        <v>2332</v>
      </c>
    </row>
    <row r="346" s="14" customFormat="1" spans="1:30">
      <c r="A346" s="18" t="s">
        <v>2334</v>
      </c>
      <c r="B346" s="14" t="s">
        <v>44</v>
      </c>
      <c r="C346" s="14" t="s">
        <v>2083</v>
      </c>
      <c r="D346" s="14" t="s">
        <v>1618</v>
      </c>
      <c r="E346" s="19">
        <v>110</v>
      </c>
      <c r="F346" s="14">
        <v>480</v>
      </c>
      <c r="G346" s="14">
        <v>200</v>
      </c>
      <c r="H346" s="14">
        <v>0</v>
      </c>
      <c r="I346" s="14">
        <v>250</v>
      </c>
      <c r="J346" s="14">
        <v>30</v>
      </c>
      <c r="K346" s="14">
        <v>0</v>
      </c>
      <c r="L346" s="14">
        <v>130</v>
      </c>
      <c r="M346" s="19">
        <v>87</v>
      </c>
      <c r="N346" s="19">
        <v>66</v>
      </c>
      <c r="O346" s="19">
        <v>35</v>
      </c>
      <c r="P346" s="19">
        <v>3</v>
      </c>
      <c r="Q346" s="19">
        <v>105</v>
      </c>
      <c r="R346" s="21" t="s">
        <v>2029</v>
      </c>
      <c r="S346" s="21" t="s">
        <v>2029</v>
      </c>
      <c r="T346" s="21" t="s">
        <v>2202</v>
      </c>
      <c r="U346" s="14" t="s">
        <v>2219</v>
      </c>
      <c r="V346" s="14">
        <f t="shared" si="12"/>
        <v>80</v>
      </c>
      <c r="W346" s="14">
        <v>20</v>
      </c>
      <c r="X346" s="14">
        <v>20</v>
      </c>
      <c r="Y346" s="14">
        <v>20</v>
      </c>
      <c r="Z346" s="14">
        <v>20</v>
      </c>
      <c r="AD346" s="14" t="s">
        <v>2332</v>
      </c>
    </row>
    <row r="347" s="14" customFormat="1" spans="1:30">
      <c r="A347" s="18" t="s">
        <v>2335</v>
      </c>
      <c r="B347" s="14" t="s">
        <v>1960</v>
      </c>
      <c r="C347" s="14" t="s">
        <v>2028</v>
      </c>
      <c r="D347" s="14" t="s">
        <v>1618</v>
      </c>
      <c r="E347" s="19">
        <v>110</v>
      </c>
      <c r="F347" s="14">
        <v>396</v>
      </c>
      <c r="G347" s="14">
        <v>200</v>
      </c>
      <c r="H347" s="14">
        <v>0</v>
      </c>
      <c r="I347" s="14">
        <v>50</v>
      </c>
      <c r="J347" s="14">
        <v>50</v>
      </c>
      <c r="K347" s="14">
        <v>0</v>
      </c>
      <c r="L347" s="14">
        <v>130</v>
      </c>
      <c r="M347" s="19">
        <v>40</v>
      </c>
      <c r="N347" s="19">
        <v>40</v>
      </c>
      <c r="O347" s="19">
        <v>1</v>
      </c>
      <c r="P347" s="19">
        <v>3</v>
      </c>
      <c r="Q347" s="19">
        <v>105</v>
      </c>
      <c r="R347" s="21" t="s">
        <v>2312</v>
      </c>
      <c r="S347" s="21" t="s">
        <v>2312</v>
      </c>
      <c r="T347" s="21" t="s">
        <v>2312</v>
      </c>
      <c r="U347" s="14" t="s">
        <v>2312</v>
      </c>
      <c r="V347" s="14">
        <f t="shared" si="12"/>
        <v>60</v>
      </c>
      <c r="W347" s="14">
        <v>15</v>
      </c>
      <c r="X347" s="14">
        <v>15</v>
      </c>
      <c r="Y347" s="14">
        <v>15</v>
      </c>
      <c r="Z347" s="14">
        <v>15</v>
      </c>
      <c r="AD347" s="14" t="s">
        <v>2332</v>
      </c>
    </row>
    <row r="348" s="14" customFormat="1" spans="1:30">
      <c r="A348" s="18" t="s">
        <v>2336</v>
      </c>
      <c r="B348" s="14" t="s">
        <v>37</v>
      </c>
      <c r="C348" s="18">
        <v>111</v>
      </c>
      <c r="D348" s="14" t="s">
        <v>1618</v>
      </c>
      <c r="E348" s="19">
        <v>110</v>
      </c>
      <c r="F348" s="14">
        <v>385</v>
      </c>
      <c r="G348" s="14">
        <v>350</v>
      </c>
      <c r="H348" s="14">
        <v>0</v>
      </c>
      <c r="I348" s="14">
        <v>250</v>
      </c>
      <c r="J348" s="14">
        <v>30</v>
      </c>
      <c r="K348" s="14">
        <v>0</v>
      </c>
      <c r="L348" s="14">
        <v>130</v>
      </c>
      <c r="M348" s="19">
        <v>90</v>
      </c>
      <c r="N348" s="19">
        <v>66</v>
      </c>
      <c r="O348" s="19">
        <v>28</v>
      </c>
      <c r="P348" s="19">
        <v>4</v>
      </c>
      <c r="Q348" s="19">
        <v>105</v>
      </c>
      <c r="R348" s="21" t="s">
        <v>1964</v>
      </c>
      <c r="S348" s="21" t="s">
        <v>1964</v>
      </c>
      <c r="T348" s="21" t="s">
        <v>1964</v>
      </c>
      <c r="U348" s="14" t="s">
        <v>2331</v>
      </c>
      <c r="V348" s="14">
        <f t="shared" si="12"/>
        <v>12</v>
      </c>
      <c r="W348" s="14">
        <v>3</v>
      </c>
      <c r="X348" s="14">
        <v>3</v>
      </c>
      <c r="Y348" s="14">
        <v>3</v>
      </c>
      <c r="Z348" s="14">
        <v>3</v>
      </c>
      <c r="AD348" s="14" t="s">
        <v>2332</v>
      </c>
    </row>
    <row r="349" s="14" customFormat="1" spans="1:30">
      <c r="A349" s="18" t="s">
        <v>2337</v>
      </c>
      <c r="B349" s="14" t="s">
        <v>259</v>
      </c>
      <c r="C349" s="14" t="s">
        <v>2221</v>
      </c>
      <c r="D349" s="14" t="s">
        <v>1618</v>
      </c>
      <c r="E349" s="19">
        <v>110</v>
      </c>
      <c r="F349" s="14">
        <v>128</v>
      </c>
      <c r="G349" s="14">
        <v>200</v>
      </c>
      <c r="H349" s="14">
        <v>170</v>
      </c>
      <c r="I349" s="14">
        <v>50</v>
      </c>
      <c r="J349" s="14">
        <v>100</v>
      </c>
      <c r="K349" s="14">
        <v>139</v>
      </c>
      <c r="L349" s="14">
        <v>130</v>
      </c>
      <c r="M349" s="19">
        <v>150</v>
      </c>
      <c r="N349" s="19">
        <v>68</v>
      </c>
      <c r="O349" s="19">
        <v>35</v>
      </c>
      <c r="P349" s="19">
        <v>1</v>
      </c>
      <c r="Q349" s="19">
        <v>600</v>
      </c>
      <c r="R349" s="21" t="s">
        <v>2338</v>
      </c>
      <c r="S349" s="21" t="s">
        <v>1800</v>
      </c>
      <c r="T349" s="21" t="s">
        <v>2339</v>
      </c>
      <c r="U349" s="14" t="s">
        <v>2340</v>
      </c>
      <c r="V349" s="14">
        <f t="shared" si="12"/>
        <v>0</v>
      </c>
      <c r="W349" s="14">
        <v>0</v>
      </c>
      <c r="X349" s="14">
        <v>0</v>
      </c>
      <c r="Y349" s="14">
        <v>0</v>
      </c>
      <c r="Z349" s="14">
        <v>0</v>
      </c>
      <c r="AD349" s="14" t="s">
        <v>2332</v>
      </c>
    </row>
    <row r="350" s="14" customFormat="1" spans="1:30">
      <c r="A350" s="18" t="s">
        <v>2341</v>
      </c>
      <c r="B350" s="14" t="s">
        <v>1960</v>
      </c>
      <c r="C350" s="14" t="s">
        <v>2342</v>
      </c>
      <c r="D350" s="14" t="s">
        <v>1618</v>
      </c>
      <c r="E350" s="19">
        <v>115</v>
      </c>
      <c r="F350" s="14">
        <v>666</v>
      </c>
      <c r="G350" s="14">
        <v>200</v>
      </c>
      <c r="H350" s="14">
        <v>0</v>
      </c>
      <c r="I350" s="14">
        <v>150</v>
      </c>
      <c r="J350" s="14">
        <v>150</v>
      </c>
      <c r="K350" s="14">
        <v>0</v>
      </c>
      <c r="L350" s="14">
        <v>150</v>
      </c>
      <c r="M350" s="19">
        <v>90</v>
      </c>
      <c r="N350" s="19">
        <v>60</v>
      </c>
      <c r="O350" s="19">
        <v>1</v>
      </c>
      <c r="P350" s="19">
        <v>4</v>
      </c>
      <c r="Q350" s="19">
        <v>120</v>
      </c>
      <c r="R350" s="21" t="s">
        <v>1939</v>
      </c>
      <c r="S350" s="21" t="s">
        <v>1939</v>
      </c>
      <c r="T350" s="21" t="s">
        <v>1939</v>
      </c>
      <c r="U350" s="14" t="s">
        <v>1939</v>
      </c>
      <c r="V350" s="14">
        <f t="shared" si="12"/>
        <v>80</v>
      </c>
      <c r="W350" s="14">
        <v>20</v>
      </c>
      <c r="X350" s="14">
        <v>20</v>
      </c>
      <c r="Y350" s="14">
        <v>20</v>
      </c>
      <c r="Z350" s="14">
        <v>20</v>
      </c>
      <c r="AD350" s="14" t="s">
        <v>2343</v>
      </c>
    </row>
    <row r="351" s="14" customFormat="1" spans="1:30">
      <c r="A351" s="18" t="s">
        <v>2344</v>
      </c>
      <c r="B351" s="14" t="s">
        <v>2260</v>
      </c>
      <c r="C351" s="14" t="s">
        <v>2279</v>
      </c>
      <c r="D351" s="14" t="s">
        <v>1618</v>
      </c>
      <c r="E351" s="19">
        <v>115</v>
      </c>
      <c r="F351" s="14">
        <v>540</v>
      </c>
      <c r="G351" s="14">
        <v>200</v>
      </c>
      <c r="H351" s="14">
        <v>150</v>
      </c>
      <c r="I351" s="14">
        <v>180</v>
      </c>
      <c r="J351" s="14">
        <v>120</v>
      </c>
      <c r="K351" s="14">
        <v>0</v>
      </c>
      <c r="L351" s="14">
        <v>150</v>
      </c>
      <c r="M351" s="19">
        <v>90</v>
      </c>
      <c r="N351" s="19">
        <v>70</v>
      </c>
      <c r="O351" s="19">
        <v>90</v>
      </c>
      <c r="P351" s="19">
        <v>3</v>
      </c>
      <c r="Q351" s="19">
        <v>120</v>
      </c>
      <c r="R351" s="21" t="s">
        <v>1856</v>
      </c>
      <c r="S351" s="21" t="s">
        <v>1857</v>
      </c>
      <c r="T351" s="21" t="s">
        <v>1857</v>
      </c>
      <c r="U351" s="14" t="s">
        <v>1740</v>
      </c>
      <c r="V351" s="14">
        <f t="shared" si="12"/>
        <v>39</v>
      </c>
      <c r="W351" s="14">
        <v>8</v>
      </c>
      <c r="X351" s="14">
        <v>8</v>
      </c>
      <c r="Y351" s="14">
        <v>8</v>
      </c>
      <c r="Z351" s="14">
        <v>15</v>
      </c>
      <c r="AD351" s="14" t="s">
        <v>2343</v>
      </c>
    </row>
    <row r="352" s="14" customFormat="1" spans="1:30">
      <c r="A352" s="18" t="s">
        <v>2345</v>
      </c>
      <c r="B352" s="14" t="s">
        <v>37</v>
      </c>
      <c r="C352" s="14" t="s">
        <v>2346</v>
      </c>
      <c r="D352" s="14" t="s">
        <v>1618</v>
      </c>
      <c r="E352" s="19">
        <v>115</v>
      </c>
      <c r="F352" s="14">
        <v>450</v>
      </c>
      <c r="G352" s="14">
        <v>250</v>
      </c>
      <c r="H352" s="14">
        <v>0</v>
      </c>
      <c r="I352" s="14">
        <v>250</v>
      </c>
      <c r="J352" s="14">
        <v>120</v>
      </c>
      <c r="K352" s="14">
        <v>0</v>
      </c>
      <c r="L352" s="14">
        <v>150</v>
      </c>
      <c r="M352" s="19">
        <v>90</v>
      </c>
      <c r="N352" s="19">
        <v>40</v>
      </c>
      <c r="O352" s="19">
        <v>33</v>
      </c>
      <c r="P352" s="19">
        <v>3</v>
      </c>
      <c r="Q352" s="19">
        <v>120</v>
      </c>
      <c r="R352" s="21" t="s">
        <v>1724</v>
      </c>
      <c r="S352" s="21" t="s">
        <v>1724</v>
      </c>
      <c r="T352" s="21" t="s">
        <v>1628</v>
      </c>
      <c r="U352" s="14" t="s">
        <v>1717</v>
      </c>
      <c r="V352" s="14">
        <f t="shared" si="12"/>
        <v>12</v>
      </c>
      <c r="W352" s="14">
        <v>3</v>
      </c>
      <c r="X352" s="14">
        <v>3</v>
      </c>
      <c r="Y352" s="14">
        <v>3</v>
      </c>
      <c r="Z352" s="14">
        <v>3</v>
      </c>
      <c r="AD352" s="14" t="s">
        <v>2343</v>
      </c>
    </row>
    <row r="353" s="14" customFormat="1" spans="1:30">
      <c r="A353" s="18" t="s">
        <v>2347</v>
      </c>
      <c r="B353" s="14" t="s">
        <v>1738</v>
      </c>
      <c r="C353" s="14" t="s">
        <v>2267</v>
      </c>
      <c r="D353" s="14" t="s">
        <v>1618</v>
      </c>
      <c r="E353" s="19">
        <v>115</v>
      </c>
      <c r="F353" s="14">
        <v>360</v>
      </c>
      <c r="G353" s="14">
        <v>150</v>
      </c>
      <c r="H353" s="14">
        <v>140</v>
      </c>
      <c r="I353" s="14">
        <v>150</v>
      </c>
      <c r="J353" s="14">
        <v>120</v>
      </c>
      <c r="K353" s="14">
        <v>110</v>
      </c>
      <c r="L353" s="14">
        <v>150</v>
      </c>
      <c r="M353" s="19">
        <v>90</v>
      </c>
      <c r="N353" s="19">
        <v>90</v>
      </c>
      <c r="O353" s="19">
        <v>36</v>
      </c>
      <c r="P353" s="19">
        <v>3</v>
      </c>
      <c r="Q353" s="19">
        <v>120</v>
      </c>
      <c r="R353" s="21" t="s">
        <v>1724</v>
      </c>
      <c r="S353" s="21" t="s">
        <v>1721</v>
      </c>
      <c r="T353" s="21" t="s">
        <v>1799</v>
      </c>
      <c r="U353" s="14" t="s">
        <v>1740</v>
      </c>
      <c r="V353" s="14">
        <f t="shared" si="12"/>
        <v>220</v>
      </c>
      <c r="W353" s="14">
        <v>0</v>
      </c>
      <c r="X353" s="14">
        <v>0</v>
      </c>
      <c r="Y353" s="14">
        <v>0</v>
      </c>
      <c r="Z353" s="14">
        <v>220</v>
      </c>
      <c r="AD353" s="14" t="s">
        <v>2343</v>
      </c>
    </row>
    <row r="354" s="14" customFormat="1" spans="1:30">
      <c r="A354" s="18" t="s">
        <v>2348</v>
      </c>
      <c r="B354" s="14" t="s">
        <v>44</v>
      </c>
      <c r="C354" s="14" t="s">
        <v>2349</v>
      </c>
      <c r="D354" s="14" t="s">
        <v>1618</v>
      </c>
      <c r="E354" s="19">
        <v>115</v>
      </c>
      <c r="F354" s="14">
        <v>315</v>
      </c>
      <c r="G354" s="14">
        <v>100</v>
      </c>
      <c r="H354" s="14">
        <v>0</v>
      </c>
      <c r="I354" s="14">
        <v>150</v>
      </c>
      <c r="J354" s="14">
        <v>120</v>
      </c>
      <c r="K354" s="14">
        <v>0</v>
      </c>
      <c r="L354" s="14">
        <v>150</v>
      </c>
      <c r="M354" s="19">
        <v>90</v>
      </c>
      <c r="N354" s="19">
        <v>55</v>
      </c>
      <c r="O354" s="19">
        <v>33</v>
      </c>
      <c r="P354" s="19">
        <v>3</v>
      </c>
      <c r="Q354" s="19">
        <v>120</v>
      </c>
      <c r="R354" s="21" t="s">
        <v>1667</v>
      </c>
      <c r="S354" s="21" t="s">
        <v>1667</v>
      </c>
      <c r="T354" s="21" t="s">
        <v>1669</v>
      </c>
      <c r="U354" s="14" t="s">
        <v>1848</v>
      </c>
      <c r="V354" s="14">
        <f t="shared" si="12"/>
        <v>84</v>
      </c>
      <c r="W354" s="14">
        <v>20</v>
      </c>
      <c r="X354" s="14">
        <v>18</v>
      </c>
      <c r="Y354" s="14">
        <v>18</v>
      </c>
      <c r="Z354" s="14">
        <v>28</v>
      </c>
      <c r="AD354" s="14" t="s">
        <v>2343</v>
      </c>
    </row>
    <row r="355" s="14" customFormat="1" spans="1:30">
      <c r="A355" s="18" t="s">
        <v>2350</v>
      </c>
      <c r="B355" s="14" t="s">
        <v>92</v>
      </c>
      <c r="C355" s="14" t="s">
        <v>2351</v>
      </c>
      <c r="D355" s="14" t="s">
        <v>1618</v>
      </c>
      <c r="E355" s="19">
        <v>115</v>
      </c>
      <c r="F355" s="14">
        <v>158</v>
      </c>
      <c r="G355" s="14">
        <v>120</v>
      </c>
      <c r="H355" s="14">
        <v>0</v>
      </c>
      <c r="I355" s="14">
        <v>88</v>
      </c>
      <c r="J355" s="14">
        <v>120</v>
      </c>
      <c r="K355" s="14">
        <v>100</v>
      </c>
      <c r="L355" s="14">
        <v>150</v>
      </c>
      <c r="M355" s="19">
        <v>110</v>
      </c>
      <c r="N355" s="19">
        <v>60</v>
      </c>
      <c r="O355" s="19">
        <v>28</v>
      </c>
      <c r="P355" s="19">
        <v>1</v>
      </c>
      <c r="Q355" s="19">
        <v>120</v>
      </c>
      <c r="R355" s="21" t="s">
        <v>1885</v>
      </c>
      <c r="S355" s="21" t="s">
        <v>1886</v>
      </c>
      <c r="T355" s="21" t="s">
        <v>1886</v>
      </c>
      <c r="V355" s="14">
        <f t="shared" si="12"/>
        <v>24</v>
      </c>
      <c r="W355" s="14">
        <v>8</v>
      </c>
      <c r="X355" s="14">
        <v>8</v>
      </c>
      <c r="Y355" s="14">
        <v>8</v>
      </c>
      <c r="Z355" s="14">
        <v>0</v>
      </c>
      <c r="AD355" s="14" t="s">
        <v>2343</v>
      </c>
    </row>
    <row r="356" s="14" customFormat="1" spans="1:30">
      <c r="A356" s="18" t="s">
        <v>2352</v>
      </c>
      <c r="B356" s="14" t="s">
        <v>44</v>
      </c>
      <c r="C356" s="14" t="s">
        <v>2353</v>
      </c>
      <c r="D356" s="14" t="s">
        <v>1618</v>
      </c>
      <c r="E356" s="19">
        <v>120</v>
      </c>
      <c r="F356" s="14">
        <v>777</v>
      </c>
      <c r="G356" s="14">
        <v>444</v>
      </c>
      <c r="H356" s="14">
        <v>0</v>
      </c>
      <c r="I356" s="14">
        <v>200</v>
      </c>
      <c r="J356" s="14">
        <v>150</v>
      </c>
      <c r="K356" s="14">
        <v>0</v>
      </c>
      <c r="L356" s="14">
        <v>160</v>
      </c>
      <c r="M356" s="14">
        <v>100</v>
      </c>
      <c r="N356" s="14">
        <v>70</v>
      </c>
      <c r="O356" s="19">
        <v>33</v>
      </c>
      <c r="P356" s="19">
        <v>3</v>
      </c>
      <c r="Q356" s="19">
        <v>150</v>
      </c>
      <c r="R356" s="21" t="s">
        <v>2354</v>
      </c>
      <c r="S356" s="21" t="s">
        <v>2355</v>
      </c>
      <c r="T356" s="21" t="s">
        <v>2355</v>
      </c>
      <c r="U356" s="14" t="s">
        <v>2355</v>
      </c>
      <c r="V356" s="14">
        <f t="shared" si="12"/>
        <v>100</v>
      </c>
      <c r="W356" s="14">
        <v>25</v>
      </c>
      <c r="X356" s="14">
        <v>25</v>
      </c>
      <c r="Y356" s="14">
        <v>25</v>
      </c>
      <c r="Z356" s="14">
        <v>25</v>
      </c>
      <c r="AD356" s="14" t="s">
        <v>2356</v>
      </c>
    </row>
    <row r="357" s="14" customFormat="1" spans="1:30">
      <c r="A357" s="18" t="s">
        <v>2357</v>
      </c>
      <c r="B357" s="14" t="s">
        <v>44</v>
      </c>
      <c r="C357" s="14" t="s">
        <v>2358</v>
      </c>
      <c r="D357" s="14" t="s">
        <v>1618</v>
      </c>
      <c r="E357" s="19">
        <v>120</v>
      </c>
      <c r="F357" s="14">
        <v>520</v>
      </c>
      <c r="G357" s="14">
        <v>444</v>
      </c>
      <c r="H357" s="14">
        <v>0</v>
      </c>
      <c r="I357" s="14">
        <v>233</v>
      </c>
      <c r="J357" s="14">
        <v>150</v>
      </c>
      <c r="K357" s="14">
        <v>0</v>
      </c>
      <c r="L357" s="14">
        <v>160</v>
      </c>
      <c r="M357" s="14">
        <v>100</v>
      </c>
      <c r="N357" s="14">
        <v>65</v>
      </c>
      <c r="O357" s="19">
        <v>33</v>
      </c>
      <c r="P357" s="19">
        <v>3</v>
      </c>
      <c r="Q357" s="19">
        <v>150</v>
      </c>
      <c r="R357" s="21" t="s">
        <v>2355</v>
      </c>
      <c r="S357" s="21" t="s">
        <v>2355</v>
      </c>
      <c r="T357" s="21" t="s">
        <v>2355</v>
      </c>
      <c r="U357" s="14" t="s">
        <v>1740</v>
      </c>
      <c r="V357" s="14">
        <f t="shared" si="12"/>
        <v>100</v>
      </c>
      <c r="W357" s="14">
        <v>25</v>
      </c>
      <c r="X357" s="14">
        <v>25</v>
      </c>
      <c r="Y357" s="14">
        <v>25</v>
      </c>
      <c r="Z357" s="14">
        <v>25</v>
      </c>
      <c r="AD357" s="14" t="s">
        <v>2356</v>
      </c>
    </row>
    <row r="358" s="14" customFormat="1" spans="1:30">
      <c r="A358" s="18" t="s">
        <v>2359</v>
      </c>
      <c r="B358" s="14" t="s">
        <v>343</v>
      </c>
      <c r="C358" s="14" t="s">
        <v>2360</v>
      </c>
      <c r="D358" s="14" t="s">
        <v>1618</v>
      </c>
      <c r="E358" s="19">
        <v>120</v>
      </c>
      <c r="F358" s="14">
        <v>480</v>
      </c>
      <c r="G358" s="14">
        <v>666</v>
      </c>
      <c r="H358" s="14">
        <v>0</v>
      </c>
      <c r="I358" s="14">
        <v>250</v>
      </c>
      <c r="J358" s="14">
        <v>150</v>
      </c>
      <c r="K358" s="14">
        <v>0</v>
      </c>
      <c r="L358" s="14">
        <v>160</v>
      </c>
      <c r="M358" s="14">
        <v>100</v>
      </c>
      <c r="N358" s="14">
        <v>64</v>
      </c>
      <c r="O358" s="19">
        <v>33</v>
      </c>
      <c r="P358" s="19">
        <v>4</v>
      </c>
      <c r="Q358" s="19">
        <v>150</v>
      </c>
      <c r="R358" s="21" t="s">
        <v>1856</v>
      </c>
      <c r="S358" s="21" t="s">
        <v>1857</v>
      </c>
      <c r="T358" s="21" t="s">
        <v>1857</v>
      </c>
      <c r="U358" s="14" t="s">
        <v>1857</v>
      </c>
      <c r="V358" s="14">
        <f t="shared" si="12"/>
        <v>32</v>
      </c>
      <c r="W358" s="14">
        <v>8</v>
      </c>
      <c r="X358" s="14">
        <v>8</v>
      </c>
      <c r="Y358" s="14">
        <v>8</v>
      </c>
      <c r="Z358" s="14">
        <v>8</v>
      </c>
      <c r="AD358" s="14" t="s">
        <v>2356</v>
      </c>
    </row>
    <row r="359" s="14" customFormat="1" spans="1:30">
      <c r="A359" s="18" t="s">
        <v>2361</v>
      </c>
      <c r="B359" s="14" t="s">
        <v>343</v>
      </c>
      <c r="C359" s="14" t="s">
        <v>2362</v>
      </c>
      <c r="D359" s="14" t="s">
        <v>1618</v>
      </c>
      <c r="E359" s="19">
        <v>120</v>
      </c>
      <c r="F359" s="14">
        <v>450</v>
      </c>
      <c r="G359" s="14">
        <v>666</v>
      </c>
      <c r="H359" s="14">
        <v>0</v>
      </c>
      <c r="I359" s="14">
        <v>250</v>
      </c>
      <c r="J359" s="14">
        <v>150</v>
      </c>
      <c r="K359" s="14">
        <v>0</v>
      </c>
      <c r="L359" s="14">
        <v>160</v>
      </c>
      <c r="M359" s="14">
        <v>100</v>
      </c>
      <c r="N359" s="14">
        <v>64</v>
      </c>
      <c r="O359" s="19">
        <v>33</v>
      </c>
      <c r="P359" s="19">
        <v>4</v>
      </c>
      <c r="Q359" s="19">
        <v>150</v>
      </c>
      <c r="R359" s="21" t="s">
        <v>1856</v>
      </c>
      <c r="S359" s="21" t="s">
        <v>1857</v>
      </c>
      <c r="T359" s="21" t="s">
        <v>1857</v>
      </c>
      <c r="U359" s="14" t="s">
        <v>1724</v>
      </c>
      <c r="V359" s="14">
        <f t="shared" si="12"/>
        <v>32</v>
      </c>
      <c r="W359" s="14">
        <v>8</v>
      </c>
      <c r="X359" s="14">
        <v>8</v>
      </c>
      <c r="Y359" s="14">
        <v>8</v>
      </c>
      <c r="Z359" s="14">
        <v>8</v>
      </c>
      <c r="AD359" s="14" t="s">
        <v>2356</v>
      </c>
    </row>
    <row r="360" s="14" customFormat="1" spans="1:30">
      <c r="A360" s="18" t="s">
        <v>2363</v>
      </c>
      <c r="B360" s="14" t="s">
        <v>92</v>
      </c>
      <c r="C360" s="14" t="s">
        <v>2364</v>
      </c>
      <c r="D360" s="14" t="s">
        <v>1618</v>
      </c>
      <c r="E360" s="19">
        <v>120</v>
      </c>
      <c r="F360" s="14">
        <v>188</v>
      </c>
      <c r="G360" s="14">
        <v>180</v>
      </c>
      <c r="H360" s="14">
        <v>0</v>
      </c>
      <c r="I360" s="14">
        <v>150</v>
      </c>
      <c r="J360" s="14">
        <v>300</v>
      </c>
      <c r="K360" s="14">
        <v>75</v>
      </c>
      <c r="L360" s="14">
        <v>160</v>
      </c>
      <c r="M360" s="14">
        <v>200</v>
      </c>
      <c r="N360" s="14">
        <v>65</v>
      </c>
      <c r="O360" s="19">
        <v>33</v>
      </c>
      <c r="P360" s="19">
        <v>3</v>
      </c>
      <c r="Q360" s="19">
        <v>150</v>
      </c>
      <c r="R360" s="21" t="s">
        <v>1885</v>
      </c>
      <c r="S360" s="21" t="s">
        <v>2365</v>
      </c>
      <c r="T360" s="21" t="s">
        <v>2365</v>
      </c>
      <c r="U360" s="14" t="s">
        <v>2365</v>
      </c>
      <c r="V360" s="14">
        <f t="shared" si="12"/>
        <v>32</v>
      </c>
      <c r="W360" s="14">
        <v>8</v>
      </c>
      <c r="X360" s="14">
        <v>8</v>
      </c>
      <c r="Y360" s="14">
        <v>8</v>
      </c>
      <c r="Z360" s="14">
        <v>8</v>
      </c>
      <c r="AD360" s="14" t="s">
        <v>2356</v>
      </c>
    </row>
    <row r="361" s="14" customFormat="1" spans="1:30">
      <c r="A361" s="18" t="s">
        <v>2366</v>
      </c>
      <c r="B361" s="14" t="s">
        <v>87</v>
      </c>
      <c r="C361" s="14" t="s">
        <v>2367</v>
      </c>
      <c r="D361" s="14" t="s">
        <v>1618</v>
      </c>
      <c r="E361" s="19">
        <v>120</v>
      </c>
      <c r="F361" s="14">
        <v>88</v>
      </c>
      <c r="G361" s="14">
        <v>0</v>
      </c>
      <c r="H361" s="14">
        <v>182</v>
      </c>
      <c r="I361" s="14">
        <v>50</v>
      </c>
      <c r="J361" s="14">
        <v>0</v>
      </c>
      <c r="K361" s="14">
        <v>0</v>
      </c>
      <c r="L361" s="14">
        <v>160</v>
      </c>
      <c r="M361" s="14">
        <v>125</v>
      </c>
      <c r="N361" s="14">
        <v>50</v>
      </c>
      <c r="O361" s="19">
        <v>30</v>
      </c>
      <c r="P361" s="19">
        <v>1</v>
      </c>
      <c r="Q361" s="19">
        <v>150</v>
      </c>
      <c r="R361" s="21" t="s">
        <v>1641</v>
      </c>
      <c r="S361" s="21" t="s">
        <v>1641</v>
      </c>
      <c r="T361" s="21" t="s">
        <v>1641</v>
      </c>
      <c r="U361" s="14" t="s">
        <v>1641</v>
      </c>
      <c r="V361" s="14">
        <f t="shared" si="12"/>
        <v>0</v>
      </c>
      <c r="W361" s="14">
        <v>0</v>
      </c>
      <c r="X361" s="14">
        <v>0</v>
      </c>
      <c r="Y361" s="14">
        <v>0</v>
      </c>
      <c r="Z361" s="14">
        <v>0</v>
      </c>
      <c r="AD361" s="14" t="s">
        <v>2356</v>
      </c>
    </row>
    <row r="362" customFormat="1" spans="1:29">
      <c r="A362" s="18" t="s">
        <v>2368</v>
      </c>
      <c r="B362" t="s">
        <v>179</v>
      </c>
      <c r="C362" t="s">
        <v>2369</v>
      </c>
      <c r="D362" t="s">
        <v>1618</v>
      </c>
      <c r="E362" s="13">
        <v>85</v>
      </c>
      <c r="F362">
        <v>420</v>
      </c>
      <c r="G362">
        <v>175</v>
      </c>
      <c r="H362">
        <v>0</v>
      </c>
      <c r="I362">
        <v>175</v>
      </c>
      <c r="J362">
        <v>105</v>
      </c>
      <c r="K362">
        <v>0</v>
      </c>
      <c r="L362" s="14">
        <v>120</v>
      </c>
      <c r="M362">
        <v>55</v>
      </c>
      <c r="N362">
        <v>75</v>
      </c>
      <c r="O362">
        <v>35</v>
      </c>
      <c r="P362">
        <v>4</v>
      </c>
      <c r="Q362">
        <v>120</v>
      </c>
      <c r="R362" s="2" t="s">
        <v>2370</v>
      </c>
      <c r="S362" s="12" t="s">
        <v>2371</v>
      </c>
      <c r="T362" s="2" t="s">
        <v>2371</v>
      </c>
      <c r="U362" t="s">
        <v>2372</v>
      </c>
      <c r="V362" s="14">
        <f t="shared" si="12"/>
        <v>32</v>
      </c>
      <c r="W362">
        <v>8</v>
      </c>
      <c r="X362">
        <v>8</v>
      </c>
      <c r="Y362">
        <v>8</v>
      </c>
      <c r="Z362">
        <v>8</v>
      </c>
      <c r="AA362" s="41" t="s">
        <v>2373</v>
      </c>
      <c r="AC362" s="22"/>
    </row>
    <row r="363" customFormat="1" spans="1:29">
      <c r="A363" s="18" t="s">
        <v>2374</v>
      </c>
      <c r="B363" t="s">
        <v>386</v>
      </c>
      <c r="C363" t="s">
        <v>2375</v>
      </c>
      <c r="D363" t="s">
        <v>1618</v>
      </c>
      <c r="E363" s="13">
        <v>85</v>
      </c>
      <c r="F363">
        <v>360</v>
      </c>
      <c r="G363">
        <v>145</v>
      </c>
      <c r="H363">
        <v>0</v>
      </c>
      <c r="I363">
        <v>149</v>
      </c>
      <c r="J363">
        <v>105</v>
      </c>
      <c r="K363">
        <v>0</v>
      </c>
      <c r="L363" s="14">
        <v>90</v>
      </c>
      <c r="M363">
        <v>45</v>
      </c>
      <c r="N363">
        <v>50</v>
      </c>
      <c r="O363">
        <v>36</v>
      </c>
      <c r="P363">
        <v>3</v>
      </c>
      <c r="Q363">
        <v>60</v>
      </c>
      <c r="R363" s="2" t="s">
        <v>2376</v>
      </c>
      <c r="S363" s="12" t="s">
        <v>2377</v>
      </c>
      <c r="T363" s="2" t="s">
        <v>2377</v>
      </c>
      <c r="U363" t="s">
        <v>2377</v>
      </c>
      <c r="V363" s="14">
        <f t="shared" si="12"/>
        <v>48</v>
      </c>
      <c r="W363">
        <v>12</v>
      </c>
      <c r="X363">
        <v>12</v>
      </c>
      <c r="Y363">
        <v>12</v>
      </c>
      <c r="Z363">
        <v>12</v>
      </c>
      <c r="AC363" s="22"/>
    </row>
    <row r="364" s="14" customFormat="1" spans="1:30">
      <c r="A364" s="18" t="s">
        <v>2378</v>
      </c>
      <c r="B364" s="14" t="s">
        <v>2260</v>
      </c>
      <c r="C364" s="14" t="s">
        <v>2379</v>
      </c>
      <c r="D364" s="14" t="s">
        <v>1618</v>
      </c>
      <c r="E364" s="19">
        <v>85</v>
      </c>
      <c r="F364" s="14">
        <v>235</v>
      </c>
      <c r="G364" s="14">
        <v>99</v>
      </c>
      <c r="H364" s="14">
        <v>99</v>
      </c>
      <c r="I364" s="14">
        <v>127</v>
      </c>
      <c r="J364" s="14">
        <v>99</v>
      </c>
      <c r="K364" s="14">
        <v>98</v>
      </c>
      <c r="L364" s="14">
        <v>90</v>
      </c>
      <c r="M364" s="14">
        <v>52</v>
      </c>
      <c r="N364" s="14">
        <v>42</v>
      </c>
      <c r="O364" s="19">
        <v>37</v>
      </c>
      <c r="P364" s="19">
        <v>2</v>
      </c>
      <c r="Q364" s="19">
        <v>60</v>
      </c>
      <c r="R364" s="2" t="s">
        <v>1885</v>
      </c>
      <c r="S364" s="21" t="s">
        <v>2377</v>
      </c>
      <c r="T364" s="21" t="s">
        <v>2377</v>
      </c>
      <c r="U364" s="14" t="s">
        <v>1693</v>
      </c>
      <c r="V364" s="14">
        <f t="shared" si="12"/>
        <v>24</v>
      </c>
      <c r="W364" s="14">
        <v>8</v>
      </c>
      <c r="X364" s="14">
        <v>8</v>
      </c>
      <c r="Y364" s="14">
        <v>8</v>
      </c>
      <c r="Z364" s="14">
        <v>0</v>
      </c>
      <c r="AD364"/>
    </row>
    <row r="365" s="14" customFormat="1" spans="1:30">
      <c r="A365" s="18" t="s">
        <v>2380</v>
      </c>
      <c r="B365" s="14" t="s">
        <v>2260</v>
      </c>
      <c r="C365" s="14" t="s">
        <v>2381</v>
      </c>
      <c r="D365" s="14" t="s">
        <v>1618</v>
      </c>
      <c r="E365" s="19">
        <v>85</v>
      </c>
      <c r="F365" s="14">
        <v>190</v>
      </c>
      <c r="G365" s="14">
        <v>89</v>
      </c>
      <c r="H365" s="14">
        <v>127</v>
      </c>
      <c r="I365" s="14">
        <v>85</v>
      </c>
      <c r="J365" s="14">
        <v>98</v>
      </c>
      <c r="K365" s="14">
        <v>115</v>
      </c>
      <c r="L365" s="14">
        <v>90</v>
      </c>
      <c r="M365" s="19">
        <v>75</v>
      </c>
      <c r="N365" s="19">
        <v>51</v>
      </c>
      <c r="O365" s="19">
        <v>34</v>
      </c>
      <c r="P365" s="19">
        <v>2</v>
      </c>
      <c r="Q365" s="19">
        <v>60</v>
      </c>
      <c r="R365" s="21" t="s">
        <v>1856</v>
      </c>
      <c r="S365" s="21" t="s">
        <v>1857</v>
      </c>
      <c r="T365" s="21" t="s">
        <v>1857</v>
      </c>
      <c r="U365" s="14" t="s">
        <v>1693</v>
      </c>
      <c r="V365" s="14">
        <f t="shared" si="12"/>
        <v>24</v>
      </c>
      <c r="W365" s="14">
        <v>8</v>
      </c>
      <c r="X365" s="14">
        <v>8</v>
      </c>
      <c r="Y365" s="14">
        <v>8</v>
      </c>
      <c r="Z365" s="14">
        <v>0</v>
      </c>
      <c r="AD365"/>
    </row>
    <row r="366" spans="1:29">
      <c r="A366" s="18" t="s">
        <v>2382</v>
      </c>
      <c r="B366" t="s">
        <v>231</v>
      </c>
      <c r="C366" t="s">
        <v>2383</v>
      </c>
      <c r="D366" t="s">
        <v>1618</v>
      </c>
      <c r="E366">
        <v>85</v>
      </c>
      <c r="F366">
        <v>140</v>
      </c>
      <c r="G366">
        <v>128</v>
      </c>
      <c r="H366">
        <v>0</v>
      </c>
      <c r="I366">
        <v>104</v>
      </c>
      <c r="J366" s="13">
        <v>133</v>
      </c>
      <c r="K366">
        <v>0</v>
      </c>
      <c r="L366" s="13">
        <v>90</v>
      </c>
      <c r="M366" s="13">
        <v>60</v>
      </c>
      <c r="N366" s="13">
        <v>50</v>
      </c>
      <c r="O366" s="13">
        <v>32</v>
      </c>
      <c r="P366" s="13">
        <v>1</v>
      </c>
      <c r="Q366" s="13">
        <v>70</v>
      </c>
      <c r="R366" s="2" t="s">
        <v>2384</v>
      </c>
      <c r="S366" s="2" t="s">
        <v>2384</v>
      </c>
      <c r="T366" s="2" t="s">
        <v>2385</v>
      </c>
      <c r="U366" t="s">
        <v>2385</v>
      </c>
      <c r="V366">
        <f t="shared" si="12"/>
        <v>40</v>
      </c>
      <c r="W366" s="13">
        <v>10</v>
      </c>
      <c r="X366" s="13">
        <v>10</v>
      </c>
      <c r="Y366" s="13">
        <v>10</v>
      </c>
      <c r="Z366" s="13">
        <v>10</v>
      </c>
      <c r="AA366" s="16"/>
      <c r="AB366" s="13"/>
      <c r="AC366" s="13"/>
    </row>
    <row r="367" s="14" customFormat="1" spans="1:26">
      <c r="A367" s="18" t="s">
        <v>2386</v>
      </c>
      <c r="B367" s="14" t="s">
        <v>87</v>
      </c>
      <c r="C367" s="14" t="s">
        <v>2387</v>
      </c>
      <c r="D367" s="14" t="s">
        <v>1618</v>
      </c>
      <c r="E367" s="19">
        <v>85</v>
      </c>
      <c r="F367" s="14">
        <v>88</v>
      </c>
      <c r="G367" s="14">
        <v>0</v>
      </c>
      <c r="H367" s="14">
        <v>150</v>
      </c>
      <c r="I367" s="14">
        <v>50</v>
      </c>
      <c r="J367" s="19">
        <v>0</v>
      </c>
      <c r="K367" s="14">
        <v>0</v>
      </c>
      <c r="L367" s="19">
        <v>90</v>
      </c>
      <c r="M367" s="19">
        <v>90</v>
      </c>
      <c r="N367" s="19">
        <v>30</v>
      </c>
      <c r="O367" s="19">
        <v>25</v>
      </c>
      <c r="P367" s="19">
        <v>1</v>
      </c>
      <c r="Q367" s="19">
        <v>60</v>
      </c>
      <c r="R367" s="2" t="s">
        <v>1641</v>
      </c>
      <c r="S367" s="2" t="s">
        <v>1641</v>
      </c>
      <c r="T367" s="2" t="s">
        <v>1641</v>
      </c>
      <c r="V367" s="14">
        <f t="shared" si="12"/>
        <v>0</v>
      </c>
      <c r="W367" s="14">
        <v>0</v>
      </c>
      <c r="X367" s="14">
        <v>0</v>
      </c>
      <c r="Y367" s="14">
        <v>0</v>
      </c>
      <c r="Z367" s="14">
        <v>0</v>
      </c>
    </row>
    <row r="368" customFormat="1" spans="1:29">
      <c r="A368" s="18" t="s">
        <v>2388</v>
      </c>
      <c r="B368" t="s">
        <v>29</v>
      </c>
      <c r="C368" t="s">
        <v>2389</v>
      </c>
      <c r="D368" t="s">
        <v>1618</v>
      </c>
      <c r="E368">
        <v>85</v>
      </c>
      <c r="F368">
        <v>200</v>
      </c>
      <c r="G368">
        <v>140</v>
      </c>
      <c r="H368">
        <v>0</v>
      </c>
      <c r="I368">
        <v>120</v>
      </c>
      <c r="J368" s="13">
        <v>150</v>
      </c>
      <c r="K368">
        <v>0</v>
      </c>
      <c r="L368" s="13">
        <v>90</v>
      </c>
      <c r="M368" s="13">
        <v>78</v>
      </c>
      <c r="N368" s="13">
        <v>70</v>
      </c>
      <c r="O368" s="13">
        <v>33</v>
      </c>
      <c r="P368" s="13">
        <v>1</v>
      </c>
      <c r="Q368" s="13">
        <v>70</v>
      </c>
      <c r="R368" s="2" t="s">
        <v>2029</v>
      </c>
      <c r="S368" s="2" t="s">
        <v>2029</v>
      </c>
      <c r="T368" s="2" t="s">
        <v>2218</v>
      </c>
      <c r="U368" t="s">
        <v>2219</v>
      </c>
      <c r="V368">
        <f t="shared" si="12"/>
        <v>80</v>
      </c>
      <c r="W368" s="13">
        <v>20</v>
      </c>
      <c r="X368" s="13">
        <v>20</v>
      </c>
      <c r="Y368" s="13">
        <v>20</v>
      </c>
      <c r="Z368" s="13">
        <v>20</v>
      </c>
      <c r="AA368" s="16"/>
      <c r="AB368" s="13"/>
      <c r="AC368" s="13"/>
    </row>
    <row r="369" customFormat="1" spans="1:29">
      <c r="A369" s="18" t="s">
        <v>2390</v>
      </c>
      <c r="B369" t="s">
        <v>29</v>
      </c>
      <c r="C369" t="s">
        <v>2391</v>
      </c>
      <c r="D369" t="s">
        <v>1618</v>
      </c>
      <c r="E369">
        <v>95</v>
      </c>
      <c r="F369">
        <v>366</v>
      </c>
      <c r="G369">
        <v>188</v>
      </c>
      <c r="H369">
        <v>0</v>
      </c>
      <c r="I369">
        <v>200</v>
      </c>
      <c r="J369" s="13">
        <v>208</v>
      </c>
      <c r="K369">
        <v>0</v>
      </c>
      <c r="L369" s="13">
        <v>100</v>
      </c>
      <c r="M369" s="13">
        <v>90</v>
      </c>
      <c r="N369" s="13">
        <v>80</v>
      </c>
      <c r="O369" s="13">
        <v>31</v>
      </c>
      <c r="P369" s="13">
        <v>1</v>
      </c>
      <c r="Q369" s="13">
        <v>90</v>
      </c>
      <c r="R369" t="s">
        <v>2392</v>
      </c>
      <c r="S369" t="s">
        <v>2393</v>
      </c>
      <c r="T369" s="2" t="s">
        <v>2393</v>
      </c>
      <c r="U369" t="s">
        <v>2393</v>
      </c>
      <c r="V369">
        <f t="shared" si="12"/>
        <v>80</v>
      </c>
      <c r="W369" s="13">
        <v>20</v>
      </c>
      <c r="X369" s="13">
        <v>20</v>
      </c>
      <c r="Y369" s="13">
        <v>20</v>
      </c>
      <c r="Z369" s="13">
        <v>20</v>
      </c>
      <c r="AA369" s="16"/>
      <c r="AB369" s="13"/>
      <c r="AC369" s="13"/>
    </row>
    <row r="370" s="14" customFormat="1" spans="1:26">
      <c r="A370" s="18" t="s">
        <v>2394</v>
      </c>
      <c r="B370" s="14" t="s">
        <v>87</v>
      </c>
      <c r="C370" s="14" t="s">
        <v>2395</v>
      </c>
      <c r="D370" s="14" t="s">
        <v>1618</v>
      </c>
      <c r="E370" s="19">
        <v>1</v>
      </c>
      <c r="F370" s="14">
        <v>20</v>
      </c>
      <c r="G370" s="14">
        <v>0</v>
      </c>
      <c r="H370" s="14">
        <v>42</v>
      </c>
      <c r="I370" s="14">
        <v>9</v>
      </c>
      <c r="J370" s="19">
        <v>0</v>
      </c>
      <c r="K370" s="14">
        <v>0</v>
      </c>
      <c r="L370" s="19">
        <v>15</v>
      </c>
      <c r="M370" s="19">
        <v>99</v>
      </c>
      <c r="N370" s="19">
        <v>6</v>
      </c>
      <c r="O370" s="19">
        <v>10</v>
      </c>
      <c r="P370" s="19">
        <v>1</v>
      </c>
      <c r="Q370" s="19">
        <v>300</v>
      </c>
      <c r="R370" s="21"/>
      <c r="S370" s="21"/>
      <c r="T370" s="21"/>
      <c r="V370" s="14">
        <f t="shared" si="12"/>
        <v>0</v>
      </c>
      <c r="W370" s="14">
        <v>0</v>
      </c>
      <c r="X370" s="14">
        <v>0</v>
      </c>
      <c r="Y370" s="14">
        <v>0</v>
      </c>
      <c r="Z370" s="14">
        <v>0</v>
      </c>
    </row>
    <row r="371" s="14" customFormat="1" spans="1:26">
      <c r="A371" s="18" t="s">
        <v>2396</v>
      </c>
      <c r="B371" s="14" t="s">
        <v>87</v>
      </c>
      <c r="C371" s="14" t="s">
        <v>2395</v>
      </c>
      <c r="D371" s="14" t="s">
        <v>1618</v>
      </c>
      <c r="E371" s="19">
        <v>1</v>
      </c>
      <c r="F371" s="14">
        <v>20</v>
      </c>
      <c r="G371" s="14">
        <v>0</v>
      </c>
      <c r="H371" s="14">
        <v>42</v>
      </c>
      <c r="I371" s="14">
        <v>999</v>
      </c>
      <c r="J371" s="19">
        <v>0</v>
      </c>
      <c r="K371" s="14">
        <v>0</v>
      </c>
      <c r="L371" s="19">
        <v>15</v>
      </c>
      <c r="M371" s="19">
        <v>999</v>
      </c>
      <c r="N371" s="19">
        <v>6</v>
      </c>
      <c r="O371" s="19">
        <v>10</v>
      </c>
      <c r="P371" s="19">
        <v>1</v>
      </c>
      <c r="Q371" s="19">
        <v>300</v>
      </c>
      <c r="R371" s="21"/>
      <c r="S371" s="21"/>
      <c r="T371" s="21"/>
      <c r="V371" s="14">
        <f t="shared" si="12"/>
        <v>0</v>
      </c>
      <c r="W371" s="14">
        <v>0</v>
      </c>
      <c r="X371" s="14">
        <v>0</v>
      </c>
      <c r="Y371" s="14">
        <v>0</v>
      </c>
      <c r="Z371" s="14">
        <v>0</v>
      </c>
    </row>
    <row r="372" s="14" customFormat="1" spans="1:27">
      <c r="A372" s="18" t="s">
        <v>2397</v>
      </c>
      <c r="B372" s="14" t="s">
        <v>343</v>
      </c>
      <c r="C372" s="14" t="s">
        <v>2398</v>
      </c>
      <c r="D372" s="14" t="s">
        <v>1618</v>
      </c>
      <c r="E372" s="19">
        <v>100</v>
      </c>
      <c r="F372" s="14">
        <v>540</v>
      </c>
      <c r="G372" s="14">
        <v>190</v>
      </c>
      <c r="H372" s="14">
        <v>0</v>
      </c>
      <c r="I372" s="14">
        <v>205</v>
      </c>
      <c r="J372" s="14">
        <v>165</v>
      </c>
      <c r="K372" s="14">
        <v>0</v>
      </c>
      <c r="L372" s="14">
        <v>130</v>
      </c>
      <c r="M372" s="14">
        <v>82</v>
      </c>
      <c r="N372" s="14">
        <v>42</v>
      </c>
      <c r="O372" s="19">
        <v>30</v>
      </c>
      <c r="P372" s="19">
        <v>3</v>
      </c>
      <c r="Q372" s="19">
        <v>150</v>
      </c>
      <c r="R372" s="21" t="s">
        <v>2274</v>
      </c>
      <c r="S372" s="21" t="s">
        <v>2275</v>
      </c>
      <c r="T372" s="21" t="s">
        <v>2275</v>
      </c>
      <c r="U372" s="14" t="s">
        <v>2275</v>
      </c>
      <c r="V372" s="14">
        <f t="shared" si="12"/>
        <v>32</v>
      </c>
      <c r="W372" s="14">
        <v>8</v>
      </c>
      <c r="X372" s="14">
        <v>8</v>
      </c>
      <c r="Y372" s="14">
        <v>8</v>
      </c>
      <c r="Z372" s="14">
        <v>8</v>
      </c>
      <c r="AA372" s="42" t="s">
        <v>2399</v>
      </c>
    </row>
  </sheetData>
  <autoFilter ref="A1:AC372">
    <sortState ref="A1:AC372">
      <sortCondition ref="A1:A267"/>
    </sortState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8"/>
  <sheetViews>
    <sheetView workbookViewId="0">
      <pane xSplit="4" ySplit="1" topLeftCell="E52" activePane="bottomRight" state="frozen"/>
      <selection/>
      <selection pane="topRight"/>
      <selection pane="bottomLeft"/>
      <selection pane="bottomRight" activeCell="F67" sqref="F67"/>
    </sheetView>
  </sheetViews>
  <sheetFormatPr defaultColWidth="8.83333333333333" defaultRowHeight="13.5"/>
  <cols>
    <col min="1" max="1" width="9" style="1" customWidth="1"/>
    <col min="2" max="2" width="13.5" customWidth="1"/>
    <col min="3" max="3" width="19" customWidth="1"/>
    <col min="4" max="4" width="15" customWidth="1"/>
    <col min="24" max="24" width="60" customWidth="1"/>
  </cols>
  <sheetData>
    <row r="1" spans="1:24">
      <c r="A1" s="1" t="s">
        <v>415</v>
      </c>
      <c r="B1" t="s">
        <v>416</v>
      </c>
      <c r="C1" t="s">
        <v>2</v>
      </c>
      <c r="D1" t="s">
        <v>417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12</v>
      </c>
      <c r="K1" t="s">
        <v>10</v>
      </c>
      <c r="L1" t="s">
        <v>14</v>
      </c>
      <c r="M1" t="s">
        <v>418</v>
      </c>
      <c r="N1" t="s">
        <v>15</v>
      </c>
      <c r="O1" t="s">
        <v>419</v>
      </c>
      <c r="P1" t="s">
        <v>8</v>
      </c>
      <c r="Q1" t="s">
        <v>420</v>
      </c>
      <c r="R1" t="s">
        <v>421</v>
      </c>
      <c r="S1" t="s">
        <v>422</v>
      </c>
      <c r="T1" t="s">
        <v>423</v>
      </c>
      <c r="U1" t="s">
        <v>424</v>
      </c>
      <c r="V1" t="s">
        <v>425</v>
      </c>
      <c r="W1" t="s">
        <v>427</v>
      </c>
      <c r="X1" s="1" t="s">
        <v>430</v>
      </c>
    </row>
    <row r="2" spans="1:17">
      <c r="A2" s="1" t="s">
        <v>1620</v>
      </c>
      <c r="B2" t="s">
        <v>432</v>
      </c>
      <c r="C2" t="s">
        <v>1622</v>
      </c>
      <c r="D2" t="s">
        <v>434</v>
      </c>
      <c r="F2">
        <v>1</v>
      </c>
      <c r="L2">
        <v>1</v>
      </c>
      <c r="Q2">
        <v>2</v>
      </c>
    </row>
    <row r="3" spans="1:17">
      <c r="A3" s="1" t="s">
        <v>1623</v>
      </c>
      <c r="B3" t="s">
        <v>432</v>
      </c>
      <c r="C3" t="s">
        <v>1637</v>
      </c>
      <c r="D3" t="s">
        <v>434</v>
      </c>
      <c r="F3">
        <v>2</v>
      </c>
      <c r="L3">
        <v>1</v>
      </c>
      <c r="Q3">
        <v>2</v>
      </c>
    </row>
    <row r="4" spans="1:17">
      <c r="A4" s="1" t="s">
        <v>1626</v>
      </c>
      <c r="B4" t="s">
        <v>432</v>
      </c>
      <c r="C4" t="s">
        <v>1755</v>
      </c>
      <c r="D4" t="s">
        <v>434</v>
      </c>
      <c r="F4">
        <v>1</v>
      </c>
      <c r="L4">
        <v>1</v>
      </c>
      <c r="P4">
        <v>1</v>
      </c>
      <c r="Q4">
        <v>2</v>
      </c>
    </row>
    <row r="5" spans="1:17">
      <c r="A5" s="1" t="s">
        <v>1631</v>
      </c>
      <c r="B5" t="s">
        <v>432</v>
      </c>
      <c r="C5" t="s">
        <v>1693</v>
      </c>
      <c r="D5" t="s">
        <v>434</v>
      </c>
      <c r="F5">
        <v>2</v>
      </c>
      <c r="L5">
        <v>2</v>
      </c>
      <c r="P5">
        <v>2</v>
      </c>
      <c r="Q5">
        <v>2</v>
      </c>
    </row>
    <row r="6" spans="1:17">
      <c r="A6" s="1" t="s">
        <v>1635</v>
      </c>
      <c r="B6" t="s">
        <v>432</v>
      </c>
      <c r="C6" t="s">
        <v>1710</v>
      </c>
      <c r="D6" t="s">
        <v>434</v>
      </c>
      <c r="F6">
        <v>8</v>
      </c>
      <c r="L6">
        <v>2</v>
      </c>
      <c r="P6">
        <v>2</v>
      </c>
      <c r="Q6">
        <v>2</v>
      </c>
    </row>
    <row r="7" spans="1:17">
      <c r="A7" s="1" t="s">
        <v>1639</v>
      </c>
      <c r="B7" t="s">
        <v>432</v>
      </c>
      <c r="C7" t="s">
        <v>1677</v>
      </c>
      <c r="D7" t="s">
        <v>434</v>
      </c>
      <c r="F7">
        <v>3</v>
      </c>
      <c r="L7">
        <v>2</v>
      </c>
      <c r="P7">
        <v>3</v>
      </c>
      <c r="Q7">
        <v>2</v>
      </c>
    </row>
    <row r="8" spans="1:18">
      <c r="A8" s="1" t="s">
        <v>1642</v>
      </c>
      <c r="B8" t="s">
        <v>432</v>
      </c>
      <c r="C8" t="s">
        <v>2372</v>
      </c>
      <c r="D8" t="s">
        <v>434</v>
      </c>
      <c r="F8">
        <v>10</v>
      </c>
      <c r="L8">
        <v>3</v>
      </c>
      <c r="P8">
        <v>4</v>
      </c>
      <c r="Q8">
        <v>2</v>
      </c>
      <c r="R8">
        <v>0.2</v>
      </c>
    </row>
    <row r="9" spans="1:18">
      <c r="A9" s="1" t="s">
        <v>1644</v>
      </c>
      <c r="B9" t="s">
        <v>432</v>
      </c>
      <c r="C9" t="s">
        <v>1720</v>
      </c>
      <c r="D9" t="s">
        <v>434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18">
      <c r="A10" s="1" t="s">
        <v>1646</v>
      </c>
      <c r="B10" t="s">
        <v>432</v>
      </c>
      <c r="C10" t="s">
        <v>1724</v>
      </c>
      <c r="D10" t="s">
        <v>434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17">
      <c r="A11" s="1" t="s">
        <v>1648</v>
      </c>
      <c r="B11" t="s">
        <v>2400</v>
      </c>
      <c r="C11" t="s">
        <v>2401</v>
      </c>
      <c r="D11" t="s">
        <v>2402</v>
      </c>
      <c r="F11">
        <v>1</v>
      </c>
      <c r="L11">
        <v>1</v>
      </c>
      <c r="P11">
        <v>2</v>
      </c>
      <c r="Q11">
        <v>2</v>
      </c>
    </row>
    <row r="12" spans="1:17">
      <c r="A12" s="1" t="s">
        <v>1650</v>
      </c>
      <c r="B12" t="s">
        <v>2400</v>
      </c>
      <c r="C12" t="s">
        <v>2403</v>
      </c>
      <c r="D12" t="s">
        <v>2402</v>
      </c>
      <c r="F12">
        <v>1</v>
      </c>
      <c r="L12">
        <v>2</v>
      </c>
      <c r="Q12">
        <v>2</v>
      </c>
    </row>
    <row r="13" spans="1:17">
      <c r="A13" s="1" t="s">
        <v>1652</v>
      </c>
      <c r="B13" t="s">
        <v>2400</v>
      </c>
      <c r="C13" t="s">
        <v>1721</v>
      </c>
      <c r="D13" t="s">
        <v>2402</v>
      </c>
      <c r="F13">
        <v>7</v>
      </c>
      <c r="L13">
        <v>2</v>
      </c>
      <c r="P13">
        <v>3</v>
      </c>
      <c r="Q13">
        <v>2</v>
      </c>
    </row>
    <row r="14" spans="1:17">
      <c r="A14" s="1" t="s">
        <v>1654</v>
      </c>
      <c r="B14" t="s">
        <v>520</v>
      </c>
      <c r="C14" t="s">
        <v>1638</v>
      </c>
      <c r="D14" t="s">
        <v>6</v>
      </c>
      <c r="G14">
        <v>2</v>
      </c>
      <c r="L14">
        <v>1</v>
      </c>
      <c r="Q14">
        <v>2</v>
      </c>
    </row>
    <row r="15" spans="1:17">
      <c r="A15" s="1" t="s">
        <v>1656</v>
      </c>
      <c r="B15" t="s">
        <v>520</v>
      </c>
      <c r="C15" t="s">
        <v>1625</v>
      </c>
      <c r="D15" t="s">
        <v>6</v>
      </c>
      <c r="G15">
        <v>5</v>
      </c>
      <c r="L15">
        <v>1</v>
      </c>
      <c r="Q15">
        <v>2</v>
      </c>
    </row>
    <row r="16" spans="1:17">
      <c r="A16" s="1" t="s">
        <v>1658</v>
      </c>
      <c r="B16" t="s">
        <v>520</v>
      </c>
      <c r="C16" t="s">
        <v>1641</v>
      </c>
      <c r="D16" t="s">
        <v>6</v>
      </c>
      <c r="G16">
        <v>10</v>
      </c>
      <c r="L16">
        <v>1</v>
      </c>
      <c r="Q16">
        <v>2</v>
      </c>
    </row>
    <row r="17" spans="1:17">
      <c r="A17" s="1" t="s">
        <v>1660</v>
      </c>
      <c r="B17" t="s">
        <v>508</v>
      </c>
      <c r="C17" t="s">
        <v>1664</v>
      </c>
      <c r="D17" t="s">
        <v>510</v>
      </c>
      <c r="G17">
        <v>4</v>
      </c>
      <c r="I17">
        <v>2</v>
      </c>
      <c r="J17">
        <v>5</v>
      </c>
      <c r="Q17">
        <v>2</v>
      </c>
    </row>
    <row r="18" spans="1:17">
      <c r="A18" s="1" t="s">
        <v>1665</v>
      </c>
      <c r="B18" t="s">
        <v>508</v>
      </c>
      <c r="C18" t="s">
        <v>1668</v>
      </c>
      <c r="D18" t="s">
        <v>510</v>
      </c>
      <c r="G18">
        <v>6</v>
      </c>
      <c r="I18">
        <v>4</v>
      </c>
      <c r="J18">
        <v>5</v>
      </c>
      <c r="Q18">
        <v>2</v>
      </c>
    </row>
    <row r="19" spans="1:17">
      <c r="A19" s="1" t="s">
        <v>1670</v>
      </c>
      <c r="B19" t="s">
        <v>508</v>
      </c>
      <c r="C19" t="s">
        <v>1848</v>
      </c>
      <c r="D19" t="s">
        <v>510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7">
      <c r="A20" s="1" t="s">
        <v>1672</v>
      </c>
      <c r="B20" t="s">
        <v>551</v>
      </c>
      <c r="C20" t="s">
        <v>1662</v>
      </c>
      <c r="D20" t="s">
        <v>553</v>
      </c>
      <c r="P20">
        <v>2</v>
      </c>
      <c r="Q20">
        <v>2</v>
      </c>
    </row>
    <row r="21" spans="1:17">
      <c r="A21" s="1" t="s">
        <v>1675</v>
      </c>
      <c r="B21" t="s">
        <v>551</v>
      </c>
      <c r="C21" t="s">
        <v>1667</v>
      </c>
      <c r="D21" t="s">
        <v>553</v>
      </c>
      <c r="P21">
        <v>5</v>
      </c>
      <c r="Q21">
        <v>2</v>
      </c>
    </row>
    <row r="22" spans="1:17">
      <c r="A22" s="1" t="s">
        <v>1679</v>
      </c>
      <c r="B22" t="s">
        <v>551</v>
      </c>
      <c r="C22" t="s">
        <v>1674</v>
      </c>
      <c r="D22" t="s">
        <v>553</v>
      </c>
      <c r="P22">
        <v>9</v>
      </c>
      <c r="Q22">
        <v>2</v>
      </c>
    </row>
    <row r="23" spans="1:17">
      <c r="A23" s="1" t="s">
        <v>1681</v>
      </c>
      <c r="B23" t="s">
        <v>551</v>
      </c>
      <c r="C23" t="s">
        <v>1847</v>
      </c>
      <c r="D23" t="s">
        <v>553</v>
      </c>
      <c r="P23">
        <v>13</v>
      </c>
      <c r="Q23">
        <v>2</v>
      </c>
    </row>
    <row r="24" spans="1:17">
      <c r="A24" s="1" t="s">
        <v>1683</v>
      </c>
      <c r="B24" t="s">
        <v>446</v>
      </c>
      <c r="C24" t="s">
        <v>1663</v>
      </c>
      <c r="D24" t="s">
        <v>448</v>
      </c>
      <c r="I24">
        <v>1</v>
      </c>
      <c r="O24">
        <v>3</v>
      </c>
      <c r="Q24">
        <v>2</v>
      </c>
    </row>
    <row r="25" spans="1:17">
      <c r="A25" s="1" t="s">
        <v>1685</v>
      </c>
      <c r="B25" t="s">
        <v>446</v>
      </c>
      <c r="C25" t="s">
        <v>1669</v>
      </c>
      <c r="D25" t="s">
        <v>448</v>
      </c>
      <c r="I25">
        <v>2</v>
      </c>
      <c r="O25">
        <v>6</v>
      </c>
      <c r="Q25">
        <v>2</v>
      </c>
    </row>
    <row r="26" spans="1:17">
      <c r="A26" s="1" t="s">
        <v>1687</v>
      </c>
      <c r="B26" t="s">
        <v>727</v>
      </c>
      <c r="C26" t="s">
        <v>1678</v>
      </c>
      <c r="D26" t="s">
        <v>729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7">
      <c r="A27" s="1" t="s">
        <v>1689</v>
      </c>
      <c r="B27" t="s">
        <v>727</v>
      </c>
      <c r="C27" t="s">
        <v>1717</v>
      </c>
      <c r="D27" t="s">
        <v>729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1" t="s">
        <v>1691</v>
      </c>
      <c r="B28" t="s">
        <v>451</v>
      </c>
      <c r="C28" t="s">
        <v>2404</v>
      </c>
      <c r="D28" t="s">
        <v>453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1" t="s">
        <v>1694</v>
      </c>
      <c r="B29" t="s">
        <v>451</v>
      </c>
      <c r="C29" t="s">
        <v>2405</v>
      </c>
      <c r="D29" t="s">
        <v>453</v>
      </c>
      <c r="J29">
        <v>5</v>
      </c>
      <c r="K29">
        <v>10</v>
      </c>
      <c r="Q29">
        <v>2</v>
      </c>
      <c r="R29">
        <v>0.2</v>
      </c>
    </row>
    <row r="30" spans="1:18">
      <c r="A30" s="1" t="s">
        <v>1696</v>
      </c>
      <c r="B30" t="s">
        <v>451</v>
      </c>
      <c r="C30" t="s">
        <v>1628</v>
      </c>
      <c r="D30" t="s">
        <v>453</v>
      </c>
      <c r="J30">
        <v>10</v>
      </c>
      <c r="K30">
        <v>15</v>
      </c>
      <c r="Q30">
        <v>2</v>
      </c>
      <c r="R30">
        <v>0.5</v>
      </c>
    </row>
    <row r="31" spans="1:18">
      <c r="A31" s="1" t="s">
        <v>1698</v>
      </c>
      <c r="B31" t="s">
        <v>451</v>
      </c>
      <c r="C31" t="s">
        <v>1619</v>
      </c>
      <c r="D31" t="s">
        <v>453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1" t="s">
        <v>1700</v>
      </c>
      <c r="B32" t="s">
        <v>451</v>
      </c>
      <c r="C32" t="s">
        <v>1633</v>
      </c>
      <c r="D32" t="s">
        <v>453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1" t="s">
        <v>1702</v>
      </c>
      <c r="B33" t="s">
        <v>451</v>
      </c>
      <c r="C33" t="s">
        <v>1803</v>
      </c>
      <c r="D33" t="s">
        <v>453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7">
      <c r="A34" s="1" t="s">
        <v>1704</v>
      </c>
      <c r="B34" t="s">
        <v>459</v>
      </c>
      <c r="C34" t="s">
        <v>2406</v>
      </c>
      <c r="D34" t="s">
        <v>461</v>
      </c>
      <c r="M34">
        <v>10</v>
      </c>
      <c r="Q34">
        <v>2</v>
      </c>
    </row>
    <row r="35" spans="1:17">
      <c r="A35" s="1" t="s">
        <v>1706</v>
      </c>
      <c r="B35" t="s">
        <v>459</v>
      </c>
      <c r="C35" t="s">
        <v>2407</v>
      </c>
      <c r="D35" t="s">
        <v>461</v>
      </c>
      <c r="M35">
        <v>15</v>
      </c>
      <c r="Q35">
        <v>2</v>
      </c>
    </row>
    <row r="36" spans="1:17">
      <c r="A36" s="1" t="s">
        <v>1708</v>
      </c>
      <c r="B36" t="s">
        <v>494</v>
      </c>
      <c r="C36" t="s">
        <v>1974</v>
      </c>
      <c r="D36" t="s">
        <v>496</v>
      </c>
      <c r="P36">
        <v>10</v>
      </c>
      <c r="Q36">
        <v>2</v>
      </c>
    </row>
    <row r="37" spans="1:17">
      <c r="A37" s="1" t="s">
        <v>1711</v>
      </c>
      <c r="B37" t="s">
        <v>494</v>
      </c>
      <c r="C37" t="s">
        <v>2408</v>
      </c>
      <c r="D37" t="s">
        <v>496</v>
      </c>
      <c r="F37">
        <v>15</v>
      </c>
      <c r="K37">
        <v>5</v>
      </c>
      <c r="Q37">
        <v>2</v>
      </c>
    </row>
    <row r="38" spans="1:18">
      <c r="A38" s="1" t="s">
        <v>1713</v>
      </c>
      <c r="B38" t="s">
        <v>441</v>
      </c>
      <c r="C38" t="s">
        <v>2409</v>
      </c>
      <c r="D38" t="s">
        <v>443</v>
      </c>
      <c r="P38">
        <v>2</v>
      </c>
      <c r="Q38">
        <v>2</v>
      </c>
      <c r="R38">
        <v>0.4</v>
      </c>
    </row>
    <row r="39" spans="1:18">
      <c r="A39" s="1" t="s">
        <v>1715</v>
      </c>
      <c r="B39" t="s">
        <v>441</v>
      </c>
      <c r="C39" t="s">
        <v>2410</v>
      </c>
      <c r="D39" t="s">
        <v>443</v>
      </c>
      <c r="P39">
        <v>4</v>
      </c>
      <c r="Q39">
        <v>2</v>
      </c>
      <c r="R39">
        <v>0.4</v>
      </c>
    </row>
    <row r="40" spans="1:18">
      <c r="A40" s="1" t="s">
        <v>1718</v>
      </c>
      <c r="B40" t="s">
        <v>441</v>
      </c>
      <c r="C40" t="s">
        <v>2411</v>
      </c>
      <c r="D40" t="s">
        <v>443</v>
      </c>
      <c r="P40">
        <v>8</v>
      </c>
      <c r="Q40">
        <v>2</v>
      </c>
      <c r="R40">
        <v>0.4</v>
      </c>
    </row>
    <row r="41" spans="1:18">
      <c r="A41" s="1" t="s">
        <v>1722</v>
      </c>
      <c r="B41" t="s">
        <v>441</v>
      </c>
      <c r="C41" t="s">
        <v>2412</v>
      </c>
      <c r="D41" t="s">
        <v>443</v>
      </c>
      <c r="P41">
        <v>12</v>
      </c>
      <c r="Q41">
        <v>2</v>
      </c>
      <c r="R41">
        <v>0.4</v>
      </c>
    </row>
    <row r="42" spans="1:17">
      <c r="A42" s="1" t="s">
        <v>1725</v>
      </c>
      <c r="B42" t="s">
        <v>520</v>
      </c>
      <c r="C42" t="s">
        <v>1799</v>
      </c>
      <c r="D42" t="s">
        <v>6</v>
      </c>
      <c r="G42">
        <v>18</v>
      </c>
      <c r="K42">
        <v>5</v>
      </c>
      <c r="Q42">
        <v>2</v>
      </c>
    </row>
    <row r="43" spans="1:17">
      <c r="A43" s="1" t="s">
        <v>1727</v>
      </c>
      <c r="B43" t="s">
        <v>476</v>
      </c>
      <c r="C43" t="s">
        <v>1630</v>
      </c>
      <c r="D43" t="s">
        <v>478</v>
      </c>
      <c r="I43">
        <v>7</v>
      </c>
      <c r="Q43">
        <v>2</v>
      </c>
    </row>
    <row r="44" spans="1:17">
      <c r="A44" s="1" t="s">
        <v>1729</v>
      </c>
      <c r="B44" t="s">
        <v>455</v>
      </c>
      <c r="C44" t="s">
        <v>1629</v>
      </c>
      <c r="D44" t="s">
        <v>457</v>
      </c>
      <c r="I44">
        <v>9</v>
      </c>
      <c r="Q44">
        <v>2</v>
      </c>
    </row>
    <row r="45" spans="1:17">
      <c r="A45" s="1" t="s">
        <v>1731</v>
      </c>
      <c r="B45" t="s">
        <v>476</v>
      </c>
      <c r="C45" t="s">
        <v>1800</v>
      </c>
      <c r="D45" t="s">
        <v>478</v>
      </c>
      <c r="I45">
        <v>13</v>
      </c>
      <c r="Q45">
        <v>2</v>
      </c>
    </row>
    <row r="46" spans="1:17">
      <c r="A46" s="1" t="s">
        <v>1733</v>
      </c>
      <c r="B46" t="s">
        <v>455</v>
      </c>
      <c r="C46" t="s">
        <v>1634</v>
      </c>
      <c r="D46" t="s">
        <v>457</v>
      </c>
      <c r="I46">
        <v>16</v>
      </c>
      <c r="Q46">
        <v>2</v>
      </c>
    </row>
    <row r="47" spans="1:17">
      <c r="A47" s="1" t="s">
        <v>1735</v>
      </c>
      <c r="B47" t="s">
        <v>446</v>
      </c>
      <c r="C47" t="s">
        <v>1740</v>
      </c>
      <c r="D47" t="s">
        <v>448</v>
      </c>
      <c r="I47">
        <v>7</v>
      </c>
      <c r="O47">
        <v>10</v>
      </c>
      <c r="P47">
        <v>8</v>
      </c>
      <c r="Q47">
        <v>2</v>
      </c>
    </row>
    <row r="48" spans="1:17">
      <c r="A48" s="1" t="s">
        <v>1737</v>
      </c>
      <c r="B48" t="s">
        <v>583</v>
      </c>
      <c r="C48" t="s">
        <v>1856</v>
      </c>
      <c r="D48" t="s">
        <v>585</v>
      </c>
      <c r="F48">
        <v>2</v>
      </c>
      <c r="Q48">
        <v>2</v>
      </c>
    </row>
    <row r="49" spans="1:17">
      <c r="A49" s="1" t="s">
        <v>1741</v>
      </c>
      <c r="B49" t="s">
        <v>583</v>
      </c>
      <c r="C49" t="s">
        <v>1885</v>
      </c>
      <c r="D49" t="s">
        <v>595</v>
      </c>
      <c r="K49">
        <v>3</v>
      </c>
      <c r="Q49">
        <v>2</v>
      </c>
    </row>
    <row r="50" spans="1:17">
      <c r="A50" s="1" t="s">
        <v>1743</v>
      </c>
      <c r="B50" t="s">
        <v>583</v>
      </c>
      <c r="C50" t="s">
        <v>1895</v>
      </c>
      <c r="D50" t="s">
        <v>595</v>
      </c>
      <c r="F50">
        <v>3</v>
      </c>
      <c r="K50">
        <v>1</v>
      </c>
      <c r="Q50">
        <v>2</v>
      </c>
    </row>
    <row r="51" spans="1:17">
      <c r="A51" s="1" t="s">
        <v>1745</v>
      </c>
      <c r="B51" t="s">
        <v>583</v>
      </c>
      <c r="C51" t="s">
        <v>1903</v>
      </c>
      <c r="D51" t="s">
        <v>585</v>
      </c>
      <c r="F51">
        <v>2</v>
      </c>
      <c r="M51">
        <v>2</v>
      </c>
      <c r="Q51">
        <v>2</v>
      </c>
    </row>
    <row r="52" spans="1:19">
      <c r="A52" s="1" t="s">
        <v>1747</v>
      </c>
      <c r="B52" t="s">
        <v>587</v>
      </c>
      <c r="C52" t="s">
        <v>1857</v>
      </c>
      <c r="D52" t="s">
        <v>2413</v>
      </c>
      <c r="F52">
        <v>20</v>
      </c>
      <c r="Q52">
        <v>2</v>
      </c>
      <c r="S52">
        <v>20</v>
      </c>
    </row>
    <row r="53" spans="1:20">
      <c r="A53" s="1" t="s">
        <v>1749</v>
      </c>
      <c r="B53" t="s">
        <v>597</v>
      </c>
      <c r="C53" t="s">
        <v>1886</v>
      </c>
      <c r="D53" t="s">
        <v>599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1" t="s">
        <v>1751</v>
      </c>
      <c r="B54" t="s">
        <v>597</v>
      </c>
      <c r="C54" t="s">
        <v>1896</v>
      </c>
      <c r="D54" t="s">
        <v>599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19">
      <c r="A55" s="1" t="s">
        <v>1753</v>
      </c>
      <c r="B55" t="s">
        <v>587</v>
      </c>
      <c r="C55" t="s">
        <v>1904</v>
      </c>
      <c r="D55" t="s">
        <v>2413</v>
      </c>
      <c r="F55">
        <v>18</v>
      </c>
      <c r="Q55">
        <v>2</v>
      </c>
      <c r="S55">
        <v>18</v>
      </c>
    </row>
    <row r="56" customFormat="1" spans="1:23">
      <c r="A56" s="1" t="s">
        <v>1756</v>
      </c>
      <c r="B56" t="s">
        <v>583</v>
      </c>
      <c r="C56" t="s">
        <v>2370</v>
      </c>
      <c r="D56" s="12" t="s">
        <v>585</v>
      </c>
      <c r="F56">
        <v>4</v>
      </c>
      <c r="K56">
        <v>2</v>
      </c>
      <c r="Q56">
        <v>1</v>
      </c>
      <c r="V56" t="s">
        <v>1140</v>
      </c>
      <c r="W56" s="1" t="s">
        <v>1141</v>
      </c>
    </row>
    <row r="57" customFormat="1" spans="1:23">
      <c r="A57" s="1" t="s">
        <v>1758</v>
      </c>
      <c r="B57" t="s">
        <v>1131</v>
      </c>
      <c r="C57" t="s">
        <v>2371</v>
      </c>
      <c r="D57" s="12" t="s">
        <v>1133</v>
      </c>
      <c r="F57">
        <v>25</v>
      </c>
      <c r="Q57">
        <v>1</v>
      </c>
      <c r="S57">
        <v>22</v>
      </c>
      <c r="U57">
        <v>12</v>
      </c>
      <c r="V57" t="s">
        <v>1135</v>
      </c>
      <c r="W57" s="1" t="s">
        <v>1136</v>
      </c>
    </row>
    <row r="58" customFormat="1" spans="1:22">
      <c r="A58" s="1" t="s">
        <v>1760</v>
      </c>
      <c r="B58" t="s">
        <v>583</v>
      </c>
      <c r="C58" t="s">
        <v>2376</v>
      </c>
      <c r="D58" s="12" t="s">
        <v>595</v>
      </c>
      <c r="F58">
        <v>3</v>
      </c>
      <c r="J58">
        <v>5</v>
      </c>
      <c r="K58">
        <v>5</v>
      </c>
      <c r="P58">
        <v>5</v>
      </c>
      <c r="Q58">
        <v>3.5</v>
      </c>
      <c r="R58">
        <v>0.75</v>
      </c>
      <c r="V58" t="s">
        <v>949</v>
      </c>
    </row>
    <row r="59" customFormat="1" spans="1:21">
      <c r="A59" s="1" t="s">
        <v>1762</v>
      </c>
      <c r="B59" t="s">
        <v>597</v>
      </c>
      <c r="C59" t="s">
        <v>2377</v>
      </c>
      <c r="D59" s="12" t="s">
        <v>599</v>
      </c>
      <c r="F59">
        <v>23</v>
      </c>
      <c r="P59">
        <v>16</v>
      </c>
      <c r="Q59">
        <v>3.8</v>
      </c>
      <c r="R59">
        <v>0.8</v>
      </c>
      <c r="T59">
        <v>19</v>
      </c>
      <c r="U59">
        <v>7</v>
      </c>
    </row>
    <row r="60" customFormat="1" spans="1:23">
      <c r="A60" s="1" t="s">
        <v>1764</v>
      </c>
      <c r="B60" t="s">
        <v>508</v>
      </c>
      <c r="C60" t="s">
        <v>2384</v>
      </c>
      <c r="D60" s="12" t="s">
        <v>510</v>
      </c>
      <c r="G60">
        <v>11</v>
      </c>
      <c r="I60">
        <v>16</v>
      </c>
      <c r="J60">
        <v>5</v>
      </c>
      <c r="M60">
        <v>3</v>
      </c>
      <c r="Q60">
        <v>1</v>
      </c>
      <c r="U60">
        <v>5</v>
      </c>
      <c r="V60" t="s">
        <v>1295</v>
      </c>
      <c r="W60" s="1" t="s">
        <v>1296</v>
      </c>
    </row>
    <row r="61" customFormat="1" spans="1:23">
      <c r="A61" s="1" t="s">
        <v>1766</v>
      </c>
      <c r="B61" t="s">
        <v>508</v>
      </c>
      <c r="C61" t="s">
        <v>2385</v>
      </c>
      <c r="D61" s="12" t="s">
        <v>510</v>
      </c>
      <c r="G61">
        <v>10</v>
      </c>
      <c r="I61">
        <v>12</v>
      </c>
      <c r="J61">
        <v>15</v>
      </c>
      <c r="K61">
        <v>6</v>
      </c>
      <c r="M61">
        <v>6</v>
      </c>
      <c r="Q61">
        <v>1</v>
      </c>
      <c r="U61">
        <v>5</v>
      </c>
      <c r="V61" t="s">
        <v>1279</v>
      </c>
      <c r="W61" t="s">
        <v>1280</v>
      </c>
    </row>
    <row r="62" customFormat="1" spans="1:22">
      <c r="A62" s="1" t="s">
        <v>1768</v>
      </c>
      <c r="B62" t="s">
        <v>446</v>
      </c>
      <c r="C62" t="s">
        <v>2029</v>
      </c>
      <c r="D62" s="12" t="s">
        <v>448</v>
      </c>
      <c r="O62">
        <v>13</v>
      </c>
      <c r="P62">
        <v>2</v>
      </c>
      <c r="Q62">
        <v>1</v>
      </c>
      <c r="U62">
        <v>6</v>
      </c>
      <c r="V62" t="s">
        <v>656</v>
      </c>
    </row>
    <row r="63" customFormat="1" spans="1:22">
      <c r="A63" s="1" t="s">
        <v>1771</v>
      </c>
      <c r="B63" t="s">
        <v>508</v>
      </c>
      <c r="C63" t="s">
        <v>2218</v>
      </c>
      <c r="D63" s="12" t="s">
        <v>510</v>
      </c>
      <c r="G63">
        <v>12</v>
      </c>
      <c r="J63">
        <v>1</v>
      </c>
      <c r="K63">
        <v>1</v>
      </c>
      <c r="M63">
        <v>1</v>
      </c>
      <c r="Q63">
        <v>1</v>
      </c>
      <c r="U63">
        <v>6</v>
      </c>
      <c r="V63" t="s">
        <v>656</v>
      </c>
    </row>
    <row r="64" customFormat="1" spans="1:22">
      <c r="A64" s="1" t="s">
        <v>1773</v>
      </c>
      <c r="B64" t="s">
        <v>551</v>
      </c>
      <c r="C64" t="s">
        <v>2219</v>
      </c>
      <c r="D64" s="12" t="s">
        <v>553</v>
      </c>
      <c r="M64">
        <v>3</v>
      </c>
      <c r="P64">
        <v>12</v>
      </c>
      <c r="Q64">
        <v>1</v>
      </c>
      <c r="U64">
        <v>6</v>
      </c>
      <c r="V64" t="s">
        <v>656</v>
      </c>
    </row>
    <row r="65" customFormat="1" spans="1:22">
      <c r="A65" s="1" t="s">
        <v>1775</v>
      </c>
      <c r="B65" t="s">
        <v>551</v>
      </c>
      <c r="C65" t="s">
        <v>2392</v>
      </c>
      <c r="D65" s="12" t="s">
        <v>553</v>
      </c>
      <c r="P65">
        <v>15</v>
      </c>
      <c r="Q65">
        <v>1</v>
      </c>
      <c r="U65">
        <v>8</v>
      </c>
      <c r="V65" t="s">
        <v>579</v>
      </c>
    </row>
    <row r="66" customFormat="1" spans="1:22">
      <c r="A66" s="1" t="s">
        <v>1777</v>
      </c>
      <c r="B66" t="s">
        <v>446</v>
      </c>
      <c r="C66" t="s">
        <v>2393</v>
      </c>
      <c r="D66" t="s">
        <v>448</v>
      </c>
      <c r="I66">
        <v>1</v>
      </c>
      <c r="K66">
        <v>2</v>
      </c>
      <c r="O66">
        <v>15</v>
      </c>
      <c r="Q66">
        <v>1</v>
      </c>
      <c r="U66">
        <v>7</v>
      </c>
      <c r="V66" t="s">
        <v>630</v>
      </c>
    </row>
    <row r="67" customFormat="1" spans="1:22">
      <c r="A67" s="1" t="s">
        <v>1779</v>
      </c>
      <c r="B67" t="s">
        <v>587</v>
      </c>
      <c r="C67" t="s">
        <v>2275</v>
      </c>
      <c r="D67" s="12" t="s">
        <v>589</v>
      </c>
      <c r="F67">
        <v>21</v>
      </c>
      <c r="Q67">
        <v>1</v>
      </c>
      <c r="S67">
        <v>24</v>
      </c>
      <c r="U67">
        <v>8</v>
      </c>
      <c r="V67" t="s">
        <v>579</v>
      </c>
    </row>
    <row r="68" customFormat="1" spans="1:17">
      <c r="A68" s="1" t="s">
        <v>1781</v>
      </c>
      <c r="B68" t="s">
        <v>583</v>
      </c>
      <c r="C68" t="s">
        <v>2274</v>
      </c>
      <c r="D68" s="12" t="s">
        <v>585</v>
      </c>
      <c r="K68">
        <v>2</v>
      </c>
      <c r="M68">
        <v>2</v>
      </c>
      <c r="Q68">
        <v>1</v>
      </c>
    </row>
  </sheetData>
  <autoFilter ref="A1:W68">
    <extLst/>
  </autoFilter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5"/>
  <sheetViews>
    <sheetView workbookViewId="0">
      <pane xSplit="5" ySplit="1" topLeftCell="F5" activePane="bottomRight" state="frozen"/>
      <selection/>
      <selection pane="topRight"/>
      <selection pane="bottomLeft"/>
      <selection pane="bottomRight" activeCell="G20" sqref="G20"/>
    </sheetView>
  </sheetViews>
  <sheetFormatPr defaultColWidth="8.83333333333333" defaultRowHeight="13.5"/>
  <cols>
    <col min="1" max="2" width="9" style="1" customWidth="1"/>
    <col min="3" max="3" width="12.5" style="1" customWidth="1"/>
    <col min="4" max="5" width="9" style="2" customWidth="1"/>
    <col min="6" max="6" width="9" style="3" customWidth="1"/>
    <col min="7" max="12" width="9" style="1" customWidth="1"/>
    <col min="13" max="13" width="11" style="4" customWidth="1"/>
    <col min="14" max="17" width="11" style="1" customWidth="1"/>
    <col min="18" max="18" width="11" style="5" customWidth="1"/>
    <col min="19" max="19" width="9" style="6" customWidth="1"/>
    <col min="20" max="25" width="9" style="1" customWidth="1"/>
    <col min="26" max="26" width="11" style="4" customWidth="1"/>
    <col min="27" max="30" width="11" style="1" customWidth="1"/>
    <col min="31" max="31" width="11" style="5" customWidth="1"/>
    <col min="32" max="32" width="9" style="6" customWidth="1"/>
    <col min="33" max="38" width="9" style="1" customWidth="1"/>
    <col min="39" max="39" width="11" style="4" customWidth="1"/>
    <col min="40" max="44" width="11" style="1" customWidth="1"/>
    <col min="45" max="45" width="9" style="6" customWidth="1"/>
  </cols>
  <sheetData>
    <row r="1" spans="1:44">
      <c r="A1" s="1" t="s">
        <v>2414</v>
      </c>
      <c r="B1" s="1" t="s">
        <v>2</v>
      </c>
      <c r="C1" s="1" t="s">
        <v>416</v>
      </c>
      <c r="D1" s="2" t="s">
        <v>2415</v>
      </c>
      <c r="E1" s="2" t="s">
        <v>2416</v>
      </c>
      <c r="F1" s="7" t="s">
        <v>2417</v>
      </c>
      <c r="M1" s="9" t="s">
        <v>2418</v>
      </c>
      <c r="R1" s="11"/>
      <c r="S1" s="7" t="s">
        <v>2419</v>
      </c>
      <c r="Z1" s="9" t="s">
        <v>2420</v>
      </c>
      <c r="AE1" s="11"/>
      <c r="AF1" s="7" t="s">
        <v>2421</v>
      </c>
      <c r="AM1" s="9" t="s">
        <v>2422</v>
      </c>
      <c r="AR1" s="11"/>
    </row>
    <row r="2" spans="1:44">
      <c r="A2" s="1" t="s">
        <v>1616</v>
      </c>
      <c r="B2" s="1" t="s">
        <v>2423</v>
      </c>
      <c r="C2" s="1" t="s">
        <v>2424</v>
      </c>
      <c r="D2" s="2">
        <v>0</v>
      </c>
      <c r="E2" s="2">
        <v>0</v>
      </c>
      <c r="F2" s="7"/>
      <c r="G2" s="8"/>
      <c r="H2" s="8"/>
      <c r="I2" s="8"/>
      <c r="J2" s="8"/>
      <c r="K2" s="8"/>
      <c r="L2" s="8"/>
      <c r="M2" s="10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7"/>
      <c r="T2" s="8"/>
      <c r="U2" s="8"/>
      <c r="V2" s="8"/>
      <c r="W2" s="8"/>
      <c r="X2" s="8"/>
      <c r="Y2" s="8"/>
      <c r="Z2" s="10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7"/>
      <c r="AG2" s="8"/>
      <c r="AH2" s="8"/>
      <c r="AI2" s="8"/>
      <c r="AJ2" s="8"/>
      <c r="AK2" s="8"/>
      <c r="AL2" s="8"/>
      <c r="AM2" s="10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1" t="s">
        <v>1620</v>
      </c>
      <c r="B3" s="1" t="s">
        <v>2425</v>
      </c>
      <c r="C3" s="1" t="s">
        <v>2426</v>
      </c>
      <c r="D3" s="2">
        <v>1</v>
      </c>
      <c r="E3" s="2">
        <v>0</v>
      </c>
      <c r="F3" s="3">
        <v>1</v>
      </c>
      <c r="G3" s="1" t="s">
        <v>1781</v>
      </c>
      <c r="H3" s="1" t="s">
        <v>1781</v>
      </c>
      <c r="I3" s="1" t="s">
        <v>1830</v>
      </c>
      <c r="J3" s="1" t="s">
        <v>1830</v>
      </c>
      <c r="K3" s="1" t="s">
        <v>1836</v>
      </c>
      <c r="L3" s="1" t="s">
        <v>1836</v>
      </c>
      <c r="M3" s="10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10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10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1" t="s">
        <v>1623</v>
      </c>
      <c r="B4" s="1" t="s">
        <v>43</v>
      </c>
      <c r="C4" s="1" t="s">
        <v>2426</v>
      </c>
      <c r="D4" s="2">
        <v>2</v>
      </c>
      <c r="E4" s="2">
        <v>0</v>
      </c>
      <c r="F4" s="3">
        <v>1</v>
      </c>
      <c r="G4" s="1" t="s">
        <v>1899</v>
      </c>
      <c r="H4" s="1" t="s">
        <v>1824</v>
      </c>
      <c r="I4" s="1" t="s">
        <v>1672</v>
      </c>
      <c r="J4" s="1" t="s">
        <v>1704</v>
      </c>
      <c r="K4" s="1" t="s">
        <v>1840</v>
      </c>
      <c r="L4" s="1" t="s">
        <v>1838</v>
      </c>
      <c r="M4" s="10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10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10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1" t="s">
        <v>1626</v>
      </c>
      <c r="B5" s="1" t="s">
        <v>68</v>
      </c>
      <c r="C5" s="1" t="s">
        <v>2426</v>
      </c>
      <c r="D5" s="2">
        <v>3</v>
      </c>
      <c r="E5" s="2">
        <v>0</v>
      </c>
      <c r="F5" s="3">
        <v>1</v>
      </c>
      <c r="G5" s="1" t="s">
        <v>1826</v>
      </c>
      <c r="H5" s="1" t="s">
        <v>1826</v>
      </c>
      <c r="I5" s="1" t="s">
        <v>1672</v>
      </c>
      <c r="J5" s="1" t="s">
        <v>1672</v>
      </c>
      <c r="K5" s="1" t="s">
        <v>1797</v>
      </c>
      <c r="M5" s="10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10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10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1" t="s">
        <v>1631</v>
      </c>
      <c r="B6" s="1" t="s">
        <v>2427</v>
      </c>
      <c r="C6" s="1" t="s">
        <v>2426</v>
      </c>
      <c r="D6" s="2">
        <v>5</v>
      </c>
      <c r="E6" s="2">
        <v>0</v>
      </c>
      <c r="F6" s="3">
        <v>1</v>
      </c>
      <c r="G6" s="1" t="s">
        <v>1956</v>
      </c>
      <c r="H6" s="1" t="s">
        <v>1959</v>
      </c>
      <c r="I6" s="1" t="s">
        <v>1962</v>
      </c>
      <c r="J6" s="1" t="s">
        <v>1966</v>
      </c>
      <c r="K6" s="1" t="s">
        <v>1969</v>
      </c>
      <c r="L6" s="1" t="s">
        <v>1971</v>
      </c>
      <c r="M6" s="10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10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10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1" t="s">
        <v>1635</v>
      </c>
      <c r="B7" s="1" t="s">
        <v>2428</v>
      </c>
      <c r="C7" s="1" t="s">
        <v>2426</v>
      </c>
      <c r="D7" s="2">
        <v>1</v>
      </c>
      <c r="E7" s="2">
        <v>0</v>
      </c>
      <c r="F7" s="3">
        <v>1</v>
      </c>
      <c r="G7" s="1" t="s">
        <v>1670</v>
      </c>
      <c r="H7" s="1" t="s">
        <v>1670</v>
      </c>
      <c r="I7" s="1" t="s">
        <v>1830</v>
      </c>
      <c r="J7" s="1" t="s">
        <v>1830</v>
      </c>
      <c r="K7" s="1" t="s">
        <v>1795</v>
      </c>
      <c r="L7" s="1" t="s">
        <v>1795</v>
      </c>
      <c r="M7" s="10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10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10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1" t="s">
        <v>1639</v>
      </c>
      <c r="B8" s="1" t="s">
        <v>2429</v>
      </c>
      <c r="C8" s="1" t="s">
        <v>2426</v>
      </c>
      <c r="D8" s="2">
        <v>2</v>
      </c>
      <c r="E8" s="2">
        <v>0</v>
      </c>
      <c r="F8" s="3">
        <v>1</v>
      </c>
      <c r="G8" s="1" t="s">
        <v>1824</v>
      </c>
      <c r="H8" s="1" t="s">
        <v>1824</v>
      </c>
      <c r="I8" s="1" t="s">
        <v>1832</v>
      </c>
      <c r="J8" s="1" t="s">
        <v>1832</v>
      </c>
      <c r="K8" s="1" t="s">
        <v>1830</v>
      </c>
      <c r="L8" s="1" t="s">
        <v>1830</v>
      </c>
      <c r="M8" s="10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10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10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1" t="s">
        <v>1642</v>
      </c>
      <c r="B9" s="1" t="s">
        <v>2430</v>
      </c>
      <c r="C9" s="1" t="s">
        <v>2426</v>
      </c>
      <c r="D9" s="2">
        <v>3</v>
      </c>
      <c r="E9" s="2">
        <v>0</v>
      </c>
      <c r="F9" s="3">
        <v>1</v>
      </c>
      <c r="G9" s="1" t="s">
        <v>1783</v>
      </c>
      <c r="H9" s="1" t="s">
        <v>1783</v>
      </c>
      <c r="I9" s="1" t="s">
        <v>1672</v>
      </c>
      <c r="J9" s="1" t="s">
        <v>1672</v>
      </c>
      <c r="K9" s="1" t="s">
        <v>1808</v>
      </c>
      <c r="L9" s="1" t="s">
        <v>1808</v>
      </c>
      <c r="M9" s="10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10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10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1" t="s">
        <v>1858</v>
      </c>
      <c r="B10" s="1" t="s">
        <v>2427</v>
      </c>
      <c r="C10" s="1" t="s">
        <v>2426</v>
      </c>
      <c r="D10" s="2">
        <v>5</v>
      </c>
      <c r="E10" s="2">
        <v>0</v>
      </c>
      <c r="F10" s="3">
        <v>4</v>
      </c>
      <c r="G10" s="1" t="s">
        <v>1976</v>
      </c>
      <c r="H10" s="1" t="s">
        <v>1978</v>
      </c>
      <c r="I10" s="1" t="s">
        <v>1982</v>
      </c>
      <c r="J10" s="1" t="s">
        <v>1983</v>
      </c>
      <c r="K10" s="1" t="s">
        <v>1985</v>
      </c>
      <c r="L10" s="1" t="s">
        <v>1987</v>
      </c>
      <c r="M10" s="4" t="str">
        <f>IFERROR(VLOOKUP(G10,'舰船数据-深海'!$A:$C,3,FALSE),)</f>
        <v>Hindenburg</v>
      </c>
      <c r="N10" s="1" t="str">
        <f>IFERROR(VLOOKUP(H10,'舰船数据-深海'!$A:$C,3,FALSE),)</f>
        <v>Peter Strasser</v>
      </c>
      <c r="O10" s="1" t="str">
        <f>IFERROR(VLOOKUP(I10,'舰船数据-深海'!$A:$C,3,FALSE),)</f>
        <v>Leopold(K5)</v>
      </c>
      <c r="P10" s="1" t="str">
        <f>IFERROR(VLOOKUP(J10,'舰船数据-深海'!$A:$C,3,FALSE),)</f>
        <v>Bismarck</v>
      </c>
      <c r="Q10" s="1" t="str">
        <f>IFERROR(VLOOKUP(K10,'舰船数据-深海'!$A:$C,3,FALSE),)</f>
        <v>Prinz Eugen</v>
      </c>
      <c r="R10" s="1" t="str">
        <f>IFERROR(VLOOKUP(L10,'舰船数据-深海'!$A:$C,3,FALSE),)</f>
        <v>U-99</v>
      </c>
      <c r="S10" s="3">
        <v>2</v>
      </c>
      <c r="T10" s="1" t="s">
        <v>1976</v>
      </c>
      <c r="U10" s="1" t="s">
        <v>1978</v>
      </c>
      <c r="V10" s="1" t="s">
        <v>1982</v>
      </c>
      <c r="W10" s="1" t="s">
        <v>1983</v>
      </c>
      <c r="X10" s="1" t="s">
        <v>1985</v>
      </c>
      <c r="Y10" s="1" t="s">
        <v>1987</v>
      </c>
      <c r="Z10" s="10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3">
        <v>5</v>
      </c>
      <c r="AG10" s="1" t="s">
        <v>1976</v>
      </c>
      <c r="AH10" s="1" t="s">
        <v>1978</v>
      </c>
      <c r="AI10" s="1" t="s">
        <v>1982</v>
      </c>
      <c r="AJ10" s="1" t="s">
        <v>1983</v>
      </c>
      <c r="AK10" s="1" t="s">
        <v>1985</v>
      </c>
      <c r="AL10" s="1" t="s">
        <v>1987</v>
      </c>
      <c r="AM10" s="10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18">
      <c r="A11" s="1" t="s">
        <v>1887</v>
      </c>
      <c r="B11" s="1" t="s">
        <v>2428</v>
      </c>
      <c r="C11" s="1" t="s">
        <v>2426</v>
      </c>
      <c r="D11" s="2">
        <v>1</v>
      </c>
      <c r="E11" s="2">
        <v>0</v>
      </c>
      <c r="F11" s="3">
        <v>2</v>
      </c>
      <c r="G11" s="1" t="s">
        <v>1735</v>
      </c>
      <c r="H11" s="1" t="s">
        <v>1834</v>
      </c>
      <c r="I11" s="1" t="s">
        <v>1834</v>
      </c>
      <c r="J11" s="1" t="s">
        <v>1842</v>
      </c>
      <c r="K11" s="1" t="s">
        <v>1801</v>
      </c>
      <c r="L11" s="1" t="s">
        <v>1891</v>
      </c>
      <c r="M11" s="4" t="str">
        <f>IFERROR(VLOOKUP(G11,'舰船数据-深海'!$A:$C,3,FALSE),)</f>
        <v>战列Λ级Ⅳ型</v>
      </c>
      <c r="N11" s="1" t="str">
        <f>IFERROR(VLOOKUP(H11,'舰船数据-深海'!$A:$C,3,FALSE),)</f>
        <v>重巡Ω级Ⅳ型</v>
      </c>
      <c r="O11" s="1" t="str">
        <f>IFERROR(VLOOKUP(I11,'舰船数据-深海'!$A:$C,3,FALSE),)</f>
        <v>重巡Ω级Ⅳ型</v>
      </c>
      <c r="P11" s="1" t="str">
        <f>IFERROR(VLOOKUP(J11,'舰船数据-深海'!$A:$C,3,FALSE),)</f>
        <v>轻巡ei级Ⅳ型</v>
      </c>
      <c r="Q11" s="1" t="str">
        <f>IFERROR(VLOOKUP(K11,'舰船数据-深海'!$A:$C,3,FALSE),)</f>
        <v>驱逐Τ级Ⅳ型</v>
      </c>
      <c r="R11" s="1" t="str">
        <f>IFERROR(VLOOKUP(L11,'舰船数据-深海'!$A:$C,3,FALSE),)</f>
        <v>防驱be级Ⅳ型</v>
      </c>
    </row>
    <row r="12" spans="1:18">
      <c r="A12" s="1" t="s">
        <v>1889</v>
      </c>
      <c r="B12" s="1" t="s">
        <v>2425</v>
      </c>
      <c r="C12" s="1" t="s">
        <v>2426</v>
      </c>
      <c r="D12" s="2">
        <v>1</v>
      </c>
      <c r="E12" s="2">
        <v>0</v>
      </c>
      <c r="F12" s="3">
        <v>1</v>
      </c>
      <c r="G12" s="1" t="s">
        <v>1735</v>
      </c>
      <c r="H12" s="1" t="s">
        <v>1706</v>
      </c>
      <c r="I12" s="1" t="s">
        <v>1801</v>
      </c>
      <c r="J12" s="1" t="s">
        <v>1842</v>
      </c>
      <c r="K12" s="1" t="s">
        <v>1801</v>
      </c>
      <c r="L12" s="1" t="s">
        <v>1842</v>
      </c>
      <c r="M12" s="4" t="str">
        <f>IFERROR(VLOOKUP(G12,'舰船数据-深海'!$A:$C,3,FALSE),)</f>
        <v>战列Λ级Ⅳ型</v>
      </c>
      <c r="N12" s="1" t="str">
        <f>IFERROR(VLOOKUP(H12,'舰船数据-深海'!$A:$C,3,FALSE),)</f>
        <v>轻母Ξ级Ⅳ型</v>
      </c>
      <c r="O12" s="1" t="str">
        <f>IFERROR(VLOOKUP(I12,'舰船数据-深海'!$A:$C,3,FALSE),)</f>
        <v>驱逐Τ级Ⅳ型</v>
      </c>
      <c r="P12" s="1" t="str">
        <f>IFERROR(VLOOKUP(J12,'舰船数据-深海'!$A:$C,3,FALSE),)</f>
        <v>轻巡ei级Ⅳ型</v>
      </c>
      <c r="Q12" s="1" t="str">
        <f>IFERROR(VLOOKUP(K12,'舰船数据-深海'!$A:$C,3,FALSE),)</f>
        <v>驱逐Τ级Ⅳ型</v>
      </c>
      <c r="R12" s="1" t="str">
        <f>IFERROR(VLOOKUP(L12,'舰船数据-深海'!$A:$C,3,FALSE),)</f>
        <v>轻巡ei级Ⅳ型</v>
      </c>
    </row>
    <row r="13" spans="1:18">
      <c r="A13" s="1" t="s">
        <v>1891</v>
      </c>
      <c r="B13" s="1" t="s">
        <v>89</v>
      </c>
      <c r="C13" s="1" t="s">
        <v>2426</v>
      </c>
      <c r="D13" s="2">
        <v>1</v>
      </c>
      <c r="E13" s="2">
        <v>0</v>
      </c>
      <c r="F13" s="3">
        <v>1</v>
      </c>
      <c r="G13" s="1" t="s">
        <v>1735</v>
      </c>
      <c r="H13" s="1" t="s">
        <v>1706</v>
      </c>
      <c r="I13" s="1" t="s">
        <v>1834</v>
      </c>
      <c r="J13" s="1" t="s">
        <v>1834</v>
      </c>
      <c r="K13" s="1" t="s">
        <v>1801</v>
      </c>
      <c r="L13" s="1" t="s">
        <v>1801</v>
      </c>
      <c r="M13" s="4" t="str">
        <f>IFERROR(VLOOKUP(G13,'舰船数据-深海'!$A:$C,3,FALSE),)</f>
        <v>战列Λ级Ⅳ型</v>
      </c>
      <c r="N13" s="1" t="str">
        <f>IFERROR(VLOOKUP(H13,'舰船数据-深海'!$A:$C,3,FALSE),)</f>
        <v>轻母Ξ级Ⅳ型</v>
      </c>
      <c r="O13" s="1" t="str">
        <f>IFERROR(VLOOKUP(I13,'舰船数据-深海'!$A:$C,3,FALSE),)</f>
        <v>重巡Ω级Ⅳ型</v>
      </c>
      <c r="P13" s="1" t="str">
        <f>IFERROR(VLOOKUP(J13,'舰船数据-深海'!$A:$C,3,FALSE),)</f>
        <v>重巡Ω级Ⅳ型</v>
      </c>
      <c r="Q13" s="1" t="str">
        <f>IFERROR(VLOOKUP(K13,'舰船数据-深海'!$A:$C,3,FALSE),)</f>
        <v>驱逐Τ级Ⅳ型</v>
      </c>
      <c r="R13" s="1" t="str">
        <f>IFERROR(VLOOKUP(L13,'舰船数据-深海'!$A:$C,3,FALSE),)</f>
        <v>驱逐Τ级Ⅳ型</v>
      </c>
    </row>
    <row r="14" spans="1:18">
      <c r="A14" s="1" t="s">
        <v>2431</v>
      </c>
      <c r="B14" s="1" t="s">
        <v>2429</v>
      </c>
      <c r="C14" s="1" t="s">
        <v>2426</v>
      </c>
      <c r="D14" s="2">
        <v>2</v>
      </c>
      <c r="E14" s="2">
        <v>1</v>
      </c>
      <c r="F14" s="3">
        <v>2</v>
      </c>
      <c r="G14" s="1" t="s">
        <v>1735</v>
      </c>
      <c r="H14" s="1" t="s">
        <v>1735</v>
      </c>
      <c r="I14" s="1" t="s">
        <v>1783</v>
      </c>
      <c r="J14" s="1" t="s">
        <v>1834</v>
      </c>
      <c r="K14" s="1" t="s">
        <v>1842</v>
      </c>
      <c r="L14" s="1" t="s">
        <v>1801</v>
      </c>
      <c r="M14" s="4" t="str">
        <f>IFERROR(VLOOKUP(G14,'舰船数据-深海'!$A:$C,3,FALSE),)</f>
        <v>战列Λ级Ⅳ型</v>
      </c>
      <c r="N14" s="1" t="str">
        <f>IFERROR(VLOOKUP(H14,'舰船数据-深海'!$A:$C,3,FALSE),)</f>
        <v>战列Λ级Ⅳ型</v>
      </c>
      <c r="O14" s="1" t="str">
        <f>IFERROR(VLOOKUP(I14,'舰船数据-深海'!$A:$C,3,FALSE),)</f>
        <v>战巡Κ级Ⅳ型</v>
      </c>
      <c r="P14" s="1" t="str">
        <f>IFERROR(VLOOKUP(J14,'舰船数据-深海'!$A:$C,3,FALSE),)</f>
        <v>重巡Ω级Ⅳ型</v>
      </c>
      <c r="Q14" s="1" t="str">
        <f>IFERROR(VLOOKUP(K14,'舰船数据-深海'!$A:$C,3,FALSE),)</f>
        <v>轻巡ei级Ⅳ型</v>
      </c>
      <c r="R14" s="1" t="str">
        <f>IFERROR(VLOOKUP(L14,'舰船数据-深海'!$A:$C,3,FALSE),)</f>
        <v>驱逐Τ级Ⅳ型</v>
      </c>
    </row>
    <row r="15" spans="1:18">
      <c r="A15" s="1" t="s">
        <v>1893</v>
      </c>
      <c r="B15" s="1" t="s">
        <v>43</v>
      </c>
      <c r="C15" s="1" t="s">
        <v>2426</v>
      </c>
      <c r="D15" s="2">
        <v>2</v>
      </c>
      <c r="E15" s="2">
        <v>0</v>
      </c>
      <c r="F15" s="3">
        <v>1</v>
      </c>
      <c r="G15" s="1" t="s">
        <v>1735</v>
      </c>
      <c r="H15" s="1" t="s">
        <v>1783</v>
      </c>
      <c r="I15" s="1" t="s">
        <v>1706</v>
      </c>
      <c r="J15" s="1" t="s">
        <v>1834</v>
      </c>
      <c r="K15" s="1" t="s">
        <v>1834</v>
      </c>
      <c r="L15" s="1" t="s">
        <v>1842</v>
      </c>
      <c r="M15" s="4" t="str">
        <f>IFERROR(VLOOKUP(G15,'舰船数据-深海'!$A:$C,3,FALSE),)</f>
        <v>战列Λ级Ⅳ型</v>
      </c>
      <c r="N15" s="1" t="str">
        <f>IFERROR(VLOOKUP(H15,'舰船数据-深海'!$A:$C,3,FALSE),)</f>
        <v>战巡Κ级Ⅳ型</v>
      </c>
      <c r="O15" s="1" t="str">
        <f>IFERROR(VLOOKUP(I15,'舰船数据-深海'!$A:$C,3,FALSE),)</f>
        <v>轻母Ξ级Ⅳ型</v>
      </c>
      <c r="P15" s="1" t="str">
        <f>IFERROR(VLOOKUP(J15,'舰船数据-深海'!$A:$C,3,FALSE),)</f>
        <v>重巡Ω级Ⅳ型</v>
      </c>
      <c r="Q15" s="1" t="str">
        <f>IFERROR(VLOOKUP(K15,'舰船数据-深海'!$A:$C,3,FALSE),)</f>
        <v>重巡Ω级Ⅳ型</v>
      </c>
      <c r="R15" s="1" t="str">
        <f>IFERROR(VLOOKUP(L15,'舰船数据-深海'!$A:$C,3,FALSE),)</f>
        <v>轻巡ei级Ⅳ型</v>
      </c>
    </row>
    <row r="16" spans="1:18">
      <c r="A16" s="1" t="s">
        <v>1897</v>
      </c>
      <c r="B16" s="1" t="s">
        <v>47</v>
      </c>
      <c r="C16" s="1" t="s">
        <v>2426</v>
      </c>
      <c r="D16" s="2">
        <v>2</v>
      </c>
      <c r="E16" s="2">
        <v>0</v>
      </c>
      <c r="F16" s="3">
        <v>2</v>
      </c>
      <c r="G16" s="1" t="s">
        <v>1735</v>
      </c>
      <c r="H16" s="1" t="s">
        <v>1735</v>
      </c>
      <c r="I16" s="1" t="s">
        <v>1834</v>
      </c>
      <c r="J16" s="1" t="s">
        <v>1706</v>
      </c>
      <c r="K16" s="1" t="s">
        <v>1842</v>
      </c>
      <c r="L16" s="1" t="s">
        <v>1842</v>
      </c>
      <c r="M16" s="4" t="str">
        <f>IFERROR(VLOOKUP(G16,'舰船数据-深海'!$A:$C,3,FALSE),)</f>
        <v>战列Λ级Ⅳ型</v>
      </c>
      <c r="N16" s="1" t="str">
        <f>IFERROR(VLOOKUP(H16,'舰船数据-深海'!$A:$C,3,FALSE),)</f>
        <v>战列Λ级Ⅳ型</v>
      </c>
      <c r="O16" s="1" t="str">
        <f>IFERROR(VLOOKUP(I16,'舰船数据-深海'!$A:$C,3,FALSE),)</f>
        <v>重巡Ω级Ⅳ型</v>
      </c>
      <c r="P16" s="1" t="str">
        <f>IFERROR(VLOOKUP(J16,'舰船数据-深海'!$A:$C,3,FALSE),)</f>
        <v>轻母Ξ级Ⅳ型</v>
      </c>
      <c r="Q16" s="1" t="str">
        <f>IFERROR(VLOOKUP(K16,'舰船数据-深海'!$A:$C,3,FALSE),)</f>
        <v>轻巡ei级Ⅳ型</v>
      </c>
      <c r="R16" s="1" t="str">
        <f>IFERROR(VLOOKUP(L16,'舰船数据-深海'!$A:$C,3,FALSE),)</f>
        <v>轻巡ei级Ⅳ型</v>
      </c>
    </row>
    <row r="17" spans="1:18">
      <c r="A17" s="1" t="s">
        <v>1899</v>
      </c>
      <c r="B17" s="1" t="s">
        <v>2430</v>
      </c>
      <c r="C17" s="1" t="s">
        <v>2426</v>
      </c>
      <c r="D17" s="2">
        <v>3</v>
      </c>
      <c r="E17" s="2">
        <v>0</v>
      </c>
      <c r="F17" s="3">
        <v>1</v>
      </c>
      <c r="G17" s="1" t="s">
        <v>1735</v>
      </c>
      <c r="H17" s="1" t="s">
        <v>1735</v>
      </c>
      <c r="I17" s="1" t="s">
        <v>1735</v>
      </c>
      <c r="J17" s="1" t="s">
        <v>1834</v>
      </c>
      <c r="K17" s="1" t="s">
        <v>1834</v>
      </c>
      <c r="L17" s="1" t="s">
        <v>1801</v>
      </c>
      <c r="M17" s="4" t="str">
        <f>IFERROR(VLOOKUP(G17,'舰船数据-深海'!$A:$C,3,FALSE),)</f>
        <v>战列Λ级Ⅳ型</v>
      </c>
      <c r="N17" s="1" t="str">
        <f>IFERROR(VLOOKUP(H17,'舰船数据-深海'!$A:$C,3,FALSE),)</f>
        <v>战列Λ级Ⅳ型</v>
      </c>
      <c r="O17" s="1" t="str">
        <f>IFERROR(VLOOKUP(I17,'舰船数据-深海'!$A:$C,3,FALSE),)</f>
        <v>战列Λ级Ⅳ型</v>
      </c>
      <c r="P17" s="1" t="str">
        <f>IFERROR(VLOOKUP(J17,'舰船数据-深海'!$A:$C,3,FALSE),)</f>
        <v>重巡Ω级Ⅳ型</v>
      </c>
      <c r="Q17" s="1" t="str">
        <f>IFERROR(VLOOKUP(K17,'舰船数据-深海'!$A:$C,3,FALSE),)</f>
        <v>重巡Ω级Ⅳ型</v>
      </c>
      <c r="R17" s="1" t="str">
        <f>IFERROR(VLOOKUP(L17,'舰船数据-深海'!$A:$C,3,FALSE),)</f>
        <v>驱逐Τ级Ⅳ型</v>
      </c>
    </row>
    <row r="18" spans="1:18">
      <c r="A18" s="1" t="s">
        <v>1901</v>
      </c>
      <c r="B18" s="1" t="s">
        <v>68</v>
      </c>
      <c r="C18" s="1" t="s">
        <v>2432</v>
      </c>
      <c r="D18" s="2">
        <v>4</v>
      </c>
      <c r="E18" s="2">
        <v>0</v>
      </c>
      <c r="M18" s="4">
        <f>IFERROR(VLOOKUP(G18,'舰船数据-深海'!$A:$C,3,FALSE),)</f>
        <v>0</v>
      </c>
      <c r="N18" s="1">
        <f>IFERROR(VLOOKUP(H18,'舰船数据-深海'!$A:$C,3,FALSE),)</f>
        <v>0</v>
      </c>
      <c r="O18" s="1">
        <f>IFERROR(VLOOKUP(I18,'舰船数据-深海'!$A:$C,3,FALSE),)</f>
        <v>0</v>
      </c>
      <c r="P18" s="1">
        <f>IFERROR(VLOOKUP(J18,'舰船数据-深海'!$A:$C,3,FALSE),)</f>
        <v>0</v>
      </c>
      <c r="Q18" s="1">
        <f>IFERROR(VLOOKUP(K18,'舰船数据-深海'!$A:$C,3,FALSE),)</f>
        <v>0</v>
      </c>
      <c r="R18" s="1">
        <f>IFERROR(VLOOKUP(L18,'舰船数据-深海'!$A:$C,3,FALSE),)</f>
        <v>0</v>
      </c>
    </row>
    <row r="19" spans="1:18">
      <c r="A19" s="1" t="s">
        <v>1905</v>
      </c>
      <c r="B19" s="1" t="s">
        <v>31</v>
      </c>
      <c r="C19" s="1" t="s">
        <v>2432</v>
      </c>
      <c r="D19" s="2">
        <v>2</v>
      </c>
      <c r="E19" s="2">
        <v>0</v>
      </c>
      <c r="M19" s="4">
        <f>IFERROR(VLOOKUP(G19,'舰船数据-深海'!$A:$C,3,FALSE),)</f>
        <v>0</v>
      </c>
      <c r="N19" s="1">
        <f>IFERROR(VLOOKUP(H19,'舰船数据-深海'!$A:$C,3,FALSE),)</f>
        <v>0</v>
      </c>
      <c r="O19" s="1">
        <f>IFERROR(VLOOKUP(I19,'舰船数据-深海'!$A:$C,3,FALSE),)</f>
        <v>0</v>
      </c>
      <c r="P19" s="1">
        <f>IFERROR(VLOOKUP(J19,'舰船数据-深海'!$A:$C,3,FALSE),)</f>
        <v>0</v>
      </c>
      <c r="Q19" s="1">
        <f>IFERROR(VLOOKUP(K19,'舰船数据-深海'!$A:$C,3,FALSE),)</f>
        <v>0</v>
      </c>
      <c r="R19" s="1">
        <f>IFERROR(VLOOKUP(L19,'舰船数据-深海'!$A:$C,3,FALSE),)</f>
        <v>0</v>
      </c>
    </row>
    <row r="20" spans="1:18">
      <c r="A20" s="1" t="s">
        <v>1907</v>
      </c>
      <c r="B20" s="1" t="s">
        <v>2433</v>
      </c>
      <c r="C20" s="1" t="s">
        <v>2432</v>
      </c>
      <c r="D20" s="2">
        <v>4</v>
      </c>
      <c r="E20" s="2">
        <v>0</v>
      </c>
      <c r="M20" s="4">
        <f>IFERROR(VLOOKUP(G20,'舰船数据-深海'!$A:$C,3,FALSE),)</f>
        <v>0</v>
      </c>
      <c r="N20" s="1">
        <f>IFERROR(VLOOKUP(H20,'舰船数据-深海'!$A:$C,3,FALSE),)</f>
        <v>0</v>
      </c>
      <c r="O20" s="1">
        <f>IFERROR(VLOOKUP(I20,'舰船数据-深海'!$A:$C,3,FALSE),)</f>
        <v>0</v>
      </c>
      <c r="P20" s="1">
        <f>IFERROR(VLOOKUP(J20,'舰船数据-深海'!$A:$C,3,FALSE),)</f>
        <v>0</v>
      </c>
      <c r="Q20" s="1">
        <f>IFERROR(VLOOKUP(K20,'舰船数据-深海'!$A:$C,3,FALSE),)</f>
        <v>0</v>
      </c>
      <c r="R20" s="1">
        <f>IFERROR(VLOOKUP(L20,'舰船数据-深海'!$A:$C,3,FALSE),)</f>
        <v>0</v>
      </c>
    </row>
    <row r="21" spans="1:18">
      <c r="A21" s="1" t="s">
        <v>1909</v>
      </c>
      <c r="B21" s="1" t="s">
        <v>2434</v>
      </c>
      <c r="C21" s="1" t="s">
        <v>2426</v>
      </c>
      <c r="D21" s="2">
        <v>3</v>
      </c>
      <c r="E21" s="2">
        <v>0</v>
      </c>
      <c r="F21" s="3">
        <v>1</v>
      </c>
      <c r="G21" s="1" t="s">
        <v>1735</v>
      </c>
      <c r="H21" s="1" t="s">
        <v>1735</v>
      </c>
      <c r="I21" s="1" t="s">
        <v>1735</v>
      </c>
      <c r="J21" s="1" t="s">
        <v>1842</v>
      </c>
      <c r="K21" s="1" t="s">
        <v>1842</v>
      </c>
      <c r="L21" s="1" t="s">
        <v>1842</v>
      </c>
      <c r="M21" s="4" t="str">
        <f>IFERROR(VLOOKUP(G21,'舰船数据-深海'!$A:$C,3,FALSE),)</f>
        <v>战列Λ级Ⅳ型</v>
      </c>
      <c r="N21" s="1" t="str">
        <f>IFERROR(VLOOKUP(H21,'舰船数据-深海'!$A:$C,3,FALSE),)</f>
        <v>战列Λ级Ⅳ型</v>
      </c>
      <c r="O21" s="1" t="str">
        <f>IFERROR(VLOOKUP(I21,'舰船数据-深海'!$A:$C,3,FALSE),)</f>
        <v>战列Λ级Ⅳ型</v>
      </c>
      <c r="P21" s="1" t="str">
        <f>IFERROR(VLOOKUP(J21,'舰船数据-深海'!$A:$C,3,FALSE),)</f>
        <v>轻巡ei级Ⅳ型</v>
      </c>
      <c r="Q21" s="1" t="str">
        <f>IFERROR(VLOOKUP(K21,'舰船数据-深海'!$A:$C,3,FALSE),)</f>
        <v>轻巡ei级Ⅳ型</v>
      </c>
      <c r="R21" s="1" t="str">
        <f>IFERROR(VLOOKUP(L21,'舰船数据-深海'!$A:$C,3,FALSE),)</f>
        <v>轻巡ei级Ⅳ型</v>
      </c>
    </row>
    <row r="22" spans="1:18">
      <c r="A22" s="1" t="s">
        <v>1911</v>
      </c>
      <c r="B22" s="1" t="s">
        <v>2435</v>
      </c>
      <c r="C22" s="1" t="s">
        <v>2426</v>
      </c>
      <c r="D22" s="2">
        <v>3</v>
      </c>
      <c r="E22" s="2">
        <v>0</v>
      </c>
      <c r="F22" s="3">
        <v>1</v>
      </c>
      <c r="G22" s="1" t="s">
        <v>1826</v>
      </c>
      <c r="H22" s="1" t="s">
        <v>1783</v>
      </c>
      <c r="I22" s="1" t="s">
        <v>1783</v>
      </c>
      <c r="J22" s="1" t="s">
        <v>1706</v>
      </c>
      <c r="K22" s="1" t="s">
        <v>1706</v>
      </c>
      <c r="L22" s="1" t="s">
        <v>1842</v>
      </c>
      <c r="M22" s="4" t="str">
        <f>IFERROR(VLOOKUP(G22,'舰船数据-深海'!$A:$C,3,FALSE),)</f>
        <v>战列Ψ级Ⅳ型</v>
      </c>
      <c r="N22" s="1" t="str">
        <f>IFERROR(VLOOKUP(H22,'舰船数据-深海'!$A:$C,3,FALSE),)</f>
        <v>战巡Κ级Ⅳ型</v>
      </c>
      <c r="O22" s="1" t="str">
        <f>IFERROR(VLOOKUP(I22,'舰船数据-深海'!$A:$C,3,FALSE),)</f>
        <v>战巡Κ级Ⅳ型</v>
      </c>
      <c r="P22" s="1" t="str">
        <f>IFERROR(VLOOKUP(J22,'舰船数据-深海'!$A:$C,3,FALSE),)</f>
        <v>轻母Ξ级Ⅳ型</v>
      </c>
      <c r="Q22" s="1" t="str">
        <f>IFERROR(VLOOKUP(K22,'舰船数据-深海'!$A:$C,3,FALSE),)</f>
        <v>轻母Ξ级Ⅳ型</v>
      </c>
      <c r="R22" s="1" t="str">
        <f>IFERROR(VLOOKUP(L22,'舰船数据-深海'!$A:$C,3,FALSE),)</f>
        <v>轻巡ei级Ⅳ型</v>
      </c>
    </row>
    <row r="23" spans="1:18">
      <c r="A23" s="1" t="s">
        <v>2436</v>
      </c>
      <c r="B23" s="1" t="s">
        <v>2437</v>
      </c>
      <c r="C23" s="1" t="s">
        <v>2426</v>
      </c>
      <c r="D23" s="2">
        <v>5</v>
      </c>
      <c r="E23" s="2">
        <v>0</v>
      </c>
      <c r="F23" s="3">
        <v>4</v>
      </c>
      <c r="G23" s="1" t="s">
        <v>1989</v>
      </c>
      <c r="H23" s="1" t="s">
        <v>1992</v>
      </c>
      <c r="I23" s="1" t="s">
        <v>1995</v>
      </c>
      <c r="J23" s="1" t="s">
        <v>1996</v>
      </c>
      <c r="K23" s="1" t="s">
        <v>1998</v>
      </c>
      <c r="L23" s="1" t="s">
        <v>2002</v>
      </c>
      <c r="M23" s="4">
        <f>IFERROR(VLOOKUP(G23,'舰船数据-深海'!$A:$C,3,FALSE),)</f>
        <v>111</v>
      </c>
      <c r="N23" s="1" t="str">
        <f>IFERROR(VLOOKUP(H23,'舰船数据-深海'!$A:$C,3,FALSE),)</f>
        <v>Yamato</v>
      </c>
      <c r="O23" s="1" t="str">
        <f>IFERROR(VLOOKUP(I23,'舰船数据-深海'!$A:$C,3,FALSE),)</f>
        <v>Musashi</v>
      </c>
      <c r="P23" s="1" t="str">
        <f>IFERROR(VLOOKUP(J23,'舰船数据-深海'!$A:$C,3,FALSE),)</f>
        <v>Cyou-Yamato</v>
      </c>
      <c r="Q23" s="1" t="str">
        <f>IFERROR(VLOOKUP(K23,'舰船数据-深海'!$A:$C,3,FALSE),)</f>
        <v>Akagi&amp;Kaga</v>
      </c>
      <c r="R23" s="1" t="str">
        <f>IFERROR(VLOOKUP(L23,'舰船数据-深海'!$A:$C,3,FALSE),)</f>
        <v>13 Class Battleship</v>
      </c>
    </row>
    <row r="24" spans="1:18">
      <c r="A24" s="1" t="s">
        <v>2438</v>
      </c>
      <c r="B24" s="1" t="s">
        <v>2437</v>
      </c>
      <c r="C24" s="1" t="s">
        <v>2426</v>
      </c>
      <c r="D24" s="2">
        <v>5</v>
      </c>
      <c r="E24" s="2">
        <v>0</v>
      </c>
      <c r="F24" s="3">
        <v>4</v>
      </c>
      <c r="G24" s="1" t="s">
        <v>1989</v>
      </c>
      <c r="H24" s="1" t="s">
        <v>1994</v>
      </c>
      <c r="I24" s="1" t="s">
        <v>1995</v>
      </c>
      <c r="J24" s="1" t="s">
        <v>1996</v>
      </c>
      <c r="K24" s="1" t="s">
        <v>2001</v>
      </c>
      <c r="L24" s="1" t="s">
        <v>2002</v>
      </c>
      <c r="M24" s="4">
        <f>IFERROR(VLOOKUP(G24,'舰船数据-深海'!$A:$C,3,FALSE),)</f>
        <v>111</v>
      </c>
      <c r="N24" s="1" t="str">
        <f>IFERROR(VLOOKUP(H24,'舰船数据-深海'!$A:$C,3,FALSE),)</f>
        <v>Yamato</v>
      </c>
      <c r="O24" s="1" t="str">
        <f>IFERROR(VLOOKUP(I24,'舰船数据-深海'!$A:$C,3,FALSE),)</f>
        <v>Musashi</v>
      </c>
      <c r="P24" s="1" t="str">
        <f>IFERROR(VLOOKUP(J24,'舰船数据-深海'!$A:$C,3,FALSE),)</f>
        <v>Cyou-Yamato</v>
      </c>
      <c r="Q24" s="1" t="str">
        <f>IFERROR(VLOOKUP(K24,'舰船数据-深海'!$A:$C,3,FALSE),)</f>
        <v>Akagi&amp;Kaga</v>
      </c>
      <c r="R24" s="1" t="str">
        <f>IFERROR(VLOOKUP(L24,'舰船数据-深海'!$A:$C,3,FALSE),)</f>
        <v>13 Class Battleship</v>
      </c>
    </row>
    <row r="25" spans="1:18">
      <c r="A25" s="1" t="s">
        <v>2439</v>
      </c>
      <c r="B25" s="1" t="s">
        <v>2437</v>
      </c>
      <c r="C25" s="1" t="s">
        <v>2426</v>
      </c>
      <c r="D25" s="2">
        <v>5</v>
      </c>
      <c r="E25" s="2">
        <v>0</v>
      </c>
      <c r="F25" s="3">
        <v>4</v>
      </c>
      <c r="G25" s="1" t="s">
        <v>1989</v>
      </c>
      <c r="H25" s="1" t="s">
        <v>1994</v>
      </c>
      <c r="I25" s="1" t="s">
        <v>1995</v>
      </c>
      <c r="J25" s="1" t="s">
        <v>1996</v>
      </c>
      <c r="K25" s="1" t="s">
        <v>2001</v>
      </c>
      <c r="L25" s="1" t="s">
        <v>2002</v>
      </c>
      <c r="M25" s="4">
        <f>IFERROR(VLOOKUP(G25,'舰船数据-深海'!$A:$C,3,FALSE),)</f>
        <v>111</v>
      </c>
      <c r="N25" s="1" t="str">
        <f>IFERROR(VLOOKUP(H25,'舰船数据-深海'!$A:$C,3,FALSE),)</f>
        <v>Yamato</v>
      </c>
      <c r="O25" s="1" t="str">
        <f>IFERROR(VLOOKUP(I25,'舰船数据-深海'!$A:$C,3,FALSE),)</f>
        <v>Musashi</v>
      </c>
      <c r="P25" s="1" t="str">
        <f>IFERROR(VLOOKUP(J25,'舰船数据-深海'!$A:$C,3,FALSE),)</f>
        <v>Cyou-Yamato</v>
      </c>
      <c r="Q25" s="1" t="str">
        <f>IFERROR(VLOOKUP(K25,'舰船数据-深海'!$A:$C,3,FALSE),)</f>
        <v>Akagi&amp;Kaga</v>
      </c>
      <c r="R25" s="1" t="str">
        <f>IFERROR(VLOOKUP(L25,'舰船数据-深海'!$A:$C,3,FALSE),)</f>
        <v>13 Class Battleship</v>
      </c>
    </row>
  </sheetData>
  <mergeCells count="6">
    <mergeCell ref="F1:L1"/>
    <mergeCell ref="M1:R1"/>
    <mergeCell ref="S1:Y1"/>
    <mergeCell ref="Z1:AE1"/>
    <mergeCell ref="AF1:AL1"/>
    <mergeCell ref="AM1:AR1"/>
  </mergeCells>
  <conditionalFormatting sqref="AM10:AQ10">
    <cfRule type="cellIs" dxfId="10" priority="1" operator="equal">
      <formula>0</formula>
    </cfRule>
  </conditionalFormatting>
  <conditionalFormatting sqref="M2:R25">
    <cfRule type="cellIs" dxfId="10" priority="6" operator="equal">
      <formula>0</formula>
    </cfRule>
  </conditionalFormatting>
  <conditionalFormatting sqref="Z2:AE10">
    <cfRule type="cellIs" dxfId="10" priority="2" operator="equal">
      <formula>0</formula>
    </cfRule>
  </conditionalFormatting>
  <conditionalFormatting sqref="AM2:AR10">
    <cfRule type="cellIs" dxfId="10" priority="4" operator="equal">
      <formula>0</formula>
    </cfRule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cvhime</cp:lastModifiedBy>
  <dcterms:created xsi:type="dcterms:W3CDTF">2015-06-11T02:19:00Z</dcterms:created>
  <dcterms:modified xsi:type="dcterms:W3CDTF">2026-09-23T20:22:43Z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2052-10.1.0.6757</vt:lpwstr>
  </property>
</Properties>
</file>