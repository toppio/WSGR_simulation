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15" windowHeight="7455" activeTab="3"/>
  </bookViews>
  <sheets>
    <sheet name="舰船数据-未改" sheetId="1" r:id="rId1"/>
    <sheet name="舰船数据-改造" sheetId="2" r:id="rId2"/>
    <sheet name="装备数据-常规" sheetId="3" r:id="rId3"/>
    <sheet name="舰船数据-深海" sheetId="4" r:id="rId4"/>
    <sheet name="装备数据-深海" sheetId="5" r:id="rId5"/>
    <sheet name="海图" sheetId="6" r:id="rId6"/>
  </sheets>
  <definedNames>
    <definedName name="_xlnm._FilterDatabase" localSheetId="0" hidden="1">'舰船数据-未改'!$A$1:$AC$155</definedName>
    <definedName name="_xlnm._FilterDatabase" localSheetId="1" hidden="1">'舰船数据-改造'!$A$1:$AC$229</definedName>
    <definedName name="_xlnm._FilterDatabase" localSheetId="2" hidden="1">'装备数据-常规'!$A$1:$Z$425</definedName>
    <definedName name="_xlnm._FilterDatabase" localSheetId="3" hidden="1">'舰船数据-深海'!$A$1:$AC$381</definedName>
    <definedName name="_xlnm._FilterDatabase" localSheetId="4" hidden="1">'装备数据-深海'!$A$1:$W$70</definedName>
  </definedNames>
  <calcPr calcId="144525"/>
</workbook>
</file>

<file path=xl/sharedStrings.xml><?xml version="1.0" encoding="utf-8"?>
<sst xmlns="http://schemas.openxmlformats.org/spreadsheetml/2006/main" count="6861" uniqueCount="2493">
  <si>
    <t>cid</t>
  </si>
  <si>
    <t>舰种</t>
  </si>
  <si>
    <t>名称</t>
  </si>
  <si>
    <t>国籍</t>
  </si>
  <si>
    <t>耐久</t>
  </si>
  <si>
    <t>火力</t>
  </si>
  <si>
    <t>鱼雷</t>
  </si>
  <si>
    <t>装甲</t>
  </si>
  <si>
    <t>对空</t>
  </si>
  <si>
    <t>对潜</t>
  </si>
  <si>
    <t>命中</t>
  </si>
  <si>
    <t>回避</t>
  </si>
  <si>
    <t>索敌</t>
  </si>
  <si>
    <t>航速</t>
  </si>
  <si>
    <t>射程</t>
  </si>
  <si>
    <t>幸运</t>
  </si>
  <si>
    <t>装备栏</t>
  </si>
  <si>
    <t>总搭载</t>
  </si>
  <si>
    <t>搭载1</t>
  </si>
  <si>
    <t>搭载2</t>
  </si>
  <si>
    <t>搭载3</t>
  </si>
  <si>
    <t>搭载4</t>
  </si>
  <si>
    <t>补给油耗</t>
  </si>
  <si>
    <t>补给弹耗</t>
  </si>
  <si>
    <t>修理油耗</t>
  </si>
  <si>
    <t>修理钢耗</t>
  </si>
  <si>
    <t>技能1</t>
  </si>
  <si>
    <t>技能2</t>
  </si>
  <si>
    <t>标签</t>
  </si>
  <si>
    <t>CV</t>
  </si>
  <si>
    <t>赤城</t>
  </si>
  <si>
    <t>J</t>
  </si>
  <si>
    <t>加贺</t>
  </si>
  <si>
    <t>列克星敦</t>
  </si>
  <si>
    <t>U</t>
  </si>
  <si>
    <t>萨拉托加</t>
  </si>
  <si>
    <t>大黄蜂</t>
  </si>
  <si>
    <t>BB</t>
  </si>
  <si>
    <t>狮</t>
  </si>
  <si>
    <t>E</t>
  </si>
  <si>
    <t>lion</t>
  </si>
  <si>
    <t>前卫</t>
  </si>
  <si>
    <t>黎塞留</t>
  </si>
  <si>
    <t>F</t>
  </si>
  <si>
    <t>AV</t>
  </si>
  <si>
    <t>大凤</t>
  </si>
  <si>
    <t>齐柏林伯爵</t>
  </si>
  <si>
    <t>G</t>
  </si>
  <si>
    <t>皇家方舟</t>
  </si>
  <si>
    <t>约克城</t>
  </si>
  <si>
    <t>企业</t>
  </si>
  <si>
    <t>BC</t>
  </si>
  <si>
    <t>天城</t>
  </si>
  <si>
    <t>土佐</t>
  </si>
  <si>
    <t>A150</t>
  </si>
  <si>
    <t>兴登堡</t>
  </si>
  <si>
    <t>V方案</t>
  </si>
  <si>
    <t>Ar</t>
  </si>
  <si>
    <t>伊利诺伊</t>
  </si>
  <si>
    <t>iowa</t>
  </si>
  <si>
    <t>约克公爵</t>
  </si>
  <si>
    <t>北卡罗来纳</t>
  </si>
  <si>
    <t>南达科他</t>
  </si>
  <si>
    <t>south_dakota</t>
  </si>
  <si>
    <t>马萨诸塞</t>
  </si>
  <si>
    <t>密苏里</t>
  </si>
  <si>
    <t>衣阿华</t>
  </si>
  <si>
    <t>利托里奥</t>
  </si>
  <si>
    <t>I</t>
  </si>
  <si>
    <t>veneto</t>
  </si>
  <si>
    <t>罗马</t>
  </si>
  <si>
    <t>苏联</t>
  </si>
  <si>
    <t>S</t>
  </si>
  <si>
    <t>瑞鹤</t>
  </si>
  <si>
    <t>翔鹤</t>
  </si>
  <si>
    <t>飞龙</t>
  </si>
  <si>
    <t>苍龙</t>
  </si>
  <si>
    <t>信浓</t>
  </si>
  <si>
    <t>可畏</t>
  </si>
  <si>
    <t>黄蜂</t>
  </si>
  <si>
    <t>埃塞克斯</t>
  </si>
  <si>
    <t>essex</t>
  </si>
  <si>
    <t>伦道夫</t>
  </si>
  <si>
    <t>贝亚恩</t>
  </si>
  <si>
    <t>CA</t>
  </si>
  <si>
    <t>巴尔的摩</t>
  </si>
  <si>
    <t>德梅因</t>
  </si>
  <si>
    <t>SS</t>
  </si>
  <si>
    <t>潜甲</t>
  </si>
  <si>
    <t>C</t>
  </si>
  <si>
    <t>潜乙</t>
  </si>
  <si>
    <t>85工程</t>
  </si>
  <si>
    <t>AADG</t>
  </si>
  <si>
    <t>鹰潭</t>
  </si>
  <si>
    <t>让巴尔</t>
  </si>
  <si>
    <t>马耳他</t>
  </si>
  <si>
    <t>英王乔治五世</t>
  </si>
  <si>
    <t>AP</t>
  </si>
  <si>
    <t>女灶神</t>
  </si>
  <si>
    <t>不挠</t>
  </si>
  <si>
    <t>费拉迪D</t>
  </si>
  <si>
    <t>列克星敦(CV-16)</t>
  </si>
  <si>
    <t>无比</t>
  </si>
  <si>
    <t>天鹰</t>
  </si>
  <si>
    <t>帝国</t>
  </si>
  <si>
    <t>ASDG</t>
  </si>
  <si>
    <t>蔚山</t>
  </si>
  <si>
    <t>其他</t>
  </si>
  <si>
    <t>威斯康星</t>
  </si>
  <si>
    <t>莫斯科</t>
  </si>
  <si>
    <t>星座</t>
  </si>
  <si>
    <t>羽黑</t>
  </si>
  <si>
    <t>炽热</t>
  </si>
  <si>
    <t>鹦鹉螺</t>
  </si>
  <si>
    <t>乌尔里希·冯·胡滕</t>
  </si>
  <si>
    <t>光辉</t>
  </si>
  <si>
    <t>汉考克</t>
  </si>
  <si>
    <t>CLT</t>
  </si>
  <si>
    <t>木曾</t>
  </si>
  <si>
    <t>圣乔治</t>
  </si>
  <si>
    <t>印第安纳</t>
  </si>
  <si>
    <t>纽波特纽斯</t>
  </si>
  <si>
    <t>查尔斯·亚当斯</t>
  </si>
  <si>
    <t>斯大林格勒</t>
  </si>
  <si>
    <t>胆大</t>
  </si>
  <si>
    <t>格拉摩根</t>
  </si>
  <si>
    <t>怨仇</t>
  </si>
  <si>
    <t>吕特晏斯</t>
  </si>
  <si>
    <t>新泽西</t>
  </si>
  <si>
    <t>萨勒姆</t>
  </si>
  <si>
    <t>阿金库尔</t>
  </si>
  <si>
    <t>CL</t>
  </si>
  <si>
    <t>亚尔古水手</t>
  </si>
  <si>
    <t>凤凰城</t>
  </si>
  <si>
    <t>彼得·施特拉塞尔</t>
  </si>
  <si>
    <t>提康德罗加</t>
  </si>
  <si>
    <t>B65</t>
  </si>
  <si>
    <t>十三号战舰</t>
  </si>
  <si>
    <t>梅肯</t>
  </si>
  <si>
    <t>里昂</t>
  </si>
  <si>
    <t>狮(BC)</t>
  </si>
  <si>
    <t>弗兰德尔</t>
  </si>
  <si>
    <t>L20</t>
  </si>
  <si>
    <t>伊吹</t>
  </si>
  <si>
    <t>征服者</t>
  </si>
  <si>
    <t>皇家方舟(R-09)</t>
  </si>
  <si>
    <t>U-14</t>
  </si>
  <si>
    <t>宾夕法尼亚</t>
  </si>
  <si>
    <t>无敌</t>
  </si>
  <si>
    <t>南达科他(BB49)</t>
  </si>
  <si>
    <t>1939战列舰</t>
  </si>
  <si>
    <t>Sp</t>
  </si>
  <si>
    <t>鞍山</t>
  </si>
  <si>
    <t>PLAN4</t>
  </si>
  <si>
    <t>猎户座</t>
  </si>
  <si>
    <t>本宁顿</t>
  </si>
  <si>
    <t>欧罗巴</t>
  </si>
  <si>
    <t>霞飞</t>
  </si>
  <si>
    <t>72工程</t>
  </si>
  <si>
    <t>大淀(苍青)</t>
  </si>
  <si>
    <t>胜利</t>
  </si>
  <si>
    <t>安森</t>
  </si>
  <si>
    <t>G15</t>
  </si>
  <si>
    <t>克劳塞维茨</t>
  </si>
  <si>
    <t>G6</t>
  </si>
  <si>
    <t>复仇</t>
  </si>
  <si>
    <t>克里蒙梭</t>
  </si>
  <si>
    <t>济南</t>
  </si>
  <si>
    <t>type051</t>
  </si>
  <si>
    <t>1938(I)</t>
  </si>
  <si>
    <t>G14</t>
  </si>
  <si>
    <t>勇猛</t>
  </si>
  <si>
    <t>近江</t>
  </si>
  <si>
    <t>蒙大拿</t>
  </si>
  <si>
    <t>montana</t>
  </si>
  <si>
    <t>1913战巡</t>
  </si>
  <si>
    <t>法戈</t>
  </si>
  <si>
    <t>亚拉巴马</t>
  </si>
  <si>
    <t>夏威夷</t>
  </si>
  <si>
    <t>但丁</t>
  </si>
  <si>
    <t>KP</t>
  </si>
  <si>
    <t>格罗兹尼</t>
  </si>
  <si>
    <t>24型</t>
  </si>
  <si>
    <t>伊兹梅尔</t>
  </si>
  <si>
    <t>勃艮第</t>
  </si>
  <si>
    <t>絮弗伦</t>
  </si>
  <si>
    <t>不惧</t>
  </si>
  <si>
    <t>塞瓦斯托波尔(BC)</t>
  </si>
  <si>
    <t>布勃诺夫方案</t>
  </si>
  <si>
    <t>骏河</t>
  </si>
  <si>
    <t>中途岛</t>
  </si>
  <si>
    <t>midway</t>
  </si>
  <si>
    <t>塞瓦斯托波尔(KP)</t>
  </si>
  <si>
    <t>H43</t>
  </si>
  <si>
    <t>BBV</t>
  </si>
  <si>
    <t>AIII</t>
  </si>
  <si>
    <t>金伯恩</t>
  </si>
  <si>
    <t>黄蜂(CV-18)</t>
  </si>
  <si>
    <t>九江</t>
  </si>
  <si>
    <t>SSG</t>
  </si>
  <si>
    <t>密西西比</t>
  </si>
  <si>
    <t>卡萨诺方案</t>
  </si>
  <si>
    <t>香格里拉</t>
  </si>
  <si>
    <t>武藏</t>
  </si>
  <si>
    <t>南京</t>
  </si>
  <si>
    <t>罗斯福</t>
  </si>
  <si>
    <t>铁公爵</t>
  </si>
  <si>
    <t>鲁莽</t>
  </si>
  <si>
    <t>奥里斯坎尼</t>
  </si>
  <si>
    <t>Kw45</t>
  </si>
  <si>
    <t>10581工程</t>
  </si>
  <si>
    <t>考文垂</t>
  </si>
  <si>
    <t>21工程</t>
  </si>
  <si>
    <t>伊丽莎白女王(CVA-01)</t>
  </si>
  <si>
    <t>阿尔汉格尔斯克</t>
  </si>
  <si>
    <t>俄亥俄</t>
  </si>
  <si>
    <t>布里斯托尔</t>
  </si>
  <si>
    <t>胡德</t>
  </si>
  <si>
    <t>扶桑</t>
  </si>
  <si>
    <t>山城</t>
  </si>
  <si>
    <t>伊势</t>
  </si>
  <si>
    <t>日向</t>
  </si>
  <si>
    <t>俾斯麦</t>
  </si>
  <si>
    <t>提尔比茨</t>
  </si>
  <si>
    <t>纳尔逊</t>
  </si>
  <si>
    <t>big_seven</t>
  </si>
  <si>
    <t>罗德尼</t>
  </si>
  <si>
    <t>威尔士亲王</t>
  </si>
  <si>
    <t>内华达</t>
  </si>
  <si>
    <t>俄克拉荷马</t>
  </si>
  <si>
    <t>安德烈亚·多利亚</t>
  </si>
  <si>
    <t>金刚</t>
  </si>
  <si>
    <t>声望</t>
  </si>
  <si>
    <t>反击</t>
  </si>
  <si>
    <t>CBG</t>
  </si>
  <si>
    <t>阿拉斯加</t>
  </si>
  <si>
    <t>关岛</t>
  </si>
  <si>
    <t>CVL</t>
  </si>
  <si>
    <t>祥凤</t>
  </si>
  <si>
    <t>瑞凤</t>
  </si>
  <si>
    <t>百眼巨人</t>
  </si>
  <si>
    <t>兰利</t>
  </si>
  <si>
    <t>突击者</t>
  </si>
  <si>
    <t>高雄</t>
  </si>
  <si>
    <t>爱宕</t>
  </si>
  <si>
    <t>摩耶</t>
  </si>
  <si>
    <t>鸟海</t>
  </si>
  <si>
    <t>希佩尔海军上将</t>
  </si>
  <si>
    <t>布吕歇尔</t>
  </si>
  <si>
    <t>欧根亲王</t>
  </si>
  <si>
    <t>威奇塔</t>
  </si>
  <si>
    <t>昆西</t>
  </si>
  <si>
    <t>北上</t>
  </si>
  <si>
    <t>大井</t>
  </si>
  <si>
    <t>五十铃</t>
  </si>
  <si>
    <t>夕张</t>
  </si>
  <si>
    <t>天狼星</t>
  </si>
  <si>
    <t>重庆</t>
  </si>
  <si>
    <t>亚特兰大</t>
  </si>
  <si>
    <t>atlanta</t>
  </si>
  <si>
    <t>朱诺</t>
  </si>
  <si>
    <t>海伦娜</t>
  </si>
  <si>
    <t>BM</t>
  </si>
  <si>
    <t>罗伯茨</t>
  </si>
  <si>
    <t>阿贝克隆比</t>
  </si>
  <si>
    <t>DD</t>
  </si>
  <si>
    <t>吹雪</t>
  </si>
  <si>
    <t>fubuki</t>
  </si>
  <si>
    <t>白雪</t>
  </si>
  <si>
    <t>初雪</t>
  </si>
  <si>
    <t xml:space="preserve">深雪 </t>
  </si>
  <si>
    <t>晓</t>
  </si>
  <si>
    <t>信赖</t>
  </si>
  <si>
    <t>雷</t>
  </si>
  <si>
    <t>电</t>
  </si>
  <si>
    <t>绫波</t>
  </si>
  <si>
    <t>敷波</t>
  </si>
  <si>
    <t>Z1</t>
  </si>
  <si>
    <t>z-ship</t>
  </si>
  <si>
    <t>Z16</t>
  </si>
  <si>
    <t>Z21</t>
  </si>
  <si>
    <t>Z22</t>
  </si>
  <si>
    <t>Z24</t>
  </si>
  <si>
    <t>Z28</t>
  </si>
  <si>
    <t>Z31</t>
  </si>
  <si>
    <t>紫石英</t>
  </si>
  <si>
    <t>萤火虫</t>
  </si>
  <si>
    <t>标枪</t>
  </si>
  <si>
    <t>天后</t>
  </si>
  <si>
    <t>黑背豺</t>
  </si>
  <si>
    <t>哥萨克人</t>
  </si>
  <si>
    <t>爱斯基摩人</t>
  </si>
  <si>
    <t>旁遮普人</t>
  </si>
  <si>
    <t>弗莱彻</t>
  </si>
  <si>
    <t>布雷恩</t>
  </si>
  <si>
    <t>基林</t>
  </si>
  <si>
    <t>基阿特</t>
  </si>
  <si>
    <t>长春</t>
  </si>
  <si>
    <t>沃克兰</t>
  </si>
  <si>
    <t>空想</t>
  </si>
  <si>
    <t>长门</t>
  </si>
  <si>
    <t>陆奥</t>
  </si>
  <si>
    <t>田纳西</t>
  </si>
  <si>
    <t>加利福尼亚</t>
  </si>
  <si>
    <t>科罗拉多</t>
  </si>
  <si>
    <t>马里兰</t>
  </si>
  <si>
    <t>西弗吉尼亚</t>
  </si>
  <si>
    <t>华盛顿</t>
  </si>
  <si>
    <t>维内托</t>
  </si>
  <si>
    <t>博格</t>
  </si>
  <si>
    <t>追赶者</t>
  </si>
  <si>
    <t>埃罗芒什</t>
  </si>
  <si>
    <t>普林斯顿</t>
  </si>
  <si>
    <t>斯佩伯爵海军上将</t>
  </si>
  <si>
    <t>古鹰</t>
  </si>
  <si>
    <t>加古</t>
  </si>
  <si>
    <t>青叶</t>
  </si>
  <si>
    <t>伦敦</t>
  </si>
  <si>
    <t>肯特</t>
  </si>
  <si>
    <t>波特兰</t>
  </si>
  <si>
    <t>彭萨科拉</t>
  </si>
  <si>
    <t>北安普顿</t>
  </si>
  <si>
    <t>休斯顿</t>
  </si>
  <si>
    <t>新奥尔良</t>
  </si>
  <si>
    <t>圣胡安</t>
  </si>
  <si>
    <t>摩尔曼斯克</t>
  </si>
  <si>
    <t>逸仙</t>
  </si>
  <si>
    <t>秋月</t>
  </si>
  <si>
    <t>凉月</t>
  </si>
  <si>
    <t>阳炎</t>
  </si>
  <si>
    <t>不知火</t>
  </si>
  <si>
    <t>黑潮</t>
  </si>
  <si>
    <t>丹阳</t>
  </si>
  <si>
    <t>Z46</t>
  </si>
  <si>
    <t>维纳斯</t>
  </si>
  <si>
    <t>沙利文</t>
  </si>
  <si>
    <t>威廉·D·波特</t>
  </si>
  <si>
    <t>波特</t>
  </si>
  <si>
    <t>拉菲</t>
  </si>
  <si>
    <t>机灵</t>
  </si>
  <si>
    <t>安东尼奥·达诺利</t>
  </si>
  <si>
    <t>乌戈里尼·维瓦尔迪</t>
  </si>
  <si>
    <t>塔什干</t>
  </si>
  <si>
    <t>大青花鱼</t>
  </si>
  <si>
    <t>射水鱼</t>
  </si>
  <si>
    <t>U-47</t>
  </si>
  <si>
    <t>u-ship</t>
  </si>
  <si>
    <t>U-505</t>
  </si>
  <si>
    <t>SC</t>
  </si>
  <si>
    <t>絮库夫</t>
  </si>
  <si>
    <t>BBG</t>
  </si>
  <si>
    <t>卡约·杜伊里奥</t>
  </si>
  <si>
    <t>玛丽亚皇后</t>
  </si>
  <si>
    <t>飞鹰</t>
  </si>
  <si>
    <t>隼鹰</t>
  </si>
  <si>
    <t>CAV</t>
  </si>
  <si>
    <t>最上</t>
  </si>
  <si>
    <t>约克</t>
  </si>
  <si>
    <t>埃克赛特</t>
  </si>
  <si>
    <t>旧金山</t>
  </si>
  <si>
    <t>灵敏</t>
  </si>
  <si>
    <t>大淀</t>
  </si>
  <si>
    <t>高波</t>
  </si>
  <si>
    <t>岚</t>
  </si>
  <si>
    <t>初夏</t>
  </si>
  <si>
    <t>kitakaze</t>
  </si>
  <si>
    <t>岛风</t>
  </si>
  <si>
    <t>Z17</t>
  </si>
  <si>
    <t>Z18</t>
  </si>
  <si>
    <t>赛尔弗里吉</t>
  </si>
  <si>
    <t>康弗斯</t>
  </si>
  <si>
    <t>little_beavers</t>
  </si>
  <si>
    <t>克拉克斯顿</t>
  </si>
  <si>
    <t>霍埃尔</t>
  </si>
  <si>
    <t>塞缪尔•罗伯茨</t>
  </si>
  <si>
    <t>约翰斯顿</t>
  </si>
  <si>
    <t>U-81</t>
  </si>
  <si>
    <t>U-96</t>
  </si>
  <si>
    <t>U-2540</t>
  </si>
  <si>
    <t>U-1206</t>
  </si>
  <si>
    <t>马汉</t>
  </si>
  <si>
    <t>巴夫勒尔</t>
  </si>
  <si>
    <t>瓜达卡纳尔</t>
  </si>
  <si>
    <t>明斯克</t>
  </si>
  <si>
    <t>基辅</t>
  </si>
  <si>
    <t>列克星敦（CV-16）</t>
  </si>
  <si>
    <t>神鹰</t>
  </si>
  <si>
    <t>伏尔塔</t>
  </si>
  <si>
    <t>波尔扎诺</t>
  </si>
  <si>
    <t>江原</t>
  </si>
  <si>
    <t>忠武</t>
  </si>
  <si>
    <t>U-1405</t>
  </si>
  <si>
    <t>早春</t>
  </si>
  <si>
    <t>CG</t>
  </si>
  <si>
    <t>七省联盟</t>
  </si>
  <si>
    <t>Ho</t>
  </si>
  <si>
    <t>鲃鱼</t>
  </si>
  <si>
    <t>加里波第</t>
  </si>
  <si>
    <t>凯利</t>
  </si>
  <si>
    <t>47工程</t>
  </si>
  <si>
    <t>史密斯</t>
  </si>
  <si>
    <t>马伊·布雷泽</t>
  </si>
  <si>
    <t>捷尔任斯基</t>
  </si>
  <si>
    <t>什罗普郡</t>
  </si>
  <si>
    <t>塔林</t>
  </si>
  <si>
    <t>诺福克</t>
  </si>
  <si>
    <t>T-23</t>
  </si>
  <si>
    <t>谦逊</t>
  </si>
  <si>
    <t>日丹诺夫</t>
  </si>
  <si>
    <t>吕贝克</t>
  </si>
  <si>
    <t>T.995</t>
  </si>
  <si>
    <t>CNT巡洋舰</t>
  </si>
  <si>
    <t>芝加哥</t>
  </si>
  <si>
    <t>M-296</t>
  </si>
  <si>
    <t>伊-25</t>
  </si>
  <si>
    <t>威悉河</t>
  </si>
  <si>
    <t>石勒苏益格-荷尔施泰因</t>
  </si>
  <si>
    <t>威武</t>
  </si>
  <si>
    <t>卡拉乔洛</t>
  </si>
  <si>
    <t>休·W·哈德利</t>
  </si>
  <si>
    <t>BG</t>
  </si>
  <si>
    <t>汉堡</t>
  </si>
  <si>
    <t>米切尔</t>
  </si>
  <si>
    <t>eid</t>
  </si>
  <si>
    <t>种类</t>
  </si>
  <si>
    <t>种类-2</t>
  </si>
  <si>
    <t>闪避</t>
  </si>
  <si>
    <t>轰炸</t>
  </si>
  <si>
    <t>对空倍率</t>
  </si>
  <si>
    <t>对空补正</t>
  </si>
  <si>
    <t>导弹突防</t>
  </si>
  <si>
    <t>导弹拦截</t>
  </si>
  <si>
    <t>铝耗</t>
  </si>
  <si>
    <t>特效</t>
  </si>
  <si>
    <t>特效-2</t>
  </si>
  <si>
    <t>特效数值</t>
  </si>
  <si>
    <t>特效数值-2</t>
  </si>
  <si>
    <t>描述</t>
  </si>
  <si>
    <t>特效配置</t>
  </si>
  <si>
    <t>10026</t>
  </si>
  <si>
    <t>MainGun</t>
  </si>
  <si>
    <t>[战列主炮][超长][30火8空][限1]J国46厘米三连装炮</t>
  </si>
  <si>
    <t>主炮</t>
  </si>
  <si>
    <t>对空补正25%</t>
  </si>
  <si>
    <t>10035</t>
  </si>
  <si>
    <t>[战列主炮][长程][24火2命]U国三联16英寸炮(MK6)</t>
  </si>
  <si>
    <t>10036</t>
  </si>
  <si>
    <t>[战列主炮][超长][27火3命]U国三联16英寸炮(MK7)</t>
  </si>
  <si>
    <t>10049</t>
  </si>
  <si>
    <t>AntiAirGun</t>
  </si>
  <si>
    <t>[防空]U国双联3英寸防空炮</t>
  </si>
  <si>
    <t>防空炮</t>
  </si>
  <si>
    <t>对空补正35%；对空倍率3.1</t>
  </si>
  <si>
    <t>10068</t>
  </si>
  <si>
    <t>Bomber</t>
  </si>
  <si>
    <t>[舰爆][10轰1空]BTD-1毁灭者</t>
  </si>
  <si>
    <t>轰炸机</t>
  </si>
  <si>
    <t>铝耗5</t>
  </si>
  <si>
    <t>10082</t>
  </si>
  <si>
    <t>Radar</t>
  </si>
  <si>
    <t>[雷达][7索5命]改良型对海雷达</t>
  </si>
  <si>
    <t>雷达</t>
  </si>
  <si>
    <t>10084</t>
  </si>
  <si>
    <t>Sonar</t>
  </si>
  <si>
    <t>[声纳][10对潜]改良型声纳</t>
  </si>
  <si>
    <t>声纳</t>
  </si>
  <si>
    <t>10094</t>
  </si>
  <si>
    <t>Accessory</t>
  </si>
  <si>
    <t>[部件][闪避]改良型动力系统</t>
  </si>
  <si>
    <t>强化部件</t>
  </si>
  <si>
    <t>10095</t>
  </si>
  <si>
    <t>[中船部件][装甲]附加装甲(中型)</t>
  </si>
  <si>
    <t>10096</t>
  </si>
  <si>
    <t>[大船部件][装甲]附加装甲(大型)</t>
  </si>
  <si>
    <t>10102</t>
  </si>
  <si>
    <t>[战列主炮][超长][25火1命]F国四联380毫米炮</t>
  </si>
  <si>
    <t>10106</t>
  </si>
  <si>
    <t>[雷达][7索3命]先进型对空雷达</t>
  </si>
  <si>
    <t>对空补正40%；对空倍率3.3</t>
  </si>
  <si>
    <t>10107</t>
  </si>
  <si>
    <t>[雷达][10索6命][限2]先进型对海雷达</t>
  </si>
  <si>
    <t>10111</t>
  </si>
  <si>
    <t>[声纳][12对潜][限1]先进型声纳</t>
  </si>
  <si>
    <t>10112</t>
  </si>
  <si>
    <t>DepthMine</t>
  </si>
  <si>
    <t>[深投][10对潜]先进型深弹投射器</t>
  </si>
  <si>
    <t>深投</t>
  </si>
  <si>
    <t>10113</t>
  </si>
  <si>
    <t>[深投][9对潜]捕鼠器深弹投射器</t>
  </si>
  <si>
    <t>10114</t>
  </si>
  <si>
    <t>[深投][15对潜]刺猬弹深弹投射器</t>
  </si>
  <si>
    <t>10115</t>
  </si>
  <si>
    <t>[部件][装甲]附加装甲(小型)</t>
  </si>
  <si>
    <t>10116</t>
  </si>
  <si>
    <t>[部件][闪避]先进型动力系统</t>
  </si>
  <si>
    <t>10117</t>
  </si>
  <si>
    <t>[部件][闪避]发烟筒</t>
  </si>
  <si>
    <t>重巡以下船只专用（航母类不能使用）</t>
  </si>
  <si>
    <t>10127</t>
  </si>
  <si>
    <t>[舰爆][20轰][高轰]B-25(杜立特队)</t>
  </si>
  <si>
    <t>铝耗15</t>
  </si>
  <si>
    <t>10129</t>
  </si>
  <si>
    <t>Shell</t>
  </si>
  <si>
    <t>[炮弹][上限]超重弹</t>
  </si>
  <si>
    <t>炮弹</t>
  </si>
  <si>
    <t>004</t>
  </si>
  <si>
    <t>{'num': 25}</t>
  </si>
  <si>
    <t>炮击战阶段增加25%攻击上限（同类弹药效果只会生效一个）</t>
  </si>
  <si>
    <t>uplimit_buff:0.25</t>
  </si>
  <si>
    <t>10130</t>
  </si>
  <si>
    <t>[炮弹][穿甲]91式穿甲弹</t>
  </si>
  <si>
    <t>003</t>
  </si>
  <si>
    <t>{'ap': 0.2}</t>
  </si>
  <si>
    <t>增加20%护甲穿透（同类弹药效果只生效一个）</t>
  </si>
  <si>
    <t>pierce_coef:0.2</t>
  </si>
  <si>
    <t>10140</t>
  </si>
  <si>
    <t>DiveBomber</t>
  </si>
  <si>
    <t>[舰攻][16雷][限1]XTB2D空中海盗</t>
  </si>
  <si>
    <t>鱼雷机</t>
  </si>
  <si>
    <t>铝耗9</t>
  </si>
  <si>
    <t>10145</t>
  </si>
  <si>
    <t>[水爆][5轰2空]瑞云</t>
  </si>
  <si>
    <t>铝耗4</t>
  </si>
  <si>
    <t>10146</t>
  </si>
  <si>
    <t>[水爆][8轰]晴岚</t>
  </si>
  <si>
    <t>10147</t>
  </si>
  <si>
    <t>[战列主炮][长程][26火]E国三联16英寸炮(改)</t>
  </si>
  <si>
    <t>10151</t>
  </si>
  <si>
    <t>Torpedo</t>
  </si>
  <si>
    <t>[鱼雷][12雷][限1]61厘米五连装氧气鱼雷</t>
  </si>
  <si>
    <t>10152</t>
  </si>
  <si>
    <t>[潜用鱼雷][15雷]53厘米氧气鱼雷(潜艇)</t>
  </si>
  <si>
    <t>10153</t>
  </si>
  <si>
    <t>[潜用鱼雷][12雷]533毫米磁性鱼雷(潜艇)</t>
  </si>
  <si>
    <t>10154</t>
  </si>
  <si>
    <t>[潜用鱼雷][12雷]21英寸鱼雷(潜艇)</t>
  </si>
  <si>
    <t>10155</t>
  </si>
  <si>
    <t>[防空]E国博福斯40毫米防空机炮(六联)</t>
  </si>
  <si>
    <t>10157</t>
  </si>
  <si>
    <t>[雷达][6索8命]E国274型雷达</t>
  </si>
  <si>
    <t>10169</t>
  </si>
  <si>
    <t>[部件][装甲]普列塞水下防护系统</t>
  </si>
  <si>
    <t>10170</t>
  </si>
  <si>
    <t>[部件][降索敌]意式餐具套装</t>
  </si>
  <si>
    <t>10174</t>
  </si>
  <si>
    <t>[鱼雷][5雷3闪]F国旋转鱼雷发射器</t>
  </si>
  <si>
    <t>10177</t>
  </si>
  <si>
    <t>[轻巡主炮][长程][8火]S国三联180毫米炮</t>
  </si>
  <si>
    <t>10191</t>
  </si>
  <si>
    <t>[重巡主炮][中程][10火2命]U国三联8英寸炮(MK12/15)</t>
  </si>
  <si>
    <t>10213</t>
  </si>
  <si>
    <t>[潜用鱼雷][15雷]MK.16鱼雷（潜艇）</t>
  </si>
  <si>
    <t>10215</t>
  </si>
  <si>
    <t>[部件][中保+1]贝阿朵莉丝·鱼饼</t>
  </si>
  <si>
    <t>装备后舰船耐久+1</t>
  </si>
  <si>
    <t>10216</t>
  </si>
  <si>
    <t>[部件][中保-1]贝尔麦坎·三世</t>
  </si>
  <si>
    <t>装备后舰船耐久-1</t>
  </si>
  <si>
    <t>10217</t>
  </si>
  <si>
    <t>Fighter</t>
  </si>
  <si>
    <t>[舰战][13空][限1]P-39（波克雷什金机）</t>
  </si>
  <si>
    <t>战斗机</t>
  </si>
  <si>
    <t>10218</t>
  </si>
  <si>
    <t>[舰战][12空][限1]F4U（波音顿机）</t>
  </si>
  <si>
    <t>10220</t>
  </si>
  <si>
    <t>[舰战][12空][限1]BF-109E（加兰德机）</t>
  </si>
  <si>
    <t>10221</t>
  </si>
  <si>
    <t>[舰战][13空][限1]LA-7（阔日杜布机）</t>
  </si>
  <si>
    <t>10222</t>
  </si>
  <si>
    <t>[战列主炮][超长][32火][限1]G国双联533毫米炮</t>
  </si>
  <si>
    <t>10224</t>
  </si>
  <si>
    <t>[战列主炮][超长][28火1命][限1]U国双联18英寸炮</t>
  </si>
  <si>
    <t>10225</t>
  </si>
  <si>
    <t>[鱼雷][15雷][限2]72厘米三连装鱼雷</t>
  </si>
  <si>
    <t>10226</t>
  </si>
  <si>
    <t>[战列主炮][超长][27火5空][限1]J国试制48厘米连装炮</t>
  </si>
  <si>
    <t>10229</t>
  </si>
  <si>
    <t>[潜用鱼雷][12雷3闪]G7eT10线导鱼雷(潜艇)</t>
  </si>
  <si>
    <t>10230</t>
  </si>
  <si>
    <t>[舰爆][21轰][高轰][限1]A-2</t>
  </si>
  <si>
    <t>10232</t>
  </si>
  <si>
    <t>[战列主炮][超长][25火3命][衣阿华]早期型U国三联16英寸炮（MK7）</t>
  </si>
  <si>
    <t>早期试用型，仅限衣阿华级装备</t>
  </si>
  <si>
    <t>10239</t>
  </si>
  <si>
    <t>[重巡主炮][长程][12火2命]MK.16三联8英寸自动炮</t>
  </si>
  <si>
    <t>10243</t>
  </si>
  <si>
    <t>[舰战][15空][限1]F2H报丧女妖</t>
  </si>
  <si>
    <t>铝耗8</t>
  </si>
  <si>
    <t>10249</t>
  </si>
  <si>
    <t>[舰攻][15雷][限1]图-91</t>
  </si>
  <si>
    <t>10251</t>
  </si>
  <si>
    <t>Launcher</t>
  </si>
  <si>
    <t>[发射/导]上游-1发射器</t>
  </si>
  <si>
    <t>导弹发射器</t>
  </si>
  <si>
    <t>10252</t>
  </si>
  <si>
    <t>NormalMissile</t>
  </si>
  <si>
    <t>[导弹]上游-1导弹</t>
  </si>
  <si>
    <t>导弹</t>
  </si>
  <si>
    <t>{'ap': 0.1}</t>
  </si>
  <si>
    <t>增加10%护甲穿透效果；铝耗10</t>
  </si>
  <si>
    <t>pierce_coef:0.1</t>
  </si>
  <si>
    <t>10253</t>
  </si>
  <si>
    <t>[发射/防]MK-10导弹发射器</t>
  </si>
  <si>
    <t>防空导弹发射器</t>
  </si>
  <si>
    <t>10254</t>
  </si>
  <si>
    <t>AntiMissile</t>
  </si>
  <si>
    <t>[防导][15火25拦]小猎犬导弹</t>
  </si>
  <si>
    <t>防空导弹</t>
  </si>
  <si>
    <t>对空补正73%；对空倍率3.7；铝耗9</t>
  </si>
  <si>
    <t>10255</t>
  </si>
  <si>
    <t>[部件][中保+2]合味道</t>
  </si>
  <si>
    <t>10260</t>
  </si>
  <si>
    <t>[重巡主炮][长程][10火][限1]G国三联203毫米炮</t>
  </si>
  <si>
    <t>10261</t>
  </si>
  <si>
    <t>[舰攻][10雷6空][限1]“火把”鱼雷战斗机</t>
  </si>
  <si>
    <t>10262</t>
  </si>
  <si>
    <t>[部件][闪避][限1]新型高压锅炉</t>
  </si>
  <si>
    <t>10264</t>
  </si>
  <si>
    <t>[导弹][限1]C-301反舰导弹</t>
  </si>
  <si>
    <t>{'ap': 0.15}</t>
  </si>
  <si>
    <t>增加15%护甲穿透效果；铝耗13</t>
  </si>
  <si>
    <t>pierce_coef:0.15</t>
  </si>
  <si>
    <t>10265</t>
  </si>
  <si>
    <t>[水战][11空][限2]SR.A/1水上战斗机</t>
  </si>
  <si>
    <t>10266</t>
  </si>
  <si>
    <t>[导弹][限2]“企鹅”反舰导弹</t>
  </si>
  <si>
    <t>{'ap': 0.05}</t>
  </si>
  <si>
    <t>增加5%护甲穿透效果；铝耗4</t>
  </si>
  <si>
    <t>pierce_coef:0.05</t>
  </si>
  <si>
    <t>10267</t>
  </si>
  <si>
    <t>[战列主炮][超长][27火2空][减益]I国三联381毫米炮改</t>
  </si>
  <si>
    <t>对空倍率1.1</t>
  </si>
  <si>
    <t>10269</t>
  </si>
  <si>
    <t>[重巡主炮][长程][13火][限1]U国双联12英寸炮（CB）</t>
  </si>
  <si>
    <t>10272</t>
  </si>
  <si>
    <t>[舰攻][6雷9空]G.55S</t>
  </si>
  <si>
    <t>10275</t>
  </si>
  <si>
    <t>[舰战][14空][限1]海流星战斗机</t>
  </si>
  <si>
    <t>铝耗7</t>
  </si>
  <si>
    <t>10279</t>
  </si>
  <si>
    <t>[战列主炮][超长][27火]E国18英寸双联主炮</t>
  </si>
  <si>
    <t>对空补正35%</t>
  </si>
  <si>
    <t>10282</t>
  </si>
  <si>
    <t>[部件][中保-1]飞翔的怀特</t>
  </si>
  <si>
    <t/>
  </si>
  <si>
    <t>10285</t>
  </si>
  <si>
    <t>[防空]S国СМ-20-ЗИФ四联45毫米高炮</t>
  </si>
  <si>
    <t>对空补正40%；对空倍率3</t>
  </si>
  <si>
    <t>10286</t>
  </si>
  <si>
    <t>[防空]博福斯M1951双联57毫米高炮</t>
  </si>
  <si>
    <t>对空补正45%；对空倍率3.1</t>
  </si>
  <si>
    <t>10292</t>
  </si>
  <si>
    <t>[鱼雷][12雷2闪][限2]61厘米四连F3试制鱼雷</t>
  </si>
  <si>
    <t>10295</t>
  </si>
  <si>
    <t>[重巡主炮][长程][9火2命]254毫米博福斯双联主炮</t>
  </si>
  <si>
    <t>10301</t>
  </si>
  <si>
    <t>[轻巡主炮][长程][9火2命][限2]S国改良型三联180毫米炮</t>
  </si>
  <si>
    <t>10302</t>
  </si>
  <si>
    <t>[战列主炮][长程][28火][限1]F国M1920型三联450毫米主炮</t>
  </si>
  <si>
    <t>10304</t>
  </si>
  <si>
    <t>[防空][限1]“海猫”近程舰对空导弹</t>
  </si>
  <si>
    <t>对空补正50%；对空倍率3.3</t>
  </si>
  <si>
    <t>10305</t>
  </si>
  <si>
    <t>[爆战][8轰5空][对潜][限1]萤火虫AS.MK5</t>
  </si>
  <si>
    <t>铝耗6</t>
  </si>
  <si>
    <t>10306</t>
  </si>
  <si>
    <t>[战列主炮][长程][24火5空]J国试制41厘米三连主炮</t>
  </si>
  <si>
    <t>10317</t>
  </si>
  <si>
    <t>[轻巡主炮][长程][10火][限2]Ar国双联24厘米炮</t>
  </si>
  <si>
    <t>10318</t>
  </si>
  <si>
    <t>[潜用鱼雷][12雷6闪][限1]G7es声导鱼雷</t>
  </si>
  <si>
    <t>10319</t>
  </si>
  <si>
    <t>[导弹][限2]萨博08反舰导弹</t>
  </si>
  <si>
    <t>10321</t>
  </si>
  <si>
    <t>[战列主炮][长程][27火][限1]I国双联45.7厘米炮</t>
  </si>
  <si>
    <t>10322</t>
  </si>
  <si>
    <t>[轻巡主炮][中程][9火1命1运]E国双联9.2英寸炮</t>
  </si>
  <si>
    <t>10327</t>
  </si>
  <si>
    <t>[舰战][13空][限1]F4U（足球战争）</t>
  </si>
  <si>
    <t>10329</t>
  </si>
  <si>
    <t>[导弹]“狗鱼”反舰导弹</t>
  </si>
  <si>
    <t>10330</t>
  </si>
  <si>
    <t>[防空][限1]S国ЗИФ-75四联57毫米高炮</t>
  </si>
  <si>
    <t>对空倍率3.2</t>
  </si>
  <si>
    <t>10331</t>
  </si>
  <si>
    <t>[轻巡主炮][中程][10火8空]E国双联MK.N5型6英寸高平速射炮</t>
  </si>
  <si>
    <t>对空补正30%；对空倍率2.8</t>
  </si>
  <si>
    <t>10332</t>
  </si>
  <si>
    <t>[发射/导]СМ-59-1发射架</t>
  </si>
  <si>
    <t>10334</t>
  </si>
  <si>
    <t>[战列主炮][长程][27火6空][限1]J国双联长管46厘米主炮</t>
  </si>
  <si>
    <t>对空补正30%</t>
  </si>
  <si>
    <t>10335</t>
  </si>
  <si>
    <t>[舰攻][12雷][限1]“旗鱼”攻击机</t>
  </si>
  <si>
    <t>10336</t>
  </si>
  <si>
    <t>[潜用鱼雷][17雷][限2]九五式2型鱼雷（潜艇）</t>
  </si>
  <si>
    <t>10339</t>
  </si>
  <si>
    <t>[深投][15对潜3火][限1]РБУ-2500反潜火箭弹</t>
  </si>
  <si>
    <t>10340</t>
  </si>
  <si>
    <t>[鱼雷][14雷][限2]九三式3型鱼雷（四联）</t>
  </si>
  <si>
    <t>10341</t>
  </si>
  <si>
    <t>[舰战][15空][限1]F9F“黑豹”</t>
  </si>
  <si>
    <t>10343</t>
  </si>
  <si>
    <t>[战列主炮][长程][29火][限1]U国三联18英寸炮</t>
  </si>
  <si>
    <t>10345</t>
  </si>
  <si>
    <t>[重巡主炮][中程][15火][限1]U国双联背负式12/8英寸炮</t>
  </si>
  <si>
    <t>10348</t>
  </si>
  <si>
    <t>[雷达][4命][雷命][限2]鱼雷方位盘</t>
  </si>
  <si>
    <t>011</t>
  </si>
  <si>
    <t>{'hit': 10}</t>
  </si>
  <si>
    <t>鱼雷战阶段增加10%命中率</t>
  </si>
  <si>
    <t>hit_rate:0.1,SecondTorpedoPhase</t>
  </si>
  <si>
    <t>10350</t>
  </si>
  <si>
    <t>[轻巡主炮][中程][11火7空]U国MK16DP双联6英寸高射炮</t>
  </si>
  <si>
    <t>对空补正30%；对空倍率2.7</t>
  </si>
  <si>
    <t>10351</t>
  </si>
  <si>
    <t>[战列主炮][超长][25火4命]G国SKC/40型42厘米三联主炮</t>
  </si>
  <si>
    <t>10353</t>
  </si>
  <si>
    <t>[防空][敌全减命][限1]E国防空火箭弹</t>
  </si>
  <si>
    <t>012</t>
  </si>
  <si>
    <t>{'hit': -10}</t>
  </si>
  <si>
    <t>降低敌方航空战阶段10%命中率</t>
  </si>
  <si>
    <t>Side(0,{hit_rate:-0.1,AirPhase})</t>
  </si>
  <si>
    <t>10355</t>
  </si>
  <si>
    <t>[部件][中保-1]万圣夜蝙蝠</t>
  </si>
  <si>
    <t>10356</t>
  </si>
  <si>
    <t>[部件][中保+1]糖果捣蛋</t>
  </si>
  <si>
    <t>10357</t>
  </si>
  <si>
    <t>[鱼雷][12雷]J国六联61厘米鱼雷</t>
  </si>
  <si>
    <t>10358</t>
  </si>
  <si>
    <t>[轻巡主炮][中程][11火8空]E国三联6英寸高平两用炮</t>
  </si>
  <si>
    <t>对空补正35%；对空倍率2.8</t>
  </si>
  <si>
    <t>10359</t>
  </si>
  <si>
    <t>[舰战][13空][限1]F4F（约翰·萨奇）</t>
  </si>
  <si>
    <t>10361</t>
  </si>
  <si>
    <t>ScoutPlane</t>
  </si>
  <si>
    <t>[侦察机][对潜]剑鱼（厌战）</t>
  </si>
  <si>
    <t>侦察机</t>
  </si>
  <si>
    <t>10363</t>
  </si>
  <si>
    <t>[战列主炮][长程][28火2命][限1]E国三联18英寸主炮（K）</t>
  </si>
  <si>
    <t>10364</t>
  </si>
  <si>
    <t>[炮弹][穿甲][限1]一式穿甲弹</t>
  </si>
  <si>
    <t>{'ap': 0.25}</t>
  </si>
  <si>
    <t>增加25%护甲穿透（同类弹药效果只生效一个）</t>
  </si>
  <si>
    <t>pierce_coef:0.25</t>
  </si>
  <si>
    <t>10365</t>
  </si>
  <si>
    <t>[水爆][9轰2空][限2]瑞云12型</t>
  </si>
  <si>
    <t>10367</t>
  </si>
  <si>
    <t>[重巡主炮][长程][13火2空][限2]S国三联240毫米炮</t>
  </si>
  <si>
    <t>10370</t>
  </si>
  <si>
    <t>[导弹][限1]上游-1甲</t>
  </si>
  <si>
    <t>增加10%护甲穿透（同类弹药效果只生效一个）；铝耗10</t>
  </si>
  <si>
    <t>10371</t>
  </si>
  <si>
    <t>[战列主炮][长程][28火7空][减益][限1]试制四联41厘米主炮</t>
  </si>
  <si>
    <t>10373</t>
  </si>
  <si>
    <t>[潜用部件][索敌][限2]潜用SJ雷达</t>
  </si>
  <si>
    <t>10375</t>
  </si>
  <si>
    <t>[舰攻][15雷][限1]A2D天鲨</t>
  </si>
  <si>
    <t>10376</t>
  </si>
  <si>
    <t>[防空][限1]АК-230</t>
  </si>
  <si>
    <t>对空补正25%；对空倍率3</t>
  </si>
  <si>
    <t>10377</t>
  </si>
  <si>
    <t>[鱼雷][12雷2闪][限2]九二式鱼雷发射器（3型）</t>
  </si>
  <si>
    <t>10381</t>
  </si>
  <si>
    <t>[大船部件][装甲][限2]多层装甲</t>
  </si>
  <si>
    <t>10385</t>
  </si>
  <si>
    <t>[战列主炮][长程][28火2命][圣乔治]E国三联18英寸主炮（N）</t>
  </si>
  <si>
    <t>仅限圣乔治装备</t>
  </si>
  <si>
    <t>10389</t>
  </si>
  <si>
    <t>[深投][12对潜3索][限2]QH-50反潜无人机</t>
  </si>
  <si>
    <t>10391</t>
  </si>
  <si>
    <t>[防导][11火27拦]鞑靼人防空导弹</t>
  </si>
  <si>
    <t>对空补正70%；对空倍率3.9；铝耗8</t>
  </si>
  <si>
    <t>10392</t>
  </si>
  <si>
    <t>[重巡主炮][长程][10火]维克斯双联10英寸主炮</t>
  </si>
  <si>
    <t>10393</t>
  </si>
  <si>
    <t>[轻巡主炮][长程][9火1命][限2]F国单装27厘米炮</t>
  </si>
  <si>
    <t>10394</t>
  </si>
  <si>
    <t>[舰攻][8雷9空][限2]FW-190A5/U14</t>
  </si>
  <si>
    <t>10396</t>
  </si>
  <si>
    <t>[战列主炮][超长][30火][限1]U国18英寸主炮（三联）</t>
  </si>
  <si>
    <t>10398</t>
  </si>
  <si>
    <t>[雷达][12索6命][限1]SG雷达（CL-50）</t>
  </si>
  <si>
    <t>10401</t>
  </si>
  <si>
    <t>[防空][限2]呯呯炮（282）</t>
  </si>
  <si>
    <t>10404</t>
  </si>
  <si>
    <t>[战列主炮][长程][22火7命4空3索3运][限1]E国双联15英寸炮（284）</t>
  </si>
  <si>
    <t>10405</t>
  </si>
  <si>
    <t>[防导][15火20拦]海参防空导弹</t>
  </si>
  <si>
    <t>对空补正65%；对空倍率3.7；铝耗9</t>
  </si>
  <si>
    <t>10406</t>
  </si>
  <si>
    <t>[发射/防]海参导弹发射系统</t>
  </si>
  <si>
    <t>10407</t>
  </si>
  <si>
    <t>[重防导][20火24拦]黄铜骑士防空导弹</t>
  </si>
  <si>
    <t>对空补正78%；对空倍率3.8；铝耗10</t>
  </si>
  <si>
    <t>10408</t>
  </si>
  <si>
    <t>[发射/防]MK12导弹发射系统</t>
  </si>
  <si>
    <t>10409</t>
  </si>
  <si>
    <t>[防空]СМ-24-ЗИФ双联57毫米高炮</t>
  </si>
  <si>
    <t>对空补正38%；对空倍率3</t>
  </si>
  <si>
    <t>10410</t>
  </si>
  <si>
    <t>[重防导][26火20拦][限2]黄铜骑士H</t>
  </si>
  <si>
    <t>对空补正60%；对空倍率3；铝耗9</t>
  </si>
  <si>
    <t>10411</t>
  </si>
  <si>
    <t>[重巡主炮][中程][10火5命3空][限2]三年式20厘米炮（一四式方位盘）</t>
  </si>
  <si>
    <t>{'num': 10}</t>
  </si>
  <si>
    <t>炮击战阶段增加10%攻击上限（同类弹药效果只会生效一个）；仅限J国舰船装备</t>
  </si>
  <si>
    <t>uplimit_buff:0.1</t>
  </si>
  <si>
    <t>10413</t>
  </si>
  <si>
    <t>[导弹]“白蚁”M反舰导弹</t>
  </si>
  <si>
    <t>10414</t>
  </si>
  <si>
    <t>[发射/导]КТ-15М-БРК发射器</t>
  </si>
  <si>
    <t>10415</t>
  </si>
  <si>
    <t>[鱼雷][声纳雷][11雷][限1]ЧТА-53-1135鱼雷发射器</t>
  </si>
  <si>
    <t>10417</t>
  </si>
  <si>
    <t>[战列主炮][长程][27火3命][限1]G国48厘米双联主炮（43）</t>
  </si>
  <si>
    <t>10420</t>
  </si>
  <si>
    <t>[舰攻][15雷][限2]NC.1071攻击机</t>
  </si>
  <si>
    <t>10425</t>
  </si>
  <si>
    <t>[防导][10火28拦]标准-1</t>
  </si>
  <si>
    <t>对空补正70%；对空倍率4；铝耗8</t>
  </si>
  <si>
    <t>10426</t>
  </si>
  <si>
    <t>[发射/防]MK13导弹发射系统</t>
  </si>
  <si>
    <t>10431</t>
  </si>
  <si>
    <t>[轻巡主炮][长程][9火2命][限2]E国双联9.2英寸炮（ACR）</t>
  </si>
  <si>
    <t>10432</t>
  </si>
  <si>
    <t>[舰攻][13雷10空][限1]雄鹰302乙</t>
  </si>
  <si>
    <t>10433</t>
  </si>
  <si>
    <t>[战列主炮][长程][26火2命3甲][限1]S国三联460毫米炮</t>
  </si>
  <si>
    <t>10434</t>
  </si>
  <si>
    <t>[部件][鱼雷][限1]潜用快速装填系统</t>
  </si>
  <si>
    <t>10435</t>
  </si>
  <si>
    <t>[防导][13火25拦][限1]箱式标准-1</t>
  </si>
  <si>
    <t>对空补正70%；对空倍率4；铝耗7</t>
  </si>
  <si>
    <t>10436</t>
  </si>
  <si>
    <t>[深投][16对潜2火][限2]阿尔法反潜武器</t>
  </si>
  <si>
    <t>10438</t>
  </si>
  <si>
    <t>[战列主炮][长程][25火5命][限1]MK6三联16英寸主炮（mk8）</t>
  </si>
  <si>
    <t>10441</t>
  </si>
  <si>
    <t>[潜用部件][索敌][限2]AR-231潜载侦察机</t>
  </si>
  <si>
    <t>10446</t>
  </si>
  <si>
    <t>[水爆][14轰][对潜][限2]HA-139</t>
  </si>
  <si>
    <t>10448</t>
  </si>
  <si>
    <t>[雷达][8索3命][限2]271雷达</t>
  </si>
  <si>
    <t>10449</t>
  </si>
  <si>
    <t>[战列主炮][长程][24火7命2空2索][限1]双联380毫米主炮（SKC/34）</t>
  </si>
  <si>
    <t>10451</t>
  </si>
  <si>
    <t>[潜用鱼雷][13雷4闪][限1]潜用Fat鱼雷</t>
  </si>
  <si>
    <t>10452</t>
  </si>
  <si>
    <t>[战列主炮][长程][24火4命3空5索2运][限1]E国四联14英寸主炮（284）</t>
  </si>
  <si>
    <t>10454</t>
  </si>
  <si>
    <t>[鱼雷][减益][18雷][限1]四联零式72厘米鱼雷</t>
  </si>
  <si>
    <t>10457</t>
  </si>
  <si>
    <t>[潜用鱼雷][12雷4闪][限1]MK27鱼雷</t>
  </si>
  <si>
    <t>10458</t>
  </si>
  <si>
    <t>[舰爆][23轰][高轰][限1]XA2J</t>
  </si>
  <si>
    <t>10459</t>
  </si>
  <si>
    <t>[水战][14空][限1]海吸血鬼（弹性甲板）</t>
  </si>
  <si>
    <t>10460</t>
  </si>
  <si>
    <t>[防导][18火24拦][限1]小猎犬F</t>
  </si>
  <si>
    <t>对空补正75%；对空倍率3.8；铝耗8</t>
  </si>
  <si>
    <t>10463</t>
  </si>
  <si>
    <t>[战列主炮][长程][28火2命2运][限1]E国18英寸主炮（M）</t>
  </si>
  <si>
    <t>10464</t>
  </si>
  <si>
    <t>[舰爆][13轰][对潜][限2]Br.960</t>
  </si>
  <si>
    <t>10466</t>
  </si>
  <si>
    <t>[鱼雷][12雷2闪][限1]鱼雷再装填系统</t>
  </si>
  <si>
    <t>10467</t>
  </si>
  <si>
    <t>[轻巡主炮][中程][13火8空][限1]三联高平两用主炮（六英寸）</t>
  </si>
  <si>
    <t>10468</t>
  </si>
  <si>
    <t>[战列主炮][超长][30火3空][限1]试制甲炮</t>
  </si>
  <si>
    <t>10471</t>
  </si>
  <si>
    <t>[驱逐主炮][长程][5火][限1]神秘武器</t>
  </si>
  <si>
    <t>10473</t>
  </si>
  <si>
    <t>[深投][15对潜4火][限1]博福斯375毫米反潜火箭</t>
  </si>
  <si>
    <t>10475</t>
  </si>
  <si>
    <t>[雷达][6索1命][限1]SO雷达</t>
  </si>
  <si>
    <t>10476</t>
  </si>
  <si>
    <t>[重巡主炮][长程][14火][限1]试制三十厘主炮</t>
  </si>
  <si>
    <t>10477</t>
  </si>
  <si>
    <t>[战列主炮][超长][28火3空][限1]超战舰三联主炮</t>
  </si>
  <si>
    <t>10478</t>
  </si>
  <si>
    <t>[战列主炮][超长][25火2空]五年式四十六厘主炮</t>
  </si>
  <si>
    <t>10481</t>
  </si>
  <si>
    <t>[轻巡主炮][长程][13火2命][限1]三联254毫米主炮</t>
  </si>
  <si>
    <t>10486</t>
  </si>
  <si>
    <t>[驱逐主炮][10火][限1]海上杀手导弹系统</t>
  </si>
  <si>
    <t>10487</t>
  </si>
  <si>
    <t>[防空][限1]715Ⅱ弹炮合一防空系统</t>
  </si>
  <si>
    <t>对空补正55%；对空倍率3.3</t>
  </si>
  <si>
    <t>10488</t>
  </si>
  <si>
    <t>[防导][14火25拦][限1]海标枪（051S）</t>
  </si>
  <si>
    <t>对空补正72%；对空倍率3.5；铝耗8</t>
  </si>
  <si>
    <t>10489</t>
  </si>
  <si>
    <t>[驱逐主炮][中程][8火][限1]9.2英寸舰炮（BM）</t>
  </si>
  <si>
    <t>10491</t>
  </si>
  <si>
    <t>[战列主炮][长程][24火6命3运][限1]双联15英寸MKII主炮</t>
  </si>
  <si>
    <t>10493</t>
  </si>
  <si>
    <t>[轻巡主炮][中程][7火2命7空][限2]152毫米三联高平炮（46）</t>
  </si>
  <si>
    <t>10495</t>
  </si>
  <si>
    <t>[战列主炮][超长][29火3命][限1]G国双联508毫米炮（H）</t>
  </si>
  <si>
    <t>10496</t>
  </si>
  <si>
    <t>[雷达][5索3命][限2]SK-2对空雷达</t>
  </si>
  <si>
    <t>对空补正75%；对空倍率3.3</t>
  </si>
  <si>
    <t>10497</t>
  </si>
  <si>
    <t>[声纳][12对潜][限1]球鼻艏（声纳）</t>
  </si>
  <si>
    <t>10498</t>
  </si>
  <si>
    <t>[发射/导]MK.141导弹发射架</t>
  </si>
  <si>
    <t>10499</t>
  </si>
  <si>
    <t>[导弹]RGM-84鱼叉反舰导弹</t>
  </si>
  <si>
    <t>10500</t>
  </si>
  <si>
    <t>[舰攻][12雷][限2]彩云（舰攻）</t>
  </si>
  <si>
    <t>10501</t>
  </si>
  <si>
    <t>[雷达][5索9命][限1]射击方位盘（超战舰）</t>
  </si>
  <si>
    <t>对空补正35%；对空倍率2.2</t>
  </si>
  <si>
    <t>10502</t>
  </si>
  <si>
    <t>[深投][15对潜][限2]地狱边境深弹投射器</t>
  </si>
  <si>
    <t>10503</t>
  </si>
  <si>
    <t>[防空][限1]АК-725</t>
  </si>
  <si>
    <t>对空补正50%；对空倍率3.4</t>
  </si>
  <si>
    <t>10506</t>
  </si>
  <si>
    <t>[舰战][13空][限1]海雌狐战斗机</t>
  </si>
  <si>
    <t>10507</t>
  </si>
  <si>
    <t>[战列主炮][超长][29火2命][限1]四联406毫米主炮（试制）</t>
  </si>
  <si>
    <t>10508</t>
  </si>
  <si>
    <t>[战列主炮][超长][30火10空][减益][限1]三联九四式主炮（MU）</t>
  </si>
  <si>
    <t>10509</t>
  </si>
  <si>
    <t>[部件][穿甲][限1]节日庆典礼花</t>
  </si>
  <si>
    <t>10510</t>
  </si>
  <si>
    <t>[深投][13对潜4雷][限1]MK-32鱼雷发射管（MK44）</t>
  </si>
  <si>
    <t>10511</t>
  </si>
  <si>
    <t xml:space="preserve">[鱼雷][14雷][限2]巡洋舰鱼雷系统   </t>
  </si>
  <si>
    <t>10512</t>
  </si>
  <si>
    <t>[舰战][14空][限1]FD-1鬼怪战斗机</t>
  </si>
  <si>
    <t>10513</t>
  </si>
  <si>
    <t>[潜用鱼雷][13雷6闪][限1]G7esT5潜艇鱼雷</t>
  </si>
  <si>
    <t>10516</t>
  </si>
  <si>
    <t>[轻巡主炮][中程][6火1命6空][限1]改进型6英寸三联主炮</t>
  </si>
  <si>
    <t>10517</t>
  </si>
  <si>
    <t>[防空][限1]“箭”便携舰空导弹</t>
  </si>
  <si>
    <t>对空补正45%；对空倍率3.3</t>
  </si>
  <si>
    <t>10518</t>
  </si>
  <si>
    <t>[雷达][12索2命][限2]AN/SPS-10搜索雷达</t>
  </si>
  <si>
    <t>对空补正40%；对空倍率3.2</t>
  </si>
  <si>
    <t>10519</t>
  </si>
  <si>
    <t>[炮弹][上限][限1]MK8炮弹</t>
  </si>
  <si>
    <t>10520</t>
  </si>
  <si>
    <t>[雷达][7命][限1]MK37火控雷达</t>
  </si>
  <si>
    <t>对空补正65%；对空倍率3.4</t>
  </si>
  <si>
    <t>10521</t>
  </si>
  <si>
    <t>[重巡主炮][长程][13火1命][限1]双联12英寸主炮（Sp）</t>
  </si>
  <si>
    <t>10522</t>
  </si>
  <si>
    <t>[舰攻][6雷][对潜][限1]AF-3S</t>
  </si>
  <si>
    <t>10523</t>
  </si>
  <si>
    <t>[舰攻][14雷][限1]509工程攻击机</t>
  </si>
  <si>
    <t>10524</t>
  </si>
  <si>
    <t>[发射/防][限1]防空导弹作战系统</t>
  </si>
  <si>
    <t>对空补正75%；对空倍率3.5</t>
  </si>
  <si>
    <t>10525</t>
  </si>
  <si>
    <t>[鱼雷][5雷9火][限1]三联鱼雷发射器（萨博）</t>
  </si>
  <si>
    <t>10526</t>
  </si>
  <si>
    <t>[战列主炮][超长][30火5空][限1]三联长管46厘米炮</t>
  </si>
  <si>
    <t>10527</t>
  </si>
  <si>
    <t>[雷达][6索][限2]AN/SPS-43雷达</t>
  </si>
  <si>
    <t>对空补正78%；对空倍率3.7</t>
  </si>
  <si>
    <t>10528</t>
  </si>
  <si>
    <t>[发射/导][限1]导弹发射箱 （183p）</t>
  </si>
  <si>
    <t>10529</t>
  </si>
  <si>
    <t>[战列主炮][超长][28火4命][限1]MK7（BM）</t>
  </si>
  <si>
    <t>10532</t>
  </si>
  <si>
    <t>[深投][17对潜3雷][限1]MK-112发射器（反潜）</t>
  </si>
  <si>
    <t>10534</t>
  </si>
  <si>
    <t>[战列主炮][长程][29火1甲][限1]三联18英寸主炮（提尔曼）</t>
  </si>
  <si>
    <t>10540</t>
  </si>
  <si>
    <t>[鱼雷][13雷][限1]XSUM-N-2</t>
  </si>
  <si>
    <t>10541</t>
  </si>
  <si>
    <t>[重巡主炮][长程][12火3命][限1]28厘米三联主炮（sp）</t>
  </si>
  <si>
    <t>10542</t>
  </si>
  <si>
    <t>[舰攻][15雷][限1]P2V(AUM)</t>
  </si>
  <si>
    <t>10543</t>
  </si>
  <si>
    <t>[驱逐主炮][中程][8火2命][限1]MK71型203毫米炮</t>
  </si>
  <si>
    <t>10547</t>
  </si>
  <si>
    <t>[舰战][14空][限1]F6U</t>
  </si>
  <si>
    <t>10549</t>
  </si>
  <si>
    <t>[舰战][12空][限1]海毒牙MK32</t>
  </si>
  <si>
    <t>10550</t>
  </si>
  <si>
    <t>[舰攻][12雷4空][限1]IA-58攻击机</t>
  </si>
  <si>
    <t>10551</t>
  </si>
  <si>
    <t>[战列主炮][超长][30火3命6空][限1]九四式主炮（22）</t>
  </si>
  <si>
    <t>10552</t>
  </si>
  <si>
    <t>[发射/防][限2]MK13发射系统(鱼叉备弹)</t>
  </si>
  <si>
    <t>10553</t>
  </si>
  <si>
    <t>[鱼雷][声纳雷][6雷2闪][限1]五联轻型鱼雷</t>
  </si>
  <si>
    <t>10554</t>
  </si>
  <si>
    <t>[潜用部件][索敌][限2]潜用声纳</t>
  </si>
  <si>
    <t>10555</t>
  </si>
  <si>
    <t>[战列主炮][长程][28火4命][限1]G国四联406毫米炮</t>
  </si>
  <si>
    <t>10556</t>
  </si>
  <si>
    <t>[舰战][13空][限1]柯蒂斯F15C</t>
  </si>
  <si>
    <t>10557</t>
  </si>
  <si>
    <t>[舰战][14空][限1]F4F(奥黑尔)</t>
  </si>
  <si>
    <t>10558</t>
  </si>
  <si>
    <t>[深投][15对潜][限1]РБУ-1000反潜深弹</t>
  </si>
  <si>
    <t>10559</t>
  </si>
  <si>
    <t>[舰攻][15雷][限1]AM-1拳击手(t)</t>
  </si>
  <si>
    <t>10560</t>
  </si>
  <si>
    <t>[鱼雷][19雷][限1]七联鱼雷发射器</t>
  </si>
  <si>
    <t>10562</t>
  </si>
  <si>
    <t>[战列主炮][超长][32火][限1]533毫米联装主炮（试）</t>
  </si>
  <si>
    <t>10563</t>
  </si>
  <si>
    <t>[舰战][16空][限1]美洲狮式战斗机</t>
  </si>
  <si>
    <t>10564</t>
  </si>
  <si>
    <t>[驱逐主炮][13火][减益][限1]A22火箭炮</t>
  </si>
  <si>
    <t>10565</t>
  </si>
  <si>
    <t>[部件][闪避][限1]干扰弹发射器</t>
  </si>
  <si>
    <t>10566</t>
  </si>
  <si>
    <t>[轻巡主炮][长程][10火][限1]单装试制30厘米炮</t>
  </si>
  <si>
    <t>10567</t>
  </si>
  <si>
    <t>[防导][19火21拦][限1]马舒卡防空导弹（早期型）</t>
  </si>
  <si>
    <t>10568</t>
  </si>
  <si>
    <t>[潜用部件][闪避][限2]自卫系统(潜用)</t>
  </si>
  <si>
    <t>10569</t>
  </si>
  <si>
    <t>[舰攻][12雷][限1]Nord1500攻击机</t>
  </si>
  <si>
    <t>10570</t>
  </si>
  <si>
    <t>[战列主炮][长程][21火5命6空][限1]双联41厘米炮(演习)</t>
  </si>
  <si>
    <t>10571</t>
  </si>
  <si>
    <t>[舰爆][12轰][穿甲][限1]梭鱼攻击机(720kg)</t>
  </si>
  <si>
    <t>增加15%护甲穿透(同类弹药效果只生效一个)；铝耗5</t>
  </si>
  <si>
    <t>10572</t>
  </si>
  <si>
    <t>[重巡主炮][长程][13火1命][限1]E国三联9.2寸主炮</t>
  </si>
  <si>
    <t>10573</t>
  </si>
  <si>
    <t>[舰攻][2雷][对潜][限2]H-34G反潜直升机</t>
  </si>
  <si>
    <t>10574</t>
  </si>
  <si>
    <t>[鱼雷][13雷][限1]61厘米鱼雷发射器(9)</t>
  </si>
  <si>
    <t>10575</t>
  </si>
  <si>
    <t>[舰爆][13轰][限1]BTD-1毁灭者(2000磅)</t>
  </si>
  <si>
    <t>10576</t>
  </si>
  <si>
    <t>[舰战][14空][限1]VG.90战斗机</t>
  </si>
  <si>
    <t>10577</t>
  </si>
  <si>
    <t>[战列主炮][超长][32火1命][限1]G国试制533毫米炮（36）</t>
  </si>
  <si>
    <t>10578</t>
  </si>
  <si>
    <t>[重巡主炮][长程][12火1命2甲][限2]双联30厘米炮(k)</t>
  </si>
  <si>
    <t>10579</t>
  </si>
  <si>
    <t>[发射/导][限2]企鹅导弹发射箱</t>
  </si>
  <si>
    <t>10580</t>
  </si>
  <si>
    <t>[爆战][10轰9空][穿甲][限2]Me-163（BT）</t>
  </si>
  <si>
    <t>10581</t>
  </si>
  <si>
    <t>[导弹][济南]海鹰反舰导弹</t>
  </si>
  <si>
    <t>581</t>
  </si>
  <si>
    <t>增加10%护甲穿透(同类弹药效果只生效一个)，济南装备时提高10%伤害</t>
  </si>
  <si>
    <t>pierce_coef:0.1;Cid(502,{final_damage_buff:0.1})</t>
  </si>
  <si>
    <t>10582</t>
  </si>
  <si>
    <t>[发射/导][济南]海鹰导弹发射器</t>
  </si>
  <si>
    <t>582</t>
  </si>
  <si>
    <t>济南装备时提高10%回避率</t>
  </si>
  <si>
    <t>Cid(502,{miss_rate:0.1})</t>
  </si>
  <si>
    <t>10583</t>
  </si>
  <si>
    <t>[导弹]让巴尔导弹系统（马舒卡/天狮星）</t>
  </si>
  <si>
    <t>10584</t>
  </si>
  <si>
    <t>[发射/导]导弹发射系统（让巴尔）</t>
  </si>
  <si>
    <t>10586</t>
  </si>
  <si>
    <t>[潜用鱼雷][12雷][限1]潜载火箭炮（U）</t>
  </si>
  <si>
    <t>586</t>
  </si>
  <si>
    <t>先制鱼雷和鱼雷战阶段提高10%伤害和10%命中率</t>
  </si>
  <si>
    <t>{final_damage_buff:0.1,TorpedoPhase;hit_rate:0.1,TorpedoPhase}</t>
  </si>
  <si>
    <t>10587</t>
  </si>
  <si>
    <t>[舰爆][12轰][穿甲][限1]SG-104机载无后坐力炮(JU-288)</t>
  </si>
  <si>
    <t>10588</t>
  </si>
  <si>
    <t>[舰攻][12雷][终伤/命中][限1]TBD鱼雷机（VT-8）</t>
  </si>
  <si>
    <t>588</t>
  </si>
  <si>
    <t>航空战阶段提高15%伤害和10%命中率</t>
  </si>
  <si>
    <t>{final_damage_buff:0.15,AirPhase;hit_rate:0.1,AirPhase}</t>
  </si>
  <si>
    <t>10590</t>
  </si>
  <si>
    <t>[雷达][中保+1][6索9命][限1]343火控雷达</t>
  </si>
  <si>
    <t>10591</t>
  </si>
  <si>
    <t>[战列主炮][长程][21火6命][限2]双联15英寸主炮(RP12)</t>
  </si>
  <si>
    <t>战斗结束获得经验增加9%(装备之间不叠加)</t>
  </si>
  <si>
    <t>10592</t>
  </si>
  <si>
    <t>[雷达][5索1命][强闪][限2]远程对空警戒雷达</t>
  </si>
  <si>
    <t>018</t>
  </si>
  <si>
    <t>0.1,0.05</t>
  </si>
  <si>
    <t>航空战阶段增加10%回避率，炮击战阶段增加5%回避率</t>
  </si>
  <si>
    <t>{miss_rate:0.1,AirPhase;miss_rate:0.05,ShellingPhase}</t>
  </si>
  <si>
    <t>10593</t>
  </si>
  <si>
    <t>[鱼雷][6雷2闪][IIIA]袖珍舰载艇</t>
  </si>
  <si>
    <t>593</t>
  </si>
  <si>
    <t>IIIA装备时提高15%伤害和5%命中率</t>
  </si>
  <si>
    <t>Cid(518,{final_damage_buff:0.15});Cid(518,{hit_rate:0.05})</t>
  </si>
  <si>
    <t>10594</t>
  </si>
  <si>
    <t>[战列主炮][超长][27火1命1空]MK7三联16英寸主炮（M）</t>
  </si>
  <si>
    <t>10595</t>
  </si>
  <si>
    <t>[防空]Оса-М防空系统（68У）</t>
  </si>
  <si>
    <t>10596</t>
  </si>
  <si>
    <t>[舰爆][20轰][高轰][胜利皇方傻白终伤]掠夺者攻击机</t>
  </si>
  <si>
    <t>596</t>
  </si>
  <si>
    <t>胜利、皇家方舟(装母)和伊丽莎白女王装备时提高5%伤害</t>
  </si>
  <si>
    <t>Cid(["483","455","644"],{final_damage_buff:0.05})</t>
  </si>
  <si>
    <t>10597</t>
  </si>
  <si>
    <t>[潜用部件][暴击][限2]105毫米甲板炮（潜艇）</t>
  </si>
  <si>
    <t>023</t>
  </si>
  <si>
    <t>增加25%暴击率</t>
  </si>
  <si>
    <t>crit:0.25</t>
  </si>
  <si>
    <t>10598</t>
  </si>
  <si>
    <t>[雷达][4索4命][强闪][限2]三坐标搜索雷达</t>
  </si>
  <si>
    <t>0.1,0</t>
  </si>
  <si>
    <t>航空战阶段增加10%回避率</t>
  </si>
  <si>
    <t>{miss_rate:0.1,AirPhase;miss_rate:0,ShellingPhase}</t>
  </si>
  <si>
    <t>10600</t>
  </si>
  <si>
    <t>[战列主炮][长程][27火2命2空][限1]480毫米双联主炮（42）</t>
  </si>
  <si>
    <t>10601</t>
  </si>
  <si>
    <t>[舰战][14空][胜利皇方傻白制空][限1]海雌狐FAW.2战斗机</t>
  </si>
  <si>
    <t>601</t>
  </si>
  <si>
    <t>胜利、皇家方舟(装母)和伊丽莎白女王装备时增加40制空值</t>
  </si>
  <si>
    <t>Cid(["483","455","644"],{air_ctrl_buff:40})</t>
  </si>
  <si>
    <t>10602</t>
  </si>
  <si>
    <t>[战列主炮][长程][29火3空]试制41厘米四联主炮（S）</t>
  </si>
  <si>
    <t>10603</t>
  </si>
  <si>
    <t>[舰战][15空][饺子制空]F6F地狱猫战斗机（麦坎贝尔）</t>
  </si>
  <si>
    <t>603</t>
  </si>
  <si>
    <t>埃塞克斯装备时航空战阶段增加15%攻击威力和增加20制空值</t>
  </si>
  <si>
    <t>Cid(226,{air_atk_buff:0.15});Cid(226,{air_ctrl_buff:20})</t>
  </si>
  <si>
    <t>10604</t>
  </si>
  <si>
    <t>[战列主炮][超长][30火2命][限1]F国四联420毫米主炮</t>
  </si>
  <si>
    <t>10605</t>
  </si>
  <si>
    <t>[战列主炮][长程][20火4命][重炮][限2]E国双联15英寸主炮（BM）</t>
  </si>
  <si>
    <t>605</t>
  </si>
  <si>
    <t>重炮装备时增加10%护甲穿透和10%回避率</t>
  </si>
  <si>
    <t>ShipType(BM,{pierce_coef:0.1,stack;miss_rate:0.1})</t>
  </si>
  <si>
    <t>10606</t>
  </si>
  <si>
    <t>[舰攻][18雷][穿甲][限1]图-91（火箭鱼雷）</t>
  </si>
  <si>
    <t>10608</t>
  </si>
  <si>
    <t>[防空][限1]АК-630</t>
  </si>
  <si>
    <t>10609</t>
  </si>
  <si>
    <t>[舰战][13空][限1]海鹰战斗机</t>
  </si>
  <si>
    <t>10610</t>
  </si>
  <si>
    <t>[战列主炮][长程][31火][限1]四联48厘米炮</t>
  </si>
  <si>
    <t>10611</t>
  </si>
  <si>
    <t>[战列主炮][长程][24火2命4甲][限1]三联406毫米主炮（S）</t>
  </si>
  <si>
    <t>10612</t>
  </si>
  <si>
    <t>LongMissile</t>
  </si>
  <si>
    <t>[导弹][格罗兹尼]П-35反舰导弹</t>
  </si>
  <si>
    <t>远程反舰导弹</t>
  </si>
  <si>
    <t>612</t>
  </si>
  <si>
    <t>增加10%护甲穿透(同类弹药效果只生效一个)，格罗兹尼装备时提高5%护甲穿透</t>
  </si>
  <si>
    <t>pierce_coef:0.1;Cid(533,{pierce_coef:0.05,stack})</t>
  </si>
  <si>
    <t>10613</t>
  </si>
  <si>
    <t>[发射/导][格罗兹尼]СМ-70旋转发射器</t>
  </si>
  <si>
    <t>613</t>
  </si>
  <si>
    <t>格罗兹尼装备时提高10%回避率</t>
  </si>
  <si>
    <t>Cid(533,{miss_rate:0.1})</t>
  </si>
  <si>
    <t>10614</t>
  </si>
  <si>
    <t>[舰战][15空][限1]F3H战斗机</t>
  </si>
  <si>
    <t>10615</t>
  </si>
  <si>
    <t>[战列主炮][长程][28火][限1]45厘米三联主炮</t>
  </si>
  <si>
    <t>10616</t>
  </si>
  <si>
    <t>[战列主炮][超长][33火][限1]51厘米三联主炮</t>
  </si>
  <si>
    <t>10619</t>
  </si>
  <si>
    <t>[舰攻][15雷][暴击/命中][限1]AM-1拳击手（HVAR）</t>
  </si>
  <si>
    <t>619</t>
  </si>
  <si>
    <t>增加15%暴击率与5%命中率</t>
  </si>
  <si>
    <t>{crit:0.15;hit_rate:0.05}</t>
  </si>
  <si>
    <t>10620</t>
  </si>
  <si>
    <t>[防导][14火21拦][终伤][限2]M1导弹</t>
  </si>
  <si>
    <t>008</t>
  </si>
  <si>
    <t>增加10%伤害</t>
  </si>
  <si>
    <t>final_damage_buff:0.1</t>
  </si>
  <si>
    <t>10622</t>
  </si>
  <si>
    <t>[战列主炮][长程][19火4命6索][限1]三联14英寸主炮(弹射器)</t>
  </si>
  <si>
    <t>10623</t>
  </si>
  <si>
    <t>[舰攻][15雷][限1]XTB2F</t>
  </si>
  <si>
    <t>10624</t>
  </si>
  <si>
    <t>[舰战][9空][限1]喷火战斗机(酒桶)</t>
  </si>
  <si>
    <t>装备时，远征获得的资源增加10%；铝耗4</t>
  </si>
  <si>
    <t>10625</t>
  </si>
  <si>
    <t>[战列主炮][长程][28火2命][限1]四联十六英寸主炮（T）</t>
  </si>
  <si>
    <t>10626</t>
  </si>
  <si>
    <t>[舰爆][13轰][穿甲][限2]景云改（80番）</t>
  </si>
  <si>
    <t>10627</t>
  </si>
  <si>
    <t>[深投][15对潜5雷][限2]马拉丰反潜导弹系统</t>
  </si>
  <si>
    <t>10628</t>
  </si>
  <si>
    <t>[舰战][9空][限1]黑寡妇战斗机</t>
  </si>
  <si>
    <t>降低敌方航空战阶段15%命中率</t>
  </si>
  <si>
    <t>Side(0,{hit_rate:-0.15,AirPhase})</t>
  </si>
  <si>
    <t>10629</t>
  </si>
  <si>
    <t>[舰战][13空][限1]F2R</t>
  </si>
  <si>
    <t>10630</t>
  </si>
  <si>
    <t>[爆战][12轰9空][威力][限2]F2G超级海盗（小提姆）</t>
  </si>
  <si>
    <t>005</t>
  </si>
  <si>
    <t>装备时提高15%开幕轰炸攻击力</t>
  </si>
  <si>
    <t>air_bomb_atk_buff:0.15</t>
  </si>
  <si>
    <t>10631</t>
  </si>
  <si>
    <t>[防导][20火22拦][絮弗伦]马舒卡导弹MK2</t>
  </si>
  <si>
    <t>631</t>
  </si>
  <si>
    <t>絮弗伦装备时增加20%伤害</t>
  </si>
  <si>
    <t>Cid(552,{final_damage_buff:0.2})</t>
  </si>
  <si>
    <t>10632</t>
  </si>
  <si>
    <t>[发射/防][絮弗伦]马舒卡防空系统</t>
  </si>
  <si>
    <t>632</t>
  </si>
  <si>
    <t>絮弗伦装备时提高10%回避率，降低敌方航空战阶段5%命中率</t>
  </si>
  <si>
    <t>Cid(552,{miss_rate:0.1});Cid(552,{Side(0,{hit_rate:-0.05,AirPhase})})</t>
  </si>
  <si>
    <t>10633</t>
  </si>
  <si>
    <t>[爆战][13轰8空][威力][限2]F4U-7（火箭弹）</t>
  </si>
  <si>
    <t>装备时提高10%开幕轰炸攻击力</t>
  </si>
  <si>
    <t>air_bomb_atk_buff:0.1</t>
  </si>
  <si>
    <t>10635</t>
  </si>
  <si>
    <t>[驱逐主炮][中程][12火][限1]冰雹火箭炮（舰载）</t>
  </si>
  <si>
    <t>增加5%暴击率</t>
  </si>
  <si>
    <t>crit:0.05</t>
  </si>
  <si>
    <t>10636</t>
  </si>
  <si>
    <t>[水战][15空][限1]Yak-36</t>
  </si>
  <si>
    <t>10637</t>
  </si>
  <si>
    <t>[战列主炮][超长][28火6命2索][限1]MK7三联16英寸主炮（1984）</t>
  </si>
  <si>
    <t>10638</t>
  </si>
  <si>
    <t>[发射/导][暴击][限2]战斧导弹（发射箱）</t>
  </si>
  <si>
    <t>增加10%暴击率</t>
  </si>
  <si>
    <t>crit:0.1</t>
  </si>
  <si>
    <t>10640</t>
  </si>
  <si>
    <t>[防导][11火27拦][反潜][限2]阿斯洛克/鞑靼人（弹库备弹）</t>
  </si>
  <si>
    <t>10643</t>
  </si>
  <si>
    <t>[潜用鱼雷][17雷][限1]72型高速鱼雷（潜用）</t>
  </si>
  <si>
    <t>10644</t>
  </si>
  <si>
    <t>[舰战][16空][限1]FJ-4战斗机</t>
  </si>
  <si>
    <t>10645</t>
  </si>
  <si>
    <t>[驱逐主炮][中程][10火][穿甲][限3]六联武器系统（SS.11）</t>
  </si>
  <si>
    <t>增加15%护甲穿透（同类弹药效果只生效一个）</t>
  </si>
  <si>
    <t>10646</t>
  </si>
  <si>
    <t>[战列主炮][超长][31火3空][A150]甲炮（A150）</t>
  </si>
  <si>
    <t>10647</t>
  </si>
  <si>
    <t>[驱逐主炮][3火1命15空][限1]AK-726双联舰炮</t>
  </si>
  <si>
    <t>10649</t>
  </si>
  <si>
    <t>[鱼雷][13雷3闪][限1]五联61厘米F3高速鱼雷</t>
  </si>
  <si>
    <t>10650</t>
  </si>
  <si>
    <t>[水战][15空][限1]P.1127</t>
  </si>
  <si>
    <t>10651</t>
  </si>
  <si>
    <t>[雷达][5索10命][A150][限1]方位盘（A150）</t>
  </si>
  <si>
    <t>651</t>
  </si>
  <si>
    <t>增加15%护甲穿透（同类弹药效果只生效一个）。A150装备时增加10%攻击力与5%命中率</t>
  </si>
  <si>
    <t>pierce_coef:0.15;Cid(191,{power_buff:0.1});Cid(191,{hit_rate:0.05})</t>
  </si>
  <si>
    <t>10652</t>
  </si>
  <si>
    <t>[舰爆][17轰][饺子威力制空][限3]A4D</t>
  </si>
  <si>
    <t>652</t>
  </si>
  <si>
    <t>埃塞克斯级航母装备时增加10%攻击力与15制空值</t>
  </si>
  <si>
    <t>Tag(essex,{power_buff:0.1});Tag(essex,{air_ctrl_buff:15})</t>
  </si>
  <si>
    <t>10653</t>
  </si>
  <si>
    <t>[舰爆][19轰3空][饺子终伤]FJ-4B（16）</t>
  </si>
  <si>
    <t>653</t>
  </si>
  <si>
    <t>埃塞克斯级航母装备时增加5%伤害</t>
  </si>
  <si>
    <t>Tag(essex,{final_damage_buff:0.05})</t>
  </si>
  <si>
    <t>10654</t>
  </si>
  <si>
    <t>[防导][12火27拦][不惧]鞑靼人导弹(I)</t>
  </si>
  <si>
    <t>654</t>
  </si>
  <si>
    <t>不惧装备时增加25%攻击威力</t>
  </si>
  <si>
    <t>Cid(559,{power_buff:0.25})</t>
  </si>
  <si>
    <t>10655</t>
  </si>
  <si>
    <t>[发射/防][不惧]MK13发射系统(I)</t>
  </si>
  <si>
    <t>655</t>
  </si>
  <si>
    <t>不惧装备时增加10%暴击率和10%回避率</t>
  </si>
  <si>
    <t>Cid(559,{crit:0.1});Cid(559,{miss_rate:0.1})</t>
  </si>
  <si>
    <t>10656</t>
  </si>
  <si>
    <t>[驱逐主炮][7火13空][限1]BL-132</t>
  </si>
  <si>
    <t>10657</t>
  </si>
  <si>
    <t>[舰爆][14轰][长程/威力][限1]AJ-2(空中加油系统)</t>
  </si>
  <si>
    <t>657</t>
  </si>
  <si>
    <t>航空战阶段增加5%攻击威力；炮击战阶段增加20%攻击威力</t>
  </si>
  <si>
    <t>{power_buff:0.05,AirPhase;power_buff:0.2,ShellingPhase}</t>
  </si>
  <si>
    <t>10658</t>
  </si>
  <si>
    <t>[舰战][17空][限1]F11F战斗机</t>
  </si>
  <si>
    <t>10659</t>
  </si>
  <si>
    <t>[战列主炮][长程][29火3命][限1]三联457毫米主炮(G)</t>
  </si>
  <si>
    <t>10660</t>
  </si>
  <si>
    <t>[舰爆][12轰][命中/减命][限1]AD-5Q</t>
  </si>
  <si>
    <t>007,012</t>
  </si>
  <si>
    <t>0.1,-0.15</t>
  </si>
  <si>
    <t>装备时增加10%命中率，降低敌方航空战阶段15%命中率</t>
  </si>
  <si>
    <t>hit_rate:0.1;Side(0,{hit_rate:-0.15,AirPhase})</t>
  </si>
  <si>
    <t>10661</t>
  </si>
  <si>
    <t>[防空][C国][限2]76A式</t>
  </si>
  <si>
    <t>661</t>
  </si>
  <si>
    <t>C国舰船装备时增加5%回避率</t>
  </si>
  <si>
    <t>Country(C,{miss_rate:0.1})</t>
  </si>
  <si>
    <t>10662</t>
  </si>
  <si>
    <t>[舰爆][25轰][限3]A-3“空中勇士”攻击机</t>
  </si>
  <si>
    <t>10664</t>
  </si>
  <si>
    <t>[深投][15对潜5索][限1]卡-25反潜直升机</t>
  </si>
  <si>
    <t>10665</t>
  </si>
  <si>
    <t>[舰攻][10雷][对潜][命中][限1]E-1预警机</t>
  </si>
  <si>
    <t>007</t>
  </si>
  <si>
    <t>增加5%命中率</t>
  </si>
  <si>
    <t>hit_rate:0.05</t>
  </si>
  <si>
    <t>10666</t>
  </si>
  <si>
    <t>[鱼雷][声纳雷][8雷3闪][暴击][限1]三联反潜鱼雷发射器（MK46）</t>
  </si>
  <si>
    <t>10667</t>
  </si>
  <si>
    <t>[潜用鱼雷][17雷2闪][限1]53-61鱼雷（潜射）</t>
  </si>
  <si>
    <t>增加10%命中率</t>
  </si>
  <si>
    <t>hit_rate:0.1</t>
  </si>
  <si>
    <t>10668</t>
  </si>
  <si>
    <t>[鱼雷][10雷4闪][终伤][限2]四联533毫米鱼雷（ur高速）</t>
  </si>
  <si>
    <t>668</t>
  </si>
  <si>
    <t>鱼雷战和夜战阶段提高15%伤害</t>
  </si>
  <si>
    <t>{final_damage_buff:0.15,SecondTorpedoPhase;final_damage_buff:0.15,NightPhase}</t>
  </si>
  <si>
    <t>10669</t>
  </si>
  <si>
    <t>[舰攻][11雷][对潜][命中][限2]S-2反潜机</t>
  </si>
  <si>
    <t>669</t>
  </si>
  <si>
    <t>增加5%命中率，先制反潜阶段额外增加5%命中率</t>
  </si>
  <si>
    <t>{hit_rate:0.05;hit_rate:0.05,AntiSubPhase}</t>
  </si>
  <si>
    <t>10670</t>
  </si>
  <si>
    <t>[防导][11火19拦][鹰潭]红旗61防空导弹</t>
  </si>
  <si>
    <t>670</t>
  </si>
  <si>
    <t>鹰潭装备时增加25%伤害</t>
  </si>
  <si>
    <t>Cid(287,{final_damage_buff:0.25})</t>
  </si>
  <si>
    <t>10671</t>
  </si>
  <si>
    <t>[发射/防][鹰潭]7231发射系统（ZL-1）</t>
  </si>
  <si>
    <t>671</t>
  </si>
  <si>
    <t>鹰潭装备时提高10%回避率，降低敌方航空战阶段5%命中率</t>
  </si>
  <si>
    <t>Cid(287,{miss_rate:0.1});Cid(287,{Side(0,{hit_rate:-0.05,AirPhase})})</t>
  </si>
  <si>
    <t>10672</t>
  </si>
  <si>
    <t>[鱼雷][12雷][限1]五连鱼雷发射器（53-56）</t>
  </si>
  <si>
    <t>10673</t>
  </si>
  <si>
    <t>[深投][17对潜4火][限1]РБУ-6000火箭深弹</t>
  </si>
  <si>
    <t>10674</t>
  </si>
  <si>
    <t>[水战][16空][限1]XF2Y水上战斗机</t>
  </si>
  <si>
    <t>10675</t>
  </si>
  <si>
    <t>[战列主炮][长程][31火1甲][限1]18英寸四联主炮</t>
  </si>
  <si>
    <t>10676</t>
  </si>
  <si>
    <t>[导弹][C国][限4]鹰击反舰导弹</t>
  </si>
  <si>
    <t>676</t>
  </si>
  <si>
    <t>增加10%护甲穿透（同类效果只生效一个），C国舰船装备时提高5%伤害和10%暴击率</t>
  </si>
  <si>
    <t>pierce_coef:0.1;Country(C,{final_damage_buff:0.05});Country(C,{crit:0.1})</t>
  </si>
  <si>
    <t>10677</t>
  </si>
  <si>
    <t>[深投][18对潜3火][限1]梅农反潜迫击炮</t>
  </si>
  <si>
    <t>10678</t>
  </si>
  <si>
    <t>[鱼雷][减益][18雷][限1]六连61厘米鱼雷发射器（93M3）</t>
  </si>
  <si>
    <t>10679</t>
  </si>
  <si>
    <t>[舰攻][12雷][限1]布莱克本B-88</t>
  </si>
  <si>
    <t>10680</t>
  </si>
  <si>
    <t>[水爆][14轰][限1]Бе-6水上飞机（轰炸）</t>
  </si>
  <si>
    <t>10681</t>
  </si>
  <si>
    <t>[爆战][20轰5空][暴击][限3]军旗IV攻击机</t>
  </si>
  <si>
    <t>10682</t>
  </si>
  <si>
    <t>[深投][15对潜11火][限1]MK-112发射器（鱼叉反舰导弹）</t>
  </si>
  <si>
    <t>10683</t>
  </si>
  <si>
    <t>[爆战][14轰7空][威力][限1]F4U（蝙蝠制导炸弹）</t>
  </si>
  <si>
    <t>10684</t>
  </si>
  <si>
    <t>[舰攻][17雷][阴雷][限1]NC.1071（L50）</t>
  </si>
  <si>
    <t>006</t>
  </si>
  <si>
    <t>航空战阶段增加50%鱼雷机攻击威力</t>
  </si>
  <si>
    <t>air_dive_atk_buff:0.5</t>
  </si>
  <si>
    <t>10685</t>
  </si>
  <si>
    <t>[舰攻][19雷][阴雷][限1]TB2D-1（MK25）</t>
  </si>
  <si>
    <t>航空战阶段增加40%鱼雷机攻击威力</t>
  </si>
  <si>
    <t>air_dive_atk_buff:0.4</t>
  </si>
  <si>
    <t>10686</t>
  </si>
  <si>
    <t>[舰爆][13轰][穿甲/J国威力][限2]天河攻击机（KI-148）</t>
  </si>
  <si>
    <t>686</t>
  </si>
  <si>
    <t>增加25%护甲穿透（同类效果只生效一个），J国舰船装备时增加20%攻击威力</t>
  </si>
  <si>
    <t>pierce_coef:0.25;Country(J,{power_buff:0.2})</t>
  </si>
  <si>
    <t>10687</t>
  </si>
  <si>
    <t>[防空][S国][限2]AK-230（MR-104）</t>
  </si>
  <si>
    <t>687</t>
  </si>
  <si>
    <t>S国舰船装备时提高5%回避率</t>
  </si>
  <si>
    <t>Country(S,{miss_rate:0.1})</t>
  </si>
  <si>
    <t>10688</t>
  </si>
  <si>
    <t>[防导][14火21拦]V600防空导弹</t>
  </si>
  <si>
    <t>10689</t>
  </si>
  <si>
    <t>[发射/防]M1“波浪”防空系统</t>
  </si>
  <si>
    <t>10690</t>
  </si>
  <si>
    <t>[舰爆][16轰][中途岛]A-1H攻击机</t>
  </si>
  <si>
    <t>690</t>
  </si>
  <si>
    <t>中途岛装备时增加10%攻击威力</t>
  </si>
  <si>
    <t>Tag(midway,{power_buff:0.1})</t>
  </si>
  <si>
    <t>10691</t>
  </si>
  <si>
    <t>[战列主炮][长程][27火3命]G国双联480毫米主炮</t>
  </si>
  <si>
    <t>10692</t>
  </si>
  <si>
    <t>[导弹][塞瓦斯托波尔]P-35反舰导弹（1134）</t>
  </si>
  <si>
    <t>692</t>
  </si>
  <si>
    <t>增加10%护甲穿透(同类弹药效果只生效一个)，塞瓦斯托波尔装备时提高5%护甲穿透</t>
  </si>
  <si>
    <t>pierce_coef:0.1;Cid(581,{pierce_coef:0.05,stack})</t>
  </si>
  <si>
    <t>10693</t>
  </si>
  <si>
    <t>[发射/导][塞瓦斯托波尔]KT-35发射器</t>
  </si>
  <si>
    <t>693</t>
  </si>
  <si>
    <t>塞瓦斯托波尔装备时提10%回避率</t>
  </si>
  <si>
    <t>Cid(581,{miss_rate:0.1})</t>
  </si>
  <si>
    <t>10694</t>
  </si>
  <si>
    <t>[水战][17空][限1]Yak-38</t>
  </si>
  <si>
    <t>10695</t>
  </si>
  <si>
    <t>[舰战][19空][限1]F-4B</t>
  </si>
  <si>
    <t>10696</t>
  </si>
  <si>
    <t>[舰爆][26轰][高轰][限1]A-6</t>
  </si>
  <si>
    <t>10697</t>
  </si>
  <si>
    <t>[舰爆][22轰][高轰][E国][限4]掠夺者攻击机MK.2</t>
  </si>
  <si>
    <t>697</t>
  </si>
  <si>
    <t>E国舰船装备时增加5%攻击威力</t>
  </si>
  <si>
    <t>Country(E,{power_buff:0.05})</t>
  </si>
  <si>
    <t>10698</t>
  </si>
  <si>
    <t>[发射/导][密苏里][限1]MK143战斧导弹发射箱（91）</t>
  </si>
  <si>
    <t>698</t>
  </si>
  <si>
    <t>密苏里装备时增加15%暴击率，炮击战阶段增加10%攻击威力</t>
  </si>
  <si>
    <t>Cid(209,{crit:0.15});Cid(209,{power_buff:0.1,ShellingPhase})</t>
  </si>
  <si>
    <t>10699</t>
  </si>
  <si>
    <t>[主炮][长程][23火][黎塞留][限1]特制16英寸三联主炮(1058)</t>
  </si>
  <si>
    <t>10700</t>
  </si>
  <si>
    <t>[驱逐主炮][5火15空][限1]ZIF-92单装舰炮</t>
  </si>
  <si>
    <t>对空补正50%；对空倍率4.5</t>
  </si>
  <si>
    <t>10701</t>
  </si>
  <si>
    <t>[舰战][13空][限1]F4U-1(122)</t>
  </si>
  <si>
    <t>10703</t>
  </si>
  <si>
    <t>[驱逐主炮][中程][12火2命][穿甲][限1]SS.12武器系统</t>
  </si>
  <si>
    <t>10704</t>
  </si>
  <si>
    <t>[鱼雷][18雷][限6]（CLT）四联鱼雷发射器（零式）-限6</t>
  </si>
  <si>
    <t>704</t>
  </si>
  <si>
    <t>雷巡装备时增加15%伤害和5%回避率</t>
  </si>
  <si>
    <t>ShipType(CLT,{final_damage_buff:0.15});ShipType(CLT,{miss_rate:0.05})</t>
  </si>
  <si>
    <t>10705</t>
  </si>
  <si>
    <t>[导弹][C国][限2]鹰击83反舰导弹</t>
  </si>
  <si>
    <t>705</t>
  </si>
  <si>
    <t>增加10%护甲穿透(同类弹药效果只生效一个)，C国舰船装备时提高20%暴击率</t>
  </si>
  <si>
    <t>pierce_coef:0.1;Country(C,{crit:0.2})</t>
  </si>
  <si>
    <t>10706</t>
  </si>
  <si>
    <t>[水爆][12轰][长程/穿甲][限1]H-34直升机（小斗犬）</t>
  </si>
  <si>
    <t>10707</t>
  </si>
  <si>
    <t>[鱼雷][14雷][限1]21寸五联装鱼雷（MK35）</t>
  </si>
  <si>
    <t>10708</t>
  </si>
  <si>
    <t>[舰爆][27轰][高轰][限1]A-3B</t>
  </si>
  <si>
    <t>10709</t>
  </si>
  <si>
    <t>[战列主炮][长程][32火][限1]18英寸（L50）四联主炮</t>
  </si>
  <si>
    <t>10710</t>
  </si>
  <si>
    <t>[爆战][22轰][高轰][穿甲][限3]军旗攻击机(AS.30)</t>
  </si>
  <si>
    <t>10711</t>
  </si>
  <si>
    <t>[鱼雷][15雷4闪][限3]（三式）六联53厘米鱼雷发射器</t>
  </si>
  <si>
    <t>711</t>
  </si>
  <si>
    <t>驱逐装备时增加15%攻击威力</t>
  </si>
  <si>
    <t>ShipType(DD,{power_buff:0.15})</t>
  </si>
  <si>
    <t>10712</t>
  </si>
  <si>
    <t>[导弹][351]鹰击反舰导弹(潜射)</t>
  </si>
  <si>
    <t>712</t>
  </si>
  <si>
    <t>增加10%护甲穿透(同类弹药效果只生效一个)，351装备时提高20%伤害</t>
  </si>
  <si>
    <t>pierce_coef:0.1;Cid(601,{final_damage_buff:0.2})</t>
  </si>
  <si>
    <t>10713</t>
  </si>
  <si>
    <t>[发射/导][351]潜载发射筒(033G)</t>
  </si>
  <si>
    <t>713</t>
  </si>
  <si>
    <t>351装备时提高10%回避率</t>
  </si>
  <si>
    <t>Cid(601,{miss_rate:0.1})</t>
  </si>
  <si>
    <t>10714</t>
  </si>
  <si>
    <t>[防导][23火19拦]S-75防空导弹</t>
  </si>
  <si>
    <t>10715</t>
  </si>
  <si>
    <t>[发射/防]“德维纳”防空系统（发射架）</t>
  </si>
  <si>
    <t>10717</t>
  </si>
  <si>
    <t>[深投][11对潜11雷][限1]1124双联发射器（SET65）</t>
  </si>
  <si>
    <t>10718</t>
  </si>
  <si>
    <t>[鱼雷][23雷][限1]七联鱼雷发射器（93M3）</t>
  </si>
  <si>
    <t>718</t>
  </si>
  <si>
    <t>J国舰船装备时增加5%攻击威力</t>
  </si>
  <si>
    <t>Country(J,{power_buff:0.05})</t>
  </si>
  <si>
    <t>10719</t>
  </si>
  <si>
    <t>[鱼雷][15雷1闪][长程][限1]“覆灭”巨型鱼雷</t>
  </si>
  <si>
    <t>crit:0.15</t>
  </si>
  <si>
    <t>10720</t>
  </si>
  <si>
    <t>[潜用鱼雷][15雷7闪][限1]SET-53鱼雷</t>
  </si>
  <si>
    <t>720</t>
  </si>
  <si>
    <t>增加30%护甲穿透(同类弹药效果只生效一个)，S国舰船装备时提高5%攻击威力与5%回避率</t>
  </si>
  <si>
    <t>pierce_coef:0.3;Country(S,{power_buff:0.05});Country(S,{miss_rate:0.05})</t>
  </si>
  <si>
    <t>10721</t>
  </si>
  <si>
    <t>[战列主炮][长程][28火5命8空2索][限3]MK7主炮（MK8）</t>
  </si>
  <si>
    <t>721</t>
  </si>
  <si>
    <t>衣阿华级装备时增加10%攻击威力与10%命中率</t>
  </si>
  <si>
    <t>Tag(iowa,{power_buff:0.1});Tag(iowa,{hit_rate:0.1})</t>
  </si>
  <si>
    <t>10722</t>
  </si>
  <si>
    <t>[防空][F国][限1]双联37毫米M1935高炮(测试)</t>
  </si>
  <si>
    <t>F国舰船装备时战斗结算获得经验额外增加15%；对空补正40%；对空倍率3</t>
  </si>
  <si>
    <t>10723</t>
  </si>
  <si>
    <t>[水爆][16轰][限1]YAK-38（KH23）</t>
  </si>
  <si>
    <t>10724</t>
  </si>
  <si>
    <t>[战列主炮][长程][29火2命][限1]双联20英寸主炮（34）</t>
  </si>
  <si>
    <t>10725</t>
  </si>
  <si>
    <t>[舰爆][18轰][穿甲][限1]A2D天鲨（AN-M56）</t>
  </si>
  <si>
    <t>10726</t>
  </si>
  <si>
    <t>[舰战][17空][限2]F3H-2（AIM-7C）</t>
  </si>
  <si>
    <t>降低敌方航空战阶段20%命中率</t>
  </si>
  <si>
    <t>Side(0,{hit_rate:-0.2,AirPhase})</t>
  </si>
  <si>
    <t>10727</t>
  </si>
  <si>
    <t>[战列主炮][超长][33火7命4空5索][武藏]九四式三联四十六厘米主炮（MU方位盘）</t>
  </si>
  <si>
    <t>10728</t>
  </si>
  <si>
    <t>[部件][限1]纪念文件</t>
  </si>
  <si>
    <t>009</t>
  </si>
  <si>
    <t>装备时增加9%攻击威力</t>
  </si>
  <si>
    <t>power_buff:0.09</t>
  </si>
  <si>
    <t>10729</t>
  </si>
  <si>
    <t>[导弹][南京]海鹰-1甲反舰导弹</t>
  </si>
  <si>
    <t>729</t>
  </si>
  <si>
    <t>增加10%护甲穿透(同类弹药效果只生效一个)，南京装备时增加5%护甲穿透</t>
  </si>
  <si>
    <t>pierce_coef:0.1;Cid(617,{pierce_coef:0.05,stack})</t>
  </si>
  <si>
    <t>10730</t>
  </si>
  <si>
    <t>[发射/导][南京]海鹰导弹发射器（352）</t>
  </si>
  <si>
    <t>730</t>
  </si>
  <si>
    <t>南京装备时提高15%回避率</t>
  </si>
  <si>
    <t>Cid(617,{miss_rate:0.15})</t>
  </si>
  <si>
    <t>10731</t>
  </si>
  <si>
    <t>[防空][限1]AK-630（MR-123）</t>
  </si>
  <si>
    <t>10732</t>
  </si>
  <si>
    <t>[战列主炮][超长][32火1命][限1]试制51厘米三联主炮</t>
  </si>
  <si>
    <t>10733</t>
  </si>
  <si>
    <t>[舰爆][23轰][高轰][限1]轰-5</t>
  </si>
  <si>
    <t>10734</t>
  </si>
  <si>
    <t>[舰战][18空][限1]米格19K</t>
  </si>
  <si>
    <t>10735</t>
  </si>
  <si>
    <t>[主炮][4火3命12空][限2]79B式改进型双联100毫米主炮</t>
  </si>
  <si>
    <t>002</t>
  </si>
  <si>
    <t>回避率提高5%</t>
  </si>
  <si>
    <t>miss_rate:0.05</t>
  </si>
  <si>
    <t>10736</t>
  </si>
  <si>
    <t>[驱逐主炮][中程][10火][S国][穿甲][限3]BM-14-17火箭炮</t>
  </si>
  <si>
    <t>736</t>
  </si>
  <si>
    <t>增加10%护甲穿透(同类弹药效果只生效一个)，S国舰船装备时提高15%伤害</t>
  </si>
  <si>
    <t>pierce_coef:0.1;Country(S,{final_damage_buff:0.15})</t>
  </si>
  <si>
    <t>10737</t>
  </si>
  <si>
    <t>[驱逐主炮][3火2命3甲][限1]特殊炮塔（T-34/76）</t>
  </si>
  <si>
    <t>737</t>
  </si>
  <si>
    <t>炮击战阶段增加10%攻击力</t>
  </si>
  <si>
    <t>power_buff:0.1,ShellingPhase</t>
  </si>
  <si>
    <t>10738</t>
  </si>
  <si>
    <t>[导弹]“飞鱼”反舰导弹</t>
  </si>
  <si>
    <t>10739</t>
  </si>
  <si>
    <t>[发射/导]“飞鱼”导弹发射箱（MM38）</t>
  </si>
  <si>
    <t>10741</t>
  </si>
  <si>
    <t>[驱逐主炮][长程][8火3命3甲][限1]8英寸单装MK71舰炮（CG）</t>
  </si>
  <si>
    <t>10742</t>
  </si>
  <si>
    <t>[舰战][15空][限1]海吸血鬼战斗机（埃里克·布朗）</t>
  </si>
  <si>
    <t>{'exp': 0.10}</t>
  </si>
  <si>
    <t>获得经验值提升10%；铝耗9</t>
  </si>
  <si>
    <t>10743</t>
  </si>
  <si>
    <t>[战列主炮][长程][29火][限1]双联20英寸主炮（1915）</t>
  </si>
  <si>
    <t>10744</t>
  </si>
  <si>
    <t>[声纳][15对潜5索][限3]SQS-23声纳</t>
  </si>
  <si>
    <t>增加15%命中率</t>
  </si>
  <si>
    <t>hit_rate:0.15</t>
  </si>
  <si>
    <t>10745</t>
  </si>
  <si>
    <t>[舰攻][11雷][对潜][命中/终伤][限3]BR.1050“贸易风”</t>
  </si>
  <si>
    <t>007,008</t>
  </si>
  <si>
    <t>0.15,0.2</t>
  </si>
  <si>
    <t>增加15%命中率和20%伤害</t>
  </si>
  <si>
    <t>{hit_rate:0.15;final_damage_buff:0.2}</t>
  </si>
  <si>
    <t>10747</t>
  </si>
  <si>
    <t>[鱼雷][15雷4闪][限1]五联鱼雷发射器（53-65）</t>
  </si>
  <si>
    <t>747</t>
  </si>
  <si>
    <t>S国舰船装备时增加20%暴击率和10%攻击威力</t>
  </si>
  <si>
    <t>Country(S,{crit:0.2});Country(S,{power_buff:0.1})</t>
  </si>
  <si>
    <t>10748</t>
  </si>
  <si>
    <t>[潜用鱼雷][16雷7闪][限1]SAET-60鱼雷（潜射）</t>
  </si>
  <si>
    <t>023,009</t>
  </si>
  <si>
    <t>0.1,0.15</t>
  </si>
  <si>
    <t>增加10%暴击率和15%攻击威力</t>
  </si>
  <si>
    <t>{crit:0.1;power_buff:0.15}</t>
  </si>
  <si>
    <t>10749</t>
  </si>
  <si>
    <t>[水爆][14轰][命中/终伤][限1]青-6水上飞机</t>
  </si>
  <si>
    <t>0.2,0.1</t>
  </si>
  <si>
    <t>增加20%命中率和10%伤害</t>
  </si>
  <si>
    <t>{hit_rate:0.2;final_damage_buff:0.1}</t>
  </si>
  <si>
    <t>10750</t>
  </si>
  <si>
    <t>[舰攻][15雷][萨拉托加][威力][限4]TBF(VT-8)</t>
  </si>
  <si>
    <t>750</t>
  </si>
  <si>
    <t>航空战阶段增加8%鱼雷机攻击威力，萨拉托加装备时额外增加12%攻击威力</t>
  </si>
  <si>
    <t>air_dive_atk_buff:0.08;Cid(030,{power_buff:0.12})</t>
  </si>
  <si>
    <t>10751</t>
  </si>
  <si>
    <t>[导弹][S国][限4]“白蛉”反舰导弹</t>
  </si>
  <si>
    <t>751</t>
  </si>
  <si>
    <t>增加15%护甲穿透(同类弹药效果只生效一个)，S国舰船装备时战斗中额外增加5%护甲穿透</t>
  </si>
  <si>
    <t>pierce_coef:0.15;Country(S,{pierce_coef:0.05,stack})</t>
  </si>
  <si>
    <t>10752</t>
  </si>
  <si>
    <t>[部件]“晴岚”攻击机(潜特）</t>
  </si>
  <si>
    <t>10753</t>
  </si>
  <si>
    <t>[防导][14火25拦][考文垂]“海标枪”GWS30导弹</t>
  </si>
  <si>
    <t>753</t>
  </si>
  <si>
    <t>考文垂装备时额外增加10%护甲穿透</t>
  </si>
  <si>
    <t>Cid(640,{pierce_coef:0.15,stack})</t>
  </si>
  <si>
    <t>10754</t>
  </si>
  <si>
    <t>[发射/防][考文垂]“海标枪”导弹发射器</t>
  </si>
  <si>
    <t>754</t>
  </si>
  <si>
    <t>考文垂装备时增加10%暴击率和回避率</t>
  </si>
  <si>
    <t>Cid(640,{crit:0.1});Cid(640,{miss_rate:0.1})</t>
  </si>
  <si>
    <t>10755</t>
  </si>
  <si>
    <t>[轻巡主炮][长程][13火5命13空][限1]MK.16三联8英寸自动炮（制导炮弹）</t>
  </si>
  <si>
    <t>提高10%暴击率和回避率</t>
  </si>
  <si>
    <t>{crit:0.1;miss_rate:0.1}</t>
  </si>
  <si>
    <t>10756</t>
  </si>
  <si>
    <t>[舰攻][8雷][对潜][E国][终伤/命中][限1]P.139B</t>
  </si>
  <si>
    <t>E国舰船装备时提高20%伤害和10%命中率</t>
  </si>
  <si>
    <t>Country(E,{final_damage_buff:0.2;hit_rate:0.1})</t>
  </si>
  <si>
    <t>10757</t>
  </si>
  <si>
    <t>[部件][长程][对潜][限1]山猫HAS.MK.2直升机</t>
  </si>
  <si>
    <t>提高10%命中率</t>
  </si>
  <si>
    <t>10758</t>
  </si>
  <si>
    <t>[舰攻][16雷][S国][穿甲/终伤][限1]伊尔-28T</t>
  </si>
  <si>
    <t>S国舰船装备时增加20%护甲穿透和20%伤害</t>
  </si>
  <si>
    <t>Country(S,{pierce_coef:0.2,stack;final_damage_buff:0.2})</t>
  </si>
  <si>
    <t>10759</t>
  </si>
  <si>
    <t>[炮弹][上限/穿甲][限3]18英寸超重穿甲弹</t>
  </si>
  <si>
    <t>炮击战阶段增加30%攻击上限（同类弹药效果只会生效一个）；增加25%护甲穿透</t>
  </si>
  <si>
    <t>{uplimit_buff:0.3;pierce_coef:0.25,stack}</t>
  </si>
  <si>
    <t>10760</t>
  </si>
  <si>
    <t>[防导][14火29拦][限4]“飓风”防空导弹</t>
  </si>
  <si>
    <t>小型船增加10%护甲穿透（同类弹药效果只会生效一个）</t>
  </si>
  <si>
    <t>ShipType(SmallShip,{pierce_coef:0.1})</t>
  </si>
  <si>
    <t>10761</t>
  </si>
  <si>
    <t>[鱼雷][声纳雷][12雷][限1]550毫米三联鱼雷发射器</t>
  </si>
  <si>
    <t>F国舰船装备时提高20%伤害</t>
  </si>
  <si>
    <t>Country(F,{final_damage_buff:0.2})</t>
  </si>
  <si>
    <t>10762</t>
  </si>
  <si>
    <t>[重巡主炮][长程][14火1命][限1]三联12英寸主炮</t>
  </si>
  <si>
    <t>中型船装备时提高30%伤害</t>
  </si>
  <si>
    <t>ShipType(MidShip,{final_damage_buff:0.3})</t>
  </si>
  <si>
    <t>10763</t>
  </si>
  <si>
    <t>[水爆][18轰][S国][命中/终伤][限1]别-10</t>
  </si>
  <si>
    <t>S国舰船装备时增加20%命中率和10%伤害</t>
  </si>
  <si>
    <t>Country(S,{hit_rate:0.2;final_damage_buff:0.1})</t>
  </si>
  <si>
    <t>10764</t>
  </si>
  <si>
    <t>[舰爆][13轰][S国][威力/制空][限1]伊尔-2(白100号音乐家)</t>
  </si>
  <si>
    <t>S国舰船装备时增加25%攻击威力和40点制空值</t>
  </si>
  <si>
    <t>Country(S,{power_buff:0.25;air_ctrl_buff:40})</t>
  </si>
  <si>
    <t>10765</t>
  </si>
  <si>
    <t>[舰爆][17轰][埃塞克斯][威力]A4D(CVA09)</t>
  </si>
  <si>
    <t>埃塞克斯装备时增加12%攻击威力</t>
  </si>
  <si>
    <t>Cid(226,{power_buff:0.12})</t>
  </si>
  <si>
    <t>10766</t>
  </si>
  <si>
    <t>[发射/防][密西西比]“小猎犬”导弹发射器(测试)</t>
  </si>
  <si>
    <t>密西西比装备时提高5%暴击率</t>
  </si>
  <si>
    <t>Cid(602,{crit:0.05})</t>
  </si>
  <si>
    <t>10767</t>
  </si>
  <si>
    <t>[防导][布里斯托尔]“海标枪”防空导弹</t>
  </si>
  <si>
    <t>布里斯托尔装备时战斗中额外增加15%护甲穿透</t>
  </si>
  <si>
    <t>Cid(656,{pierce_coef:0.15,stack})</t>
  </si>
  <si>
    <t>10768</t>
  </si>
  <si>
    <t>[发射/防][布里斯托尔]“海标枪”导弹发射器(82)</t>
  </si>
  <si>
    <t>布里斯托尔装备时提高10%暴击率和回避率</t>
  </si>
  <si>
    <t>Cid(656,{crit:0.1});Cid(656,{miss_rate:0.1})</t>
  </si>
  <si>
    <t>10769</t>
  </si>
  <si>
    <t>[重巡主炮][长程][13火1命][E国][限1]三联9.2英寸主炮</t>
  </si>
  <si>
    <t>E国中型船装备时增加10%命中率和20%攻击威力</t>
  </si>
  <si>
    <t>Country(E,ShipType(MidShip,{hit_rate:0.1;power_buff:0.2}))</t>
  </si>
  <si>
    <t>10770</t>
  </si>
  <si>
    <t>[战列主炮][长程][28火][战巡][限1]三联18英寸主炮（I）</t>
  </si>
  <si>
    <t>战巡装备时增加10%命中率和25%伤害</t>
  </si>
  <si>
    <t>ShipType(BC,{hit_rate:0.1;final_damage_buff:0.25})</t>
  </si>
  <si>
    <t>10771</t>
  </si>
  <si>
    <t>[重巡主炮][长程][14火][G国][限1]三联305毫米主炮</t>
  </si>
  <si>
    <t>G国中型船装备时增加25%攻击威力</t>
  </si>
  <si>
    <t>Country(G,ShipType(MidShip,{power_buff:0.25}))</t>
  </si>
  <si>
    <t>10772</t>
  </si>
  <si>
    <t>[舰战][22空][限1]“鬼怪”FG.1战斗机</t>
  </si>
  <si>
    <t>等级</t>
  </si>
  <si>
    <t>装备1</t>
  </si>
  <si>
    <t>装备2</t>
  </si>
  <si>
    <t>装备3</t>
  </si>
  <si>
    <t>装备4</t>
  </si>
  <si>
    <t>备注</t>
  </si>
  <si>
    <t>00000</t>
  </si>
  <si>
    <t>测试靶舰</t>
  </si>
  <si>
    <t>Enemy</t>
  </si>
  <si>
    <t>对海雷达Ⅱ型</t>
  </si>
  <si>
    <t>00001</t>
  </si>
  <si>
    <t>驱逐Α级Ⅰ型</t>
  </si>
  <si>
    <t>小型单装炮</t>
  </si>
  <si>
    <t>00002</t>
  </si>
  <si>
    <t>驱逐Α级Ⅱ型</t>
  </si>
  <si>
    <t>大型鱼雷Ⅱ型</t>
  </si>
  <si>
    <t>00003</t>
  </si>
  <si>
    <t>驱逐Α级Ⅲ型</t>
  </si>
  <si>
    <t>对空雷达Ⅱ型</t>
  </si>
  <si>
    <t>深海声纳Ⅰ型</t>
  </si>
  <si>
    <t>深海深弹投射器Ⅰ型</t>
  </si>
  <si>
    <t>00004</t>
  </si>
  <si>
    <t>驱逐Α级Ⅳ型</t>
  </si>
  <si>
    <t>对空雷达Ⅲ型</t>
  </si>
  <si>
    <t>深海声纳Ⅱ型</t>
  </si>
  <si>
    <t>00005</t>
  </si>
  <si>
    <t>驱逐Δ级Ⅰ型</t>
  </si>
  <si>
    <t>小型连装炮</t>
  </si>
  <si>
    <t>大型鱼雷Ⅰ型</t>
  </si>
  <si>
    <t>00006</t>
  </si>
  <si>
    <t>驱逐Δ级Ⅱ型</t>
  </si>
  <si>
    <t>大型鱼雷Ⅲ型</t>
  </si>
  <si>
    <t>00007</t>
  </si>
  <si>
    <t>驱逐Δ级Ⅲ型</t>
  </si>
  <si>
    <t>00008</t>
  </si>
  <si>
    <t>驱逐Γ级Ⅰ型</t>
  </si>
  <si>
    <t>00009</t>
  </si>
  <si>
    <t>驱逐Γ级Ⅱ型</t>
  </si>
  <si>
    <t>00010</t>
  </si>
  <si>
    <t>驱逐Γ级Ⅲ型</t>
  </si>
  <si>
    <t>00011</t>
  </si>
  <si>
    <t>驱逐Γ级Ⅳ型</t>
  </si>
  <si>
    <t>00012</t>
  </si>
  <si>
    <t>驱逐Β级Ⅰ型</t>
  </si>
  <si>
    <t>00013</t>
  </si>
  <si>
    <t>驱逐Β级Ⅱ型</t>
  </si>
  <si>
    <t>00014</t>
  </si>
  <si>
    <t>驱逐Β级Ⅲ型</t>
  </si>
  <si>
    <t>00015</t>
  </si>
  <si>
    <t>驱逐Β级Ⅳ型</t>
  </si>
  <si>
    <t>00016</t>
  </si>
  <si>
    <t>航母Ο级Ⅰ型</t>
  </si>
  <si>
    <t>深海战斗机Ⅰ型</t>
  </si>
  <si>
    <t>深海轰炸机Ⅰ型</t>
  </si>
  <si>
    <t>深海鱼雷机Ⅰ型</t>
  </si>
  <si>
    <t>00017</t>
  </si>
  <si>
    <t>航母Ο级Ⅱ型</t>
  </si>
  <si>
    <t>深海战斗机Ⅱ型</t>
  </si>
  <si>
    <t>深海鱼雷机Ⅱ型</t>
  </si>
  <si>
    <t>深海轰炸机Ⅱ型</t>
  </si>
  <si>
    <t>00018</t>
  </si>
  <si>
    <t>航母Ο级Ⅲ型</t>
  </si>
  <si>
    <t>00019</t>
  </si>
  <si>
    <t>航母Ο级Ⅳ型</t>
  </si>
  <si>
    <t>深海战斗机Ⅲ型</t>
  </si>
  <si>
    <t>00020</t>
  </si>
  <si>
    <t>轻巡Η级Ⅰ型</t>
  </si>
  <si>
    <t>中型连装炮</t>
  </si>
  <si>
    <t>深海侦察机</t>
  </si>
  <si>
    <t>00021</t>
  </si>
  <si>
    <t>轻巡Η级Ⅱ型</t>
  </si>
  <si>
    <t>00022</t>
  </si>
  <si>
    <t>轻巡Η级Ⅲ型</t>
  </si>
  <si>
    <t>00023</t>
  </si>
  <si>
    <t>轻巡Ζ级Ⅰ型</t>
  </si>
  <si>
    <t>00024</t>
  </si>
  <si>
    <t>轻巡Ζ级Ⅱ型</t>
  </si>
  <si>
    <t>00025</t>
  </si>
  <si>
    <t>轻巡Ζ级Ⅲ型</t>
  </si>
  <si>
    <t>00026</t>
  </si>
  <si>
    <t>轻巡Ζ级Ⅳ型</t>
  </si>
  <si>
    <t>00027</t>
  </si>
  <si>
    <t>轻巡Ε级Ⅰ型</t>
  </si>
  <si>
    <t>小型连装高射炮</t>
  </si>
  <si>
    <t>00028</t>
  </si>
  <si>
    <t>轻巡Ε级Ⅱ型</t>
  </si>
  <si>
    <t>00029</t>
  </si>
  <si>
    <t>轻巡Ε级Ⅲ型</t>
  </si>
  <si>
    <t>00030</t>
  </si>
  <si>
    <t>轻巡Ε级Ⅳ型</t>
  </si>
  <si>
    <t>00031</t>
  </si>
  <si>
    <t>轻母Ξ级Ⅰ型</t>
  </si>
  <si>
    <t>00032</t>
  </si>
  <si>
    <t>轻母Ξ级Ⅱ型</t>
  </si>
  <si>
    <t>00033</t>
  </si>
  <si>
    <t>轻母Ξ级Ⅲ型</t>
  </si>
  <si>
    <t>00034</t>
  </si>
  <si>
    <t>轻母Ξ级Ⅳ型</t>
  </si>
  <si>
    <t>00035</t>
  </si>
  <si>
    <t>重巡Ι级Ⅰ型</t>
  </si>
  <si>
    <t>中型单装炮</t>
  </si>
  <si>
    <t>00036</t>
  </si>
  <si>
    <t>重巡Ι级Ⅱ型</t>
  </si>
  <si>
    <t>00037</t>
  </si>
  <si>
    <t>重巡Ι级Ⅲ型</t>
  </si>
  <si>
    <t>00038</t>
  </si>
  <si>
    <t>重巡Ι级Ⅳ型</t>
  </si>
  <si>
    <t>深海高速侦察机</t>
  </si>
  <si>
    <t>00039</t>
  </si>
  <si>
    <t>战列Μ级Ⅰ型</t>
  </si>
  <si>
    <t>大型连装炮</t>
  </si>
  <si>
    <t>大型副炮</t>
  </si>
  <si>
    <t>00040</t>
  </si>
  <si>
    <t>战列Μ级Ⅱ型</t>
  </si>
  <si>
    <t>大型三连装炮</t>
  </si>
  <si>
    <t>00041</t>
  </si>
  <si>
    <t>战列Μ级Ⅲ型</t>
  </si>
  <si>
    <t>00042</t>
  </si>
  <si>
    <t>战列Μ级Ⅳ型</t>
  </si>
  <si>
    <t>00043</t>
  </si>
  <si>
    <t>战列Λ级Ⅰ型</t>
  </si>
  <si>
    <t>00044</t>
  </si>
  <si>
    <t>战列Λ级Ⅱ型</t>
  </si>
  <si>
    <t>00045</t>
  </si>
  <si>
    <t>战列Λ级Ⅲ型</t>
  </si>
  <si>
    <t>00046</t>
  </si>
  <si>
    <t>战列Λ级Ⅳ型</t>
  </si>
  <si>
    <t>00047</t>
  </si>
  <si>
    <t>Elite</t>
  </si>
  <si>
    <t>旗舰Ν级Ⅰ型</t>
  </si>
  <si>
    <t>深海高速轰炸机</t>
  </si>
  <si>
    <t>00048</t>
  </si>
  <si>
    <t>旗舰Ν级Ⅱ型</t>
  </si>
  <si>
    <t>00049</t>
  </si>
  <si>
    <t>旗舰Ν级Ⅲ型</t>
  </si>
  <si>
    <t>00050</t>
  </si>
  <si>
    <t>潜艇Π级Ⅰ型</t>
  </si>
  <si>
    <t>00051</t>
  </si>
  <si>
    <t>潜艇Π级Ⅱ型</t>
  </si>
  <si>
    <t>00052</t>
  </si>
  <si>
    <t>潜艇Π级Ⅲ型</t>
  </si>
  <si>
    <t>00053</t>
  </si>
  <si>
    <t>潜艇Π级Ⅳ型</t>
  </si>
  <si>
    <t>00054</t>
  </si>
  <si>
    <t>潜艇Σ级Ⅰ型</t>
  </si>
  <si>
    <t>小型单装高射炮</t>
  </si>
  <si>
    <t>00055</t>
  </si>
  <si>
    <t>潜艇Σ级Ⅱ型</t>
  </si>
  <si>
    <t>00056</t>
  </si>
  <si>
    <t>潜艇Σ级Ⅲ型</t>
  </si>
  <si>
    <t>00057</t>
  </si>
  <si>
    <t>潜艇Ρ级Ⅰ型</t>
  </si>
  <si>
    <t>00058</t>
  </si>
  <si>
    <t>潜艇Ρ级Ⅱ型</t>
  </si>
  <si>
    <t>00059</t>
  </si>
  <si>
    <t>潜艇Ρ级Ⅲ型</t>
  </si>
  <si>
    <t>00060</t>
  </si>
  <si>
    <t>潜艇Ρ级Ⅳ型</t>
  </si>
  <si>
    <t>00061</t>
  </si>
  <si>
    <t>CLT0</t>
  </si>
  <si>
    <t>雷巡Θ级Ⅰ型</t>
  </si>
  <si>
    <t>00062</t>
  </si>
  <si>
    <t>雷巡Θ级Ⅱ型</t>
  </si>
  <si>
    <t>00063</t>
  </si>
  <si>
    <t>雷巡Θ级Ⅲ型</t>
  </si>
  <si>
    <t>00064</t>
  </si>
  <si>
    <t>雷巡Θ级Ⅳ型</t>
  </si>
  <si>
    <t>00065</t>
  </si>
  <si>
    <t>战巡Κ级Ⅰ型</t>
  </si>
  <si>
    <t>00066</t>
  </si>
  <si>
    <t>战巡Κ级Ⅱ型</t>
  </si>
  <si>
    <t>00067</t>
  </si>
  <si>
    <t>战巡Κ级Ⅲ型</t>
  </si>
  <si>
    <t>00068</t>
  </si>
  <si>
    <t>战巡Κ级Ⅳ型</t>
  </si>
  <si>
    <t>00069</t>
  </si>
  <si>
    <t>补给Υ级Ⅰ型</t>
  </si>
  <si>
    <t>00070</t>
  </si>
  <si>
    <t>补给Υ级Ⅱ型</t>
  </si>
  <si>
    <t>00071</t>
  </si>
  <si>
    <t>补给Υ级Ⅲ型</t>
  </si>
  <si>
    <t>00072</t>
  </si>
  <si>
    <t>补给Υ级Ⅳ型</t>
  </si>
  <si>
    <t>00073</t>
  </si>
  <si>
    <t>驱逐Τ级Ⅰ型</t>
  </si>
  <si>
    <t>00074</t>
  </si>
  <si>
    <t>驱逐Τ级Ⅱ型</t>
  </si>
  <si>
    <t>00075</t>
  </si>
  <si>
    <t>驱逐Τ级Ⅲ型</t>
  </si>
  <si>
    <t>深海高速鱼雷</t>
  </si>
  <si>
    <t>深海深弹投射器Ⅱ型</t>
  </si>
  <si>
    <t>00076</t>
  </si>
  <si>
    <t>驱逐Τ级Ⅳ型</t>
  </si>
  <si>
    <t>对海雷达Ⅲ型</t>
  </si>
  <si>
    <t>00077</t>
  </si>
  <si>
    <t>潜艇Φ级Ⅰ型</t>
  </si>
  <si>
    <t>00078</t>
  </si>
  <si>
    <t>潜艇Φ级Ⅱ型</t>
  </si>
  <si>
    <t>00079</t>
  </si>
  <si>
    <t>潜艇Φ级Ⅲ型</t>
  </si>
  <si>
    <t>00080</t>
  </si>
  <si>
    <t>潜艇Φ级Ⅳ型</t>
  </si>
  <si>
    <t>00081</t>
  </si>
  <si>
    <t>航母Χ级Ⅰ型</t>
  </si>
  <si>
    <t>00082</t>
  </si>
  <si>
    <t>航母Χ级Ⅱ型</t>
  </si>
  <si>
    <t>00083</t>
  </si>
  <si>
    <t>航母Χ级Ⅲ型</t>
  </si>
  <si>
    <t>00084</t>
  </si>
  <si>
    <t>航母Χ级Ⅳ型</t>
  </si>
  <si>
    <t>00085</t>
  </si>
  <si>
    <t>战列Ψ级Ⅰ型</t>
  </si>
  <si>
    <t>00086</t>
  </si>
  <si>
    <t>战列Ψ级Ⅱ型</t>
  </si>
  <si>
    <t>00087</t>
  </si>
  <si>
    <t>战列Ψ级Ⅲ型</t>
  </si>
  <si>
    <t>00088</t>
  </si>
  <si>
    <t>战列Ψ级Ⅳ型</t>
  </si>
  <si>
    <t>00089</t>
  </si>
  <si>
    <t>重巡Ω级Ⅰ型</t>
  </si>
  <si>
    <t>00090</t>
  </si>
  <si>
    <t>重巡Ω级Ⅱ型</t>
  </si>
  <si>
    <t>00091</t>
  </si>
  <si>
    <t>重巡Ω级Ⅲ型</t>
  </si>
  <si>
    <t>00092</t>
  </si>
  <si>
    <t>重巡Ω级Ⅳ型</t>
  </si>
  <si>
    <t>00093</t>
  </si>
  <si>
    <t>轻巡ei级Ⅰ型</t>
  </si>
  <si>
    <t>00094</t>
  </si>
  <si>
    <t>轻巡ei级Ⅱ型</t>
  </si>
  <si>
    <t>00095</t>
  </si>
  <si>
    <t>轻巡ei级Ⅲ型</t>
  </si>
  <si>
    <t>00096</t>
  </si>
  <si>
    <t>轻巡ei级Ⅳ型</t>
  </si>
  <si>
    <t>00097</t>
  </si>
  <si>
    <t>BBV0</t>
  </si>
  <si>
    <t>Sükhbaatar</t>
  </si>
  <si>
    <t>深海高速战斗机</t>
  </si>
  <si>
    <t>深海鱼雷机Ⅲ型</t>
  </si>
  <si>
    <t>不屈Lv1</t>
  </si>
  <si>
    <t>00098</t>
  </si>
  <si>
    <t>Odin</t>
  </si>
  <si>
    <t>00099</t>
  </si>
  <si>
    <t>Vestal</t>
  </si>
  <si>
    <t>00100</t>
  </si>
  <si>
    <t>导驱au级Ⅰ型</t>
  </si>
  <si>
    <t>上游-1发射器</t>
  </si>
  <si>
    <t>上游-1导弹</t>
  </si>
  <si>
    <t>00101</t>
  </si>
  <si>
    <t>导驱au级Ⅱ型</t>
  </si>
  <si>
    <t>00102</t>
  </si>
  <si>
    <t>导驱au级Ⅲ型</t>
  </si>
  <si>
    <t>00103</t>
  </si>
  <si>
    <t>导驱au级Ⅳ型</t>
  </si>
  <si>
    <t>00104</t>
  </si>
  <si>
    <t>迷路的补给舰</t>
  </si>
  <si>
    <t>战利品活动3号位</t>
  </si>
  <si>
    <t>00105</t>
  </si>
  <si>
    <t>伪装的运输舰</t>
  </si>
  <si>
    <t>战利品活动任务点</t>
  </si>
  <si>
    <t>00109</t>
  </si>
  <si>
    <t>Zeppelin</t>
  </si>
  <si>
    <t>7-5boss点</t>
  </si>
  <si>
    <t>00110</t>
  </si>
  <si>
    <t>Scharnhorst</t>
  </si>
  <si>
    <t>00111</t>
  </si>
  <si>
    <t>Gneisenau</t>
  </si>
  <si>
    <t>00112</t>
  </si>
  <si>
    <t>Dresden</t>
  </si>
  <si>
    <t>00113</t>
  </si>
  <si>
    <t>Leipzig</t>
  </si>
  <si>
    <t>00114</t>
  </si>
  <si>
    <t>Emden</t>
  </si>
  <si>
    <t>00200</t>
  </si>
  <si>
    <t>防驱be级Ⅰ型</t>
  </si>
  <si>
    <t>MK-10导弹发射器</t>
  </si>
  <si>
    <t>小猎犬导弹</t>
  </si>
  <si>
    <t>00201</t>
  </si>
  <si>
    <t>防驱be级Ⅱ型</t>
  </si>
  <si>
    <t>00202</t>
  </si>
  <si>
    <t>防驱be级Ⅲ型</t>
  </si>
  <si>
    <t>00203</t>
  </si>
  <si>
    <t>防驱be级Ⅳ型</t>
  </si>
  <si>
    <t>00205</t>
  </si>
  <si>
    <t>大巡ce级Ⅱ型</t>
  </si>
  <si>
    <t>MK13导弹发射系统</t>
  </si>
  <si>
    <t>黄铜骑士H</t>
  </si>
  <si>
    <t>00206</t>
  </si>
  <si>
    <t>大巡ce级Ⅲ型</t>
  </si>
  <si>
    <t>00207</t>
  </si>
  <si>
    <t>大巡ce级Ⅳ型</t>
  </si>
  <si>
    <t>00208</t>
  </si>
  <si>
    <t>导战de级Ⅰ型</t>
  </si>
  <si>
    <t>СМ-59-1发射架</t>
  </si>
  <si>
    <t>“狗鱼”反舰导弹</t>
  </si>
  <si>
    <t>00209</t>
  </si>
  <si>
    <t>导战de级Ⅱ型</t>
  </si>
  <si>
    <t>00210</t>
  </si>
  <si>
    <t>导战de级Ⅲ型</t>
  </si>
  <si>
    <t>00211</t>
  </si>
  <si>
    <t>导战de级Ⅳ型</t>
  </si>
  <si>
    <t>00212</t>
  </si>
  <si>
    <t>Fortness</t>
  </si>
  <si>
    <t>Sub-A</t>
  </si>
  <si>
    <t>9-5boss点</t>
  </si>
  <si>
    <t>00301</t>
  </si>
  <si>
    <t>Angello Vaalmonica</t>
  </si>
  <si>
    <t>金猫猫战列</t>
  </si>
  <si>
    <t>00302</t>
  </si>
  <si>
    <t>Dimonno Vaalmonica</t>
  </si>
  <si>
    <t>金猫猫雷巡</t>
  </si>
  <si>
    <t>01001</t>
  </si>
  <si>
    <t>G国双联406毫米炮</t>
  </si>
  <si>
    <t>G国双联150毫米炮</t>
  </si>
  <si>
    <t>AR-196水上侦察机</t>
  </si>
  <si>
    <t>01002</t>
  </si>
  <si>
    <t>Pachina</t>
  </si>
  <si>
    <t>“TALIEDO STIPA”</t>
  </si>
  <si>
    <t>01003</t>
  </si>
  <si>
    <t>Blücher</t>
  </si>
  <si>
    <t>01004</t>
  </si>
  <si>
    <t>Lützow</t>
  </si>
  <si>
    <t>01011</t>
  </si>
  <si>
    <t>Tirpitz</t>
  </si>
  <si>
    <t>特遣作战极昼突袭</t>
  </si>
  <si>
    <t>01012</t>
  </si>
  <si>
    <t>Bismarck</t>
  </si>
  <si>
    <t>01013</t>
  </si>
  <si>
    <t>Leopold(K5)</t>
  </si>
  <si>
    <t>B-25</t>
  </si>
  <si>
    <t>01014</t>
  </si>
  <si>
    <t>Hindenburg</t>
  </si>
  <si>
    <t>01015</t>
  </si>
  <si>
    <t>G国双联533毫米炮</t>
  </si>
  <si>
    <t>附加装甲(大型)</t>
  </si>
  <si>
    <t>改良型动力系统</t>
  </si>
  <si>
    <t>01016</t>
  </si>
  <si>
    <t>Barbarossa</t>
  </si>
  <si>
    <t>01021</t>
  </si>
  <si>
    <t>炮火弧线防御作战</t>
  </si>
  <si>
    <t>01022</t>
  </si>
  <si>
    <t>Wallenstein</t>
  </si>
  <si>
    <t>01023</t>
  </si>
  <si>
    <t>Prinz Eitel Friedric</t>
  </si>
  <si>
    <t>01024</t>
  </si>
  <si>
    <t>S113</t>
  </si>
  <si>
    <t>01031</t>
  </si>
  <si>
    <t>Taiho</t>
  </si>
  <si>
    <t>大洋奇遇记</t>
  </si>
  <si>
    <t>01032</t>
  </si>
  <si>
    <t>Airfield</t>
  </si>
  <si>
    <t>X. Fliegerkorps</t>
  </si>
  <si>
    <t>01033</t>
  </si>
  <si>
    <t>Cyou-yamato</t>
  </si>
  <si>
    <t>J国46厘米三连装炮</t>
  </si>
  <si>
    <t>标准型对海雷达</t>
  </si>
  <si>
    <t>01034</t>
  </si>
  <si>
    <t>Musashi</t>
  </si>
  <si>
    <t>先进型对空雷达</t>
  </si>
  <si>
    <t>01035</t>
  </si>
  <si>
    <t>Zumwalt</t>
  </si>
  <si>
    <t>01036</t>
  </si>
  <si>
    <t>SouthDakota</t>
  </si>
  <si>
    <t>U国三联16英寸炮(MK6)</t>
  </si>
  <si>
    <t>延时引信防空炮弹</t>
  </si>
  <si>
    <t>OS2U-3翠鸟</t>
  </si>
  <si>
    <t>01041</t>
  </si>
  <si>
    <t>舰队问答大洋接力赛</t>
  </si>
  <si>
    <t>01042</t>
  </si>
  <si>
    <t>Peter Strasser</t>
  </si>
  <si>
    <t>彗星</t>
  </si>
  <si>
    <t>烈风</t>
  </si>
  <si>
    <t>01043</t>
  </si>
  <si>
    <t>01044</t>
  </si>
  <si>
    <t>000061</t>
  </si>
  <si>
    <t>01045</t>
  </si>
  <si>
    <t>Prinz Eugen</t>
  </si>
  <si>
    <t>01046</t>
  </si>
  <si>
    <t>U-99</t>
  </si>
  <si>
    <t>01047</t>
  </si>
  <si>
    <t>010471</t>
  </si>
  <si>
    <t>巡弋作战炽热星辰</t>
  </si>
  <si>
    <t>01048</t>
  </si>
  <si>
    <t>Yamato</t>
  </si>
  <si>
    <t>01049</t>
  </si>
  <si>
    <t>01050</t>
  </si>
  <si>
    <t>01051</t>
  </si>
  <si>
    <t>Cyou-Yamato</t>
  </si>
  <si>
    <t>01052</t>
  </si>
  <si>
    <t>Akagi&amp;Kaga</t>
  </si>
  <si>
    <t>BTD-1毁灭者</t>
  </si>
  <si>
    <t>01053</t>
  </si>
  <si>
    <t>01054</t>
  </si>
  <si>
    <t>13 Class Battleship</t>
  </si>
  <si>
    <t>01055</t>
  </si>
  <si>
    <t>航母标靶舰队</t>
  </si>
  <si>
    <t>01056</t>
  </si>
  <si>
    <t>01057</t>
  </si>
  <si>
    <t>01058</t>
  </si>
  <si>
    <t>01059</t>
  </si>
  <si>
    <t>01060</t>
  </si>
  <si>
    <t>01061</t>
  </si>
  <si>
    <t>扶摇</t>
  </si>
  <si>
    <t>C国生存标靶</t>
  </si>
  <si>
    <t>01062</t>
  </si>
  <si>
    <t>01063</t>
  </si>
  <si>
    <t>01064</t>
  </si>
  <si>
    <t>01065</t>
  </si>
  <si>
    <t>01066</t>
  </si>
  <si>
    <t>01070</t>
  </si>
  <si>
    <t>01071</t>
  </si>
  <si>
    <t>航母标靶舰队2</t>
  </si>
  <si>
    <t>01072</t>
  </si>
  <si>
    <t>01073</t>
  </si>
  <si>
    <t>01074</t>
  </si>
  <si>
    <t>Oni Samurai</t>
  </si>
  <si>
    <t>01075</t>
  </si>
  <si>
    <t>01076</t>
  </si>
  <si>
    <t>Kamikaze</t>
  </si>
  <si>
    <t>景云改</t>
  </si>
  <si>
    <t>海毒牙</t>
  </si>
  <si>
    <t>勇往直前E7</t>
  </si>
  <si>
    <t>01077</t>
  </si>
  <si>
    <t>Chiyoda</t>
  </si>
  <si>
    <t>01078</t>
  </si>
  <si>
    <t>Kongo</t>
  </si>
  <si>
    <t>01079</t>
  </si>
  <si>
    <t>Kinugasa</t>
  </si>
  <si>
    <t>01080</t>
  </si>
  <si>
    <t>Furutaka</t>
  </si>
  <si>
    <t>01081</t>
  </si>
  <si>
    <t>I-17</t>
  </si>
  <si>
    <t>01082</t>
  </si>
  <si>
    <t>Abyss Yamato</t>
  </si>
  <si>
    <t>勇往直前E12</t>
  </si>
  <si>
    <t>01083</t>
  </si>
  <si>
    <t>01084</t>
  </si>
  <si>
    <t>01085</t>
  </si>
  <si>
    <t>Kamikase</t>
  </si>
  <si>
    <t>01086</t>
  </si>
  <si>
    <t>01087</t>
  </si>
  <si>
    <t>01088</t>
  </si>
  <si>
    <t>BB-37</t>
  </si>
  <si>
    <t>地峡之岚E10N</t>
  </si>
  <si>
    <t>01089</t>
  </si>
  <si>
    <t>BB-36</t>
  </si>
  <si>
    <t>01090</t>
  </si>
  <si>
    <t>BB-31</t>
  </si>
  <si>
    <t>01091</t>
  </si>
  <si>
    <t>BB-30</t>
  </si>
  <si>
    <t>01092</t>
  </si>
  <si>
    <t>T4M</t>
  </si>
  <si>
    <t>01093</t>
  </si>
  <si>
    <t>ACR-10</t>
  </si>
  <si>
    <t>01094</t>
  </si>
  <si>
    <t>美洲狮式战斗机</t>
  </si>
  <si>
    <t>B-25(杜立特队)</t>
  </si>
  <si>
    <t>漫长的胜利E9M</t>
  </si>
  <si>
    <t>01095</t>
  </si>
  <si>
    <t>Shōkaku</t>
  </si>
  <si>
    <t>01096</t>
  </si>
  <si>
    <t>Zuikaku</t>
  </si>
  <si>
    <t>01097</t>
  </si>
  <si>
    <t>Shinano</t>
  </si>
  <si>
    <t>01098</t>
  </si>
  <si>
    <t>B-65</t>
  </si>
  <si>
    <t>01099</t>
  </si>
  <si>
    <t>刺猬弹深弹投射器</t>
  </si>
  <si>
    <t>改良型声纳</t>
  </si>
  <si>
    <t>01100</t>
  </si>
  <si>
    <t>111</t>
  </si>
  <si>
    <t>漫长的胜利E11P</t>
  </si>
  <si>
    <t>01101</t>
  </si>
  <si>
    <t>Osaki</t>
  </si>
  <si>
    <t>01102</t>
  </si>
  <si>
    <t>01103</t>
  </si>
  <si>
    <t>01104</t>
  </si>
  <si>
    <t>Ushio</t>
  </si>
  <si>
    <t>01105</t>
  </si>
  <si>
    <t>01106</t>
  </si>
  <si>
    <t>Kukulkan</t>
  </si>
  <si>
    <t>漫长的胜利E12Q</t>
  </si>
  <si>
    <t>01107</t>
  </si>
  <si>
    <t>01108</t>
  </si>
  <si>
    <t>01109</t>
  </si>
  <si>
    <t>01110</t>
  </si>
  <si>
    <t>01111</t>
  </si>
  <si>
    <t>01112</t>
  </si>
  <si>
    <t>航母标靶舰队3</t>
  </si>
  <si>
    <t>01113</t>
  </si>
  <si>
    <t>01114</t>
  </si>
  <si>
    <t>01115</t>
  </si>
  <si>
    <t>01116</t>
  </si>
  <si>
    <t>01117</t>
  </si>
  <si>
    <t>01118</t>
  </si>
  <si>
    <t>09111</t>
  </si>
  <si>
    <t>Georg Thiele</t>
  </si>
  <si>
    <t>09112</t>
  </si>
  <si>
    <t>Wolfgang Zenker</t>
  </si>
  <si>
    <t>09113</t>
  </si>
  <si>
    <t>Bernd von Arnim</t>
  </si>
  <si>
    <t>09114</t>
  </si>
  <si>
    <t>Erich Giese</t>
  </si>
  <si>
    <t>09115</t>
  </si>
  <si>
    <t>Erich Koellner</t>
  </si>
  <si>
    <t>09116</t>
  </si>
  <si>
    <t>U-64</t>
  </si>
  <si>
    <t>09121</t>
  </si>
  <si>
    <t>HMS Warspite</t>
  </si>
  <si>
    <t>09122</t>
  </si>
  <si>
    <t>HMS Bedouin</t>
  </si>
  <si>
    <t>09123</t>
  </si>
  <si>
    <t>HMS Cossack</t>
  </si>
  <si>
    <t>09124</t>
  </si>
  <si>
    <t>HMS Punjabi</t>
  </si>
  <si>
    <t>09125</t>
  </si>
  <si>
    <t>HMS Eskimo</t>
  </si>
  <si>
    <t>09126</t>
  </si>
  <si>
    <t>HMS Hero</t>
  </si>
  <si>
    <t>09211</t>
  </si>
  <si>
    <t>09212</t>
  </si>
  <si>
    <t>HMS Barham</t>
  </si>
  <si>
    <t>09213</t>
  </si>
  <si>
    <t>HMS Valiant</t>
  </si>
  <si>
    <t>09214</t>
  </si>
  <si>
    <t>HMS Ajax</t>
  </si>
  <si>
    <t>09215</t>
  </si>
  <si>
    <t>HMS Gloucester</t>
  </si>
  <si>
    <t>09216</t>
  </si>
  <si>
    <t>HMS Orion</t>
  </si>
  <si>
    <t>09221</t>
  </si>
  <si>
    <t>HMS Formidable</t>
  </si>
  <si>
    <t>09222</t>
  </si>
  <si>
    <t>09223</t>
  </si>
  <si>
    <t>09224</t>
  </si>
  <si>
    <t>09225</t>
  </si>
  <si>
    <t>HMAS Stuart</t>
  </si>
  <si>
    <t>09226</t>
  </si>
  <si>
    <t>HMS Nubian</t>
  </si>
  <si>
    <t>09311</t>
  </si>
  <si>
    <t>09312</t>
  </si>
  <si>
    <t>09313</t>
  </si>
  <si>
    <t>DD Z Class</t>
  </si>
  <si>
    <t>09314</t>
  </si>
  <si>
    <t>09315</t>
  </si>
  <si>
    <t>09316</t>
  </si>
  <si>
    <t>09321</t>
  </si>
  <si>
    <t>09322</t>
  </si>
  <si>
    <t>09323</t>
  </si>
  <si>
    <t>09324</t>
  </si>
  <si>
    <t>09325</t>
  </si>
  <si>
    <t>SS U Class</t>
  </si>
  <si>
    <t>09326</t>
  </si>
  <si>
    <t>09411</t>
  </si>
  <si>
    <t>Shoho</t>
  </si>
  <si>
    <t>09412</t>
  </si>
  <si>
    <t>Aoba</t>
  </si>
  <si>
    <t>09413</t>
  </si>
  <si>
    <t>Kako</t>
  </si>
  <si>
    <t>09414</t>
  </si>
  <si>
    <t>09415</t>
  </si>
  <si>
    <t>09416</t>
  </si>
  <si>
    <t>Sazanami</t>
  </si>
  <si>
    <t>09421</t>
  </si>
  <si>
    <t>Shokaku</t>
  </si>
  <si>
    <t>09422</t>
  </si>
  <si>
    <t>09423</t>
  </si>
  <si>
    <t>Myoko</t>
  </si>
  <si>
    <t>09424</t>
  </si>
  <si>
    <t>Haguro</t>
  </si>
  <si>
    <t>09425</t>
  </si>
  <si>
    <t>Akebono</t>
  </si>
  <si>
    <t>09426</t>
  </si>
  <si>
    <t>09511</t>
  </si>
  <si>
    <t>HMS Aboukir</t>
  </si>
  <si>
    <t>09512</t>
  </si>
  <si>
    <t>HMS Hogue</t>
  </si>
  <si>
    <t>09513</t>
  </si>
  <si>
    <t>HMS Cressy</t>
  </si>
  <si>
    <t>09514</t>
  </si>
  <si>
    <t>HMS Euryalus</t>
  </si>
  <si>
    <t>09515</t>
  </si>
  <si>
    <t>09516</t>
  </si>
  <si>
    <t>HMS Beaver</t>
  </si>
  <si>
    <t>09521</t>
  </si>
  <si>
    <t>09522</t>
  </si>
  <si>
    <t>09523</t>
  </si>
  <si>
    <t>09524</t>
  </si>
  <si>
    <t>09525</t>
  </si>
  <si>
    <t>09526</t>
  </si>
  <si>
    <t>HMS Pathfinder</t>
  </si>
  <si>
    <t>02001</t>
  </si>
  <si>
    <t>和平之翼要塞</t>
  </si>
  <si>
    <t>02002</t>
  </si>
  <si>
    <t>Sub-B</t>
  </si>
  <si>
    <t>02101</t>
  </si>
  <si>
    <t>和平之翼H1道中</t>
  </si>
  <si>
    <t>02102</t>
  </si>
  <si>
    <t>61M</t>
  </si>
  <si>
    <t>02103</t>
  </si>
  <si>
    <t>流星</t>
  </si>
  <si>
    <t>02104</t>
  </si>
  <si>
    <t>02201</t>
  </si>
  <si>
    <t>GoldenCatCat</t>
  </si>
  <si>
    <t>和平之翼H2道中</t>
  </si>
  <si>
    <t>02202</t>
  </si>
  <si>
    <t>Z27</t>
  </si>
  <si>
    <t>02203</t>
  </si>
  <si>
    <t>Z29</t>
  </si>
  <si>
    <t>02204</t>
  </si>
  <si>
    <t>02205</t>
  </si>
  <si>
    <t>02401</t>
  </si>
  <si>
    <t>和平之翼H4道中</t>
  </si>
  <si>
    <t>02402</t>
  </si>
  <si>
    <t>02403</t>
  </si>
  <si>
    <t>02404</t>
  </si>
  <si>
    <t>天河</t>
  </si>
  <si>
    <t>震电</t>
  </si>
  <si>
    <t>02405</t>
  </si>
  <si>
    <t>Yukikaze</t>
  </si>
  <si>
    <t>001691</t>
  </si>
  <si>
    <t>02406</t>
  </si>
  <si>
    <t>02407</t>
  </si>
  <si>
    <t>Chitose</t>
  </si>
  <si>
    <t>02408</t>
  </si>
  <si>
    <t>Ise</t>
  </si>
  <si>
    <t>J国35.6厘米连装炮</t>
  </si>
  <si>
    <t>J国25毫米联装机炮</t>
  </si>
  <si>
    <t>02409</t>
  </si>
  <si>
    <t>Hyuga</t>
  </si>
  <si>
    <t>02410</t>
  </si>
  <si>
    <t>Yamashiro</t>
  </si>
  <si>
    <t>02411</t>
  </si>
  <si>
    <t>Fuso</t>
  </si>
  <si>
    <t>02412</t>
  </si>
  <si>
    <t>Mogami</t>
  </si>
  <si>
    <t>J国20.3厘米连装炮</t>
  </si>
  <si>
    <t>61厘米四连装鱼雷</t>
  </si>
  <si>
    <t>零式水上侦察机</t>
  </si>
  <si>
    <t>02413</t>
  </si>
  <si>
    <t>I-400</t>
  </si>
  <si>
    <t>02414</t>
  </si>
  <si>
    <t>02415</t>
  </si>
  <si>
    <t>02416</t>
  </si>
  <si>
    <t>Nagato</t>
  </si>
  <si>
    <t>02417</t>
  </si>
  <si>
    <t>J国41厘米连装炮</t>
  </si>
  <si>
    <t>J国15.2厘米连装炮</t>
  </si>
  <si>
    <t>J国12.7厘米连装高射炮</t>
  </si>
  <si>
    <t>02418</t>
  </si>
  <si>
    <t>彩云</t>
  </si>
  <si>
    <t>001251</t>
  </si>
  <si>
    <t>02419</t>
  </si>
  <si>
    <t>军旗攻击机(AS.30)</t>
  </si>
  <si>
    <t>02420</t>
  </si>
  <si>
    <t>Yahagi</t>
  </si>
  <si>
    <t>02421</t>
  </si>
  <si>
    <t>02501</t>
  </si>
  <si>
    <t>Tuning</t>
  </si>
  <si>
    <t>基础型调谐舰</t>
  </si>
  <si>
    <t>惑星</t>
  </si>
  <si>
    <t>和平之翼H5道中</t>
  </si>
  <si>
    <t>02502</t>
  </si>
  <si>
    <t>Nautilus</t>
  </si>
  <si>
    <t>02503</t>
  </si>
  <si>
    <t>Forrestal</t>
  </si>
  <si>
    <t>02504</t>
  </si>
  <si>
    <t>防御型调谐舰</t>
  </si>
  <si>
    <t>02505</t>
  </si>
  <si>
    <t>制空型调谐舰</t>
  </si>
  <si>
    <t>02506</t>
  </si>
  <si>
    <t>攻击型调谐舰</t>
  </si>
  <si>
    <t>MK.141导弹发射架</t>
  </si>
  <si>
    <t>RGM-84鱼叉反舰导弹</t>
  </si>
  <si>
    <t>Me.P1099</t>
  </si>
  <si>
    <t>02507</t>
  </si>
  <si>
    <t>02508</t>
  </si>
  <si>
    <t>XB-70Valkyrie</t>
  </si>
  <si>
    <t>02509</t>
  </si>
  <si>
    <t>02601</t>
  </si>
  <si>
    <t>TK-208</t>
  </si>
  <si>
    <t>和平之翼H6道中</t>
  </si>
  <si>
    <t>02602</t>
  </si>
  <si>
    <t>Loki</t>
  </si>
  <si>
    <t>军旗IV攻击机</t>
  </si>
  <si>
    <t>010481</t>
  </si>
  <si>
    <t>02603</t>
  </si>
  <si>
    <t>02604</t>
  </si>
  <si>
    <t>Kitakami</t>
  </si>
  <si>
    <t>02605</t>
  </si>
  <si>
    <t>BB-56</t>
  </si>
  <si>
    <t>02606</t>
  </si>
  <si>
    <t>Savoy</t>
  </si>
  <si>
    <t>02607</t>
  </si>
  <si>
    <t>02608</t>
  </si>
  <si>
    <t>02609</t>
  </si>
  <si>
    <t>02711</t>
  </si>
  <si>
    <t>Akagi</t>
  </si>
  <si>
    <t>和平之翼H1院长</t>
  </si>
  <si>
    <t>02712</t>
  </si>
  <si>
    <t>Kaga</t>
  </si>
  <si>
    <t>02713</t>
  </si>
  <si>
    <t>Hiryu</t>
  </si>
  <si>
    <t>九七式舰攻</t>
  </si>
  <si>
    <t>02714</t>
  </si>
  <si>
    <t>Soryu</t>
  </si>
  <si>
    <t>九九式舰爆</t>
  </si>
  <si>
    <t>02715</t>
  </si>
  <si>
    <t>02716</t>
  </si>
  <si>
    <t>02721</t>
  </si>
  <si>
    <t>PBJ轰炸机</t>
  </si>
  <si>
    <t>和平之翼H2院长</t>
  </si>
  <si>
    <t>02722</t>
  </si>
  <si>
    <t>JG27</t>
  </si>
  <si>
    <t>02723</t>
  </si>
  <si>
    <t>JG51</t>
  </si>
  <si>
    <t>02724</t>
  </si>
  <si>
    <t>02725</t>
  </si>
  <si>
    <t>02726</t>
  </si>
  <si>
    <t>02731</t>
  </si>
  <si>
    <t>和平之翼H3院长</t>
  </si>
  <si>
    <t>02732</t>
  </si>
  <si>
    <t>02733</t>
  </si>
  <si>
    <t>Erika</t>
  </si>
  <si>
    <t>02734</t>
  </si>
  <si>
    <t>02735</t>
  </si>
  <si>
    <t>02736</t>
  </si>
  <si>
    <t>Lutjens</t>
  </si>
  <si>
    <t>02741</t>
  </si>
  <si>
    <t>91式穿甲弹</t>
  </si>
  <si>
    <t>和平之翼H4院长</t>
  </si>
  <si>
    <t>02742</t>
  </si>
  <si>
    <t>02743</t>
  </si>
  <si>
    <t>02744</t>
  </si>
  <si>
    <t>02745</t>
  </si>
  <si>
    <t>02746</t>
  </si>
  <si>
    <t>J国12.7厘米连装炮</t>
  </si>
  <si>
    <t>先进型声纳</t>
  </si>
  <si>
    <t>先进型火控雷达</t>
  </si>
  <si>
    <t>02751</t>
  </si>
  <si>
    <t>Reagent Orange</t>
  </si>
  <si>
    <t>和平之翼H5院长</t>
  </si>
  <si>
    <t>02752</t>
  </si>
  <si>
    <t>02753</t>
  </si>
  <si>
    <t>New Jersey</t>
  </si>
  <si>
    <t>02754</t>
  </si>
  <si>
    <t>02755</t>
  </si>
  <si>
    <t>CVN-65</t>
  </si>
  <si>
    <t>02756</t>
  </si>
  <si>
    <t>Rowan</t>
  </si>
  <si>
    <t>02761</t>
  </si>
  <si>
    <t>Kennedy</t>
  </si>
  <si>
    <t>F-4B</t>
  </si>
  <si>
    <t>A-6</t>
  </si>
  <si>
    <t>和平之翼H6院长</t>
  </si>
  <si>
    <t>02762</t>
  </si>
  <si>
    <t>Midway</t>
  </si>
  <si>
    <t>02763</t>
  </si>
  <si>
    <t>Missouri</t>
  </si>
  <si>
    <t>02764</t>
  </si>
  <si>
    <t>Wisconsin</t>
  </si>
  <si>
    <t>02765</t>
  </si>
  <si>
    <t>Kidd</t>
  </si>
  <si>
    <t>马舒卡防空导弹（早期型）</t>
  </si>
  <si>
    <t>02766</t>
  </si>
  <si>
    <t>Los Angeles</t>
  </si>
  <si>
    <t>03001</t>
  </si>
  <si>
    <t>Takao[Fog]</t>
  </si>
  <si>
    <t>СМ-70旋转发射器</t>
  </si>
  <si>
    <t>П-35反舰导弹</t>
  </si>
  <si>
    <t>大型单装炮</t>
  </si>
  <si>
    <t>030011</t>
  </si>
  <si>
    <t>03002</t>
  </si>
  <si>
    <t>Nagara MassProd[Fog]</t>
  </si>
  <si>
    <t>防空导弹作战系统</t>
  </si>
  <si>
    <t>S-75防空导弹</t>
  </si>
  <si>
    <t>03003</t>
  </si>
  <si>
    <t>Fletcher MassProd[Fog]</t>
  </si>
  <si>
    <t>03004</t>
  </si>
  <si>
    <t>Kagerou MassProd[Fog]</t>
  </si>
  <si>
    <t>03005</t>
  </si>
  <si>
    <t>Ξ Class[Fog]</t>
  </si>
  <si>
    <t>S-2反潜机</t>
  </si>
  <si>
    <t>E-1预警机</t>
  </si>
  <si>
    <t>03006</t>
  </si>
  <si>
    <t>Target A[Fog]</t>
  </si>
  <si>
    <t>03007</t>
  </si>
  <si>
    <t>Ο Class[Fog]</t>
  </si>
  <si>
    <t>03008</t>
  </si>
  <si>
    <t>Χ Class[Fog]</t>
  </si>
  <si>
    <t>F2H报丧女妖</t>
  </si>
  <si>
    <t>A-1</t>
  </si>
  <si>
    <t>03009</t>
  </si>
  <si>
    <t>Hunley</t>
  </si>
  <si>
    <t>03010</t>
  </si>
  <si>
    <t>03011</t>
  </si>
  <si>
    <t>Kumashima[Fog]</t>
  </si>
  <si>
    <t>030111</t>
  </si>
  <si>
    <t>03012</t>
  </si>
  <si>
    <t>I-400[Fog]</t>
  </si>
  <si>
    <t>潜载发射筒(033G)</t>
  </si>
  <si>
    <t>鹰击反舰导弹(潜射)</t>
  </si>
  <si>
    <t>030121</t>
  </si>
  <si>
    <t>03013</t>
  </si>
  <si>
    <t>I-402[Fog]</t>
  </si>
  <si>
    <t>SecondaryGun</t>
  </si>
  <si>
    <t>小型副炮</t>
  </si>
  <si>
    <t>副炮</t>
  </si>
  <si>
    <t>中型副炮</t>
  </si>
  <si>
    <t>对空雷达Ⅰ型</t>
  </si>
  <si>
    <t>对海雷达Ⅰ型</t>
  </si>
  <si>
    <t>深海动力系统Ⅰ型</t>
  </si>
  <si>
    <t>深海动力系统Ⅱ型</t>
  </si>
  <si>
    <t>深海特制穿甲弹</t>
  </si>
  <si>
    <t>小型防空机枪</t>
  </si>
  <si>
    <t>中型防空机枪</t>
  </si>
  <si>
    <t>大型防空机枪</t>
  </si>
  <si>
    <t>大型联装防空机枪</t>
  </si>
  <si>
    <t>反舰导弹</t>
  </si>
  <si>
    <t>pid</t>
  </si>
  <si>
    <t>点位等级</t>
  </si>
  <si>
    <t>迂回</t>
  </si>
  <si>
    <t>阵容1</t>
  </si>
  <si>
    <t>备注1</t>
  </si>
  <si>
    <t>阵容2</t>
  </si>
  <si>
    <t>备注2</t>
  </si>
  <si>
    <t>阵容3</t>
  </si>
  <si>
    <t>备注3</t>
  </si>
  <si>
    <t>α</t>
  </si>
  <si>
    <t>Entrance</t>
  </si>
  <si>
    <t>B</t>
  </si>
  <si>
    <t>NormalBattle</t>
  </si>
  <si>
    <t>N</t>
  </si>
  <si>
    <t>A</t>
  </si>
  <si>
    <t>D</t>
  </si>
  <si>
    <t>H</t>
  </si>
  <si>
    <t>00204</t>
  </si>
  <si>
    <t>MidPoint</t>
  </si>
  <si>
    <t>L</t>
  </si>
  <si>
    <t>M</t>
  </si>
  <si>
    <t>O</t>
  </si>
  <si>
    <t>00213</t>
  </si>
  <si>
    <t>R</t>
  </si>
  <si>
    <t>00214</t>
  </si>
  <si>
    <t>00215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</si>
</sst>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2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0" fillId="0" borderId="0"/>
    <xf numFmtId="0" fontId="8" fillId="0" borderId="5" applyNumberFormat="0" applyFill="0" applyAlignment="0" applyProtection="0">
      <alignment vertical="center"/>
    </xf>
  </cellStyleXfs>
  <cellXfs count="5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9" fontId="0" fillId="0" borderId="2" xfId="0" applyNumberFormat="1" applyBorder="1"/>
    <xf numFmtId="49" fontId="0" fillId="0" borderId="3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  <xf numFmtId="0" fontId="3" fillId="0" borderId="0" xfId="0" applyFont="1"/>
    <xf numFmtId="49" fontId="1" fillId="0" borderId="0" xfId="0" applyNumberFormat="1" applyFont="1"/>
    <xf numFmtId="49" fontId="0" fillId="0" borderId="0" xfId="0" applyNumberFormat="1" applyFont="1"/>
    <xf numFmtId="49" fontId="4" fillId="0" borderId="0" xfId="0" applyNumberFormat="1" applyFont="1" applyFill="1" applyAlignment="1"/>
    <xf numFmtId="49" fontId="2" fillId="0" borderId="0" xfId="0" applyNumberFormat="1" applyFont="1" applyFill="1" applyAlignment="1"/>
    <xf numFmtId="0" fontId="5" fillId="0" borderId="0" xfId="0" applyFont="1" applyFill="1" applyAlignment="1"/>
    <xf numFmtId="49" fontId="5" fillId="0" borderId="0" xfId="0" applyNumberFormat="1" applyFont="1" applyFill="1" applyAlignment="1"/>
    <xf numFmtId="49" fontId="0" fillId="0" borderId="0" xfId="0" applyNumberFormat="1" applyFont="1" applyFill="1" applyAlignment="1"/>
    <xf numFmtId="0" fontId="1" fillId="0" borderId="0" xfId="0" applyFont="1" applyFill="1" applyAlignment="1"/>
    <xf numFmtId="0" fontId="3" fillId="0" borderId="0" xfId="0" applyFont="1" applyFill="1" applyAlignment="1"/>
    <xf numFmtId="0" fontId="0" fillId="0" borderId="0" xfId="0" applyFon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righ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0" fillId="0" borderId="0" xfId="48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0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0" fillId="0" borderId="0" xfId="48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0" fillId="0" borderId="0" xfId="48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right"/>
    </xf>
    <xf numFmtId="0" fontId="0" fillId="0" borderId="0" xfId="48" applyFont="1" applyFill="1" applyAlignment="1">
      <alignment horizontal="center"/>
    </xf>
    <xf numFmtId="49" fontId="1" fillId="0" borderId="0" xfId="0" applyNumberFormat="1" applyFont="1" applyFill="1" applyAlignment="1">
      <alignment horizontal="left"/>
    </xf>
    <xf numFmtId="0" fontId="0" fillId="0" borderId="0" xfId="48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7" fillId="0" borderId="0" xfId="0" applyFont="1" applyFill="1" applyAlignment="1"/>
    <xf numFmtId="0" fontId="2" fillId="0" borderId="0" xfId="0" applyFont="1" applyFill="1" applyAlignment="1">
      <alignment horizontal="right" vertical="center"/>
    </xf>
    <xf numFmtId="49" fontId="2" fillId="0" borderId="0" xfId="0" applyNumberFormat="1" applyFont="1" applyFill="1" applyAlignment="1">
      <alignment horizontal="left"/>
    </xf>
    <xf numFmtId="0" fontId="0" fillId="0" borderId="0" xfId="0" quotePrefix="1"/>
    <xf numFmtId="0" fontId="0" fillId="0" borderId="0" xfId="0" applyFont="1" applyFill="1" applyAlignment="1" quotePrefix="1"/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dxfs count="11">
    <dxf>
      <font>
        <color rgb="FFFF9900"/>
      </font>
    </dxf>
    <dxf>
      <font>
        <color theme="0" tint="-0.349986266670736"/>
      </font>
    </dxf>
    <dxf>
      <font>
        <color rgb="FF00B050"/>
      </font>
    </dxf>
    <dxf>
      <font>
        <color rgb="FF00B0F0"/>
      </font>
    </dxf>
    <dxf>
      <font>
        <color rgb="FF9933FF"/>
      </font>
    </dxf>
    <dxf>
      <font>
        <color rgb="FFFF0000"/>
      </font>
    </dxf>
    <dxf>
      <font>
        <color rgb="FF808080"/>
      </font>
    </dxf>
    <dxf>
      <font>
        <color rgb="FF65FF65"/>
      </font>
    </dxf>
    <dxf>
      <font>
        <color rgb="FF7030A0"/>
      </font>
    </dxf>
    <dxf>
      <font>
        <color rgb="FFFFC00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6"/>
  <sheetViews>
    <sheetView workbookViewId="0">
      <pane xSplit="3" ySplit="1" topLeftCell="D143" activePane="bottomRight" state="frozen"/>
      <selection/>
      <selection pane="topRight"/>
      <selection pane="bottomLeft"/>
      <selection pane="bottomRight" activeCell="F156" sqref="F156"/>
    </sheetView>
  </sheetViews>
  <sheetFormatPr defaultColWidth="9" defaultRowHeight="14.25"/>
  <cols>
    <col min="1" max="2" width="9" style="16"/>
    <col min="3" max="3" width="21.8333333333333" style="16" customWidth="1"/>
    <col min="4" max="28" width="9" style="16"/>
    <col min="29" max="29" width="9" style="29" customWidth="1"/>
    <col min="30" max="16384" width="9" style="16"/>
  </cols>
  <sheetData>
    <row r="1" s="16" customFormat="1" spans="1:29">
      <c r="A1" s="27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48" t="s">
        <v>22</v>
      </c>
      <c r="X1" s="48" t="s">
        <v>23</v>
      </c>
      <c r="Y1" s="48" t="s">
        <v>24</v>
      </c>
      <c r="Z1" s="48" t="s">
        <v>25</v>
      </c>
      <c r="AA1" s="16" t="s">
        <v>26</v>
      </c>
      <c r="AB1" s="16" t="s">
        <v>27</v>
      </c>
      <c r="AC1" s="29" t="s">
        <v>28</v>
      </c>
    </row>
    <row r="2" spans="1:26">
      <c r="A2" s="27">
        <v>10022</v>
      </c>
      <c r="B2" s="16" t="s">
        <v>29</v>
      </c>
      <c r="C2" s="25" t="s">
        <v>30</v>
      </c>
      <c r="D2" s="16" t="s">
        <v>31</v>
      </c>
      <c r="E2" s="16">
        <v>69</v>
      </c>
      <c r="F2" s="16">
        <v>40</v>
      </c>
      <c r="G2" s="16">
        <v>0</v>
      </c>
      <c r="H2" s="16">
        <v>55</v>
      </c>
      <c r="I2" s="16">
        <v>57</v>
      </c>
      <c r="J2" s="16">
        <v>0</v>
      </c>
      <c r="K2" s="16">
        <v>96</v>
      </c>
      <c r="L2" s="16">
        <v>52</v>
      </c>
      <c r="M2" s="16">
        <v>73</v>
      </c>
      <c r="N2" s="16">
        <v>31.2</v>
      </c>
      <c r="O2" s="16">
        <v>1</v>
      </c>
      <c r="P2" s="16">
        <v>10</v>
      </c>
      <c r="Q2" s="16">
        <v>4</v>
      </c>
      <c r="R2" s="16">
        <f t="shared" ref="R2:R61" si="0">SUM($S2:$V2)</f>
        <v>76</v>
      </c>
      <c r="S2" s="16">
        <v>21</v>
      </c>
      <c r="T2" s="16">
        <v>18</v>
      </c>
      <c r="U2" s="16">
        <v>27</v>
      </c>
      <c r="V2" s="16">
        <v>10</v>
      </c>
      <c r="W2" s="37">
        <v>60</v>
      </c>
      <c r="X2" s="37">
        <v>55</v>
      </c>
      <c r="Y2" s="37">
        <v>2.4</v>
      </c>
      <c r="Z2" s="37">
        <v>4.5</v>
      </c>
    </row>
    <row r="3" spans="1:26">
      <c r="A3" s="27">
        <v>10023</v>
      </c>
      <c r="B3" s="16" t="s">
        <v>29</v>
      </c>
      <c r="C3" s="25" t="s">
        <v>32</v>
      </c>
      <c r="D3" s="16" t="s">
        <v>31</v>
      </c>
      <c r="E3" s="16">
        <v>71</v>
      </c>
      <c r="F3" s="16">
        <v>40</v>
      </c>
      <c r="G3" s="16">
        <v>0</v>
      </c>
      <c r="H3" s="16">
        <v>62</v>
      </c>
      <c r="I3" s="16">
        <v>62</v>
      </c>
      <c r="J3" s="16">
        <v>0</v>
      </c>
      <c r="K3" s="16">
        <v>96</v>
      </c>
      <c r="L3" s="16">
        <v>48</v>
      </c>
      <c r="M3" s="16">
        <v>70</v>
      </c>
      <c r="N3" s="16">
        <v>28</v>
      </c>
      <c r="O3" s="16">
        <v>1</v>
      </c>
      <c r="P3" s="16">
        <v>13</v>
      </c>
      <c r="Q3" s="16">
        <v>4</v>
      </c>
      <c r="R3" s="16">
        <f t="shared" si="0"/>
        <v>90</v>
      </c>
      <c r="S3" s="16">
        <v>17</v>
      </c>
      <c r="T3" s="16">
        <v>18</v>
      </c>
      <c r="U3" s="16">
        <v>43</v>
      </c>
      <c r="V3" s="16">
        <v>12</v>
      </c>
      <c r="W3" s="37">
        <v>60</v>
      </c>
      <c r="X3" s="37">
        <v>55</v>
      </c>
      <c r="Y3" s="37">
        <v>2.56</v>
      </c>
      <c r="Z3" s="37">
        <v>4.8</v>
      </c>
    </row>
    <row r="4" spans="1:26">
      <c r="A4" s="27">
        <v>10029</v>
      </c>
      <c r="B4" s="16" t="s">
        <v>29</v>
      </c>
      <c r="C4" s="25" t="s">
        <v>33</v>
      </c>
      <c r="D4" s="16" t="s">
        <v>34</v>
      </c>
      <c r="E4" s="16">
        <v>63</v>
      </c>
      <c r="F4" s="16">
        <v>35</v>
      </c>
      <c r="G4" s="16">
        <v>0</v>
      </c>
      <c r="H4" s="16">
        <v>65</v>
      </c>
      <c r="I4" s="16">
        <v>67</v>
      </c>
      <c r="J4" s="16">
        <v>0</v>
      </c>
      <c r="K4" s="16">
        <v>95</v>
      </c>
      <c r="L4" s="16">
        <v>52</v>
      </c>
      <c r="M4" s="16">
        <v>69</v>
      </c>
      <c r="N4" s="16">
        <v>33.2</v>
      </c>
      <c r="O4" s="16">
        <v>1</v>
      </c>
      <c r="P4" s="16">
        <v>20</v>
      </c>
      <c r="Q4" s="16">
        <v>4</v>
      </c>
      <c r="R4" s="16">
        <f t="shared" si="0"/>
        <v>80</v>
      </c>
      <c r="S4" s="16">
        <v>20</v>
      </c>
      <c r="T4" s="16">
        <v>20</v>
      </c>
      <c r="U4" s="16">
        <v>30</v>
      </c>
      <c r="V4" s="16">
        <v>10</v>
      </c>
      <c r="W4" s="37">
        <v>55</v>
      </c>
      <c r="X4" s="37">
        <v>60</v>
      </c>
      <c r="Y4" s="37">
        <v>2.08</v>
      </c>
      <c r="Z4" s="37">
        <v>3.9</v>
      </c>
    </row>
    <row r="5" spans="1:26">
      <c r="A5" s="27">
        <v>10030</v>
      </c>
      <c r="B5" s="16" t="s">
        <v>29</v>
      </c>
      <c r="C5" s="25" t="s">
        <v>35</v>
      </c>
      <c r="D5" s="16" t="s">
        <v>34</v>
      </c>
      <c r="E5" s="16">
        <v>63</v>
      </c>
      <c r="F5" s="16">
        <v>35</v>
      </c>
      <c r="G5" s="16">
        <v>0</v>
      </c>
      <c r="H5" s="16">
        <v>65</v>
      </c>
      <c r="I5" s="16">
        <v>85</v>
      </c>
      <c r="J5" s="16">
        <v>0</v>
      </c>
      <c r="K5" s="16">
        <v>95</v>
      </c>
      <c r="L5" s="16">
        <v>52</v>
      </c>
      <c r="M5" s="16">
        <v>69</v>
      </c>
      <c r="N5" s="16">
        <v>33.2</v>
      </c>
      <c r="O5" s="16">
        <v>1</v>
      </c>
      <c r="P5" s="16">
        <v>22</v>
      </c>
      <c r="Q5" s="16">
        <v>4</v>
      </c>
      <c r="R5" s="16">
        <f t="shared" si="0"/>
        <v>80</v>
      </c>
      <c r="S5" s="16">
        <v>20</v>
      </c>
      <c r="T5" s="16">
        <v>20</v>
      </c>
      <c r="U5" s="16">
        <v>30</v>
      </c>
      <c r="V5" s="16">
        <v>10</v>
      </c>
      <c r="W5" s="37">
        <v>55</v>
      </c>
      <c r="X5" s="37">
        <v>60</v>
      </c>
      <c r="Y5" s="37">
        <v>2.08</v>
      </c>
      <c r="Z5" s="37">
        <v>3.9</v>
      </c>
    </row>
    <row r="6" spans="1:26">
      <c r="A6" s="27">
        <v>10031</v>
      </c>
      <c r="B6" s="16" t="s">
        <v>29</v>
      </c>
      <c r="C6" s="25" t="s">
        <v>36</v>
      </c>
      <c r="D6" s="16" t="s">
        <v>34</v>
      </c>
      <c r="E6" s="16">
        <v>52</v>
      </c>
      <c r="F6" s="16">
        <v>40</v>
      </c>
      <c r="G6" s="16">
        <v>0</v>
      </c>
      <c r="H6" s="16">
        <v>57</v>
      </c>
      <c r="I6" s="16">
        <v>72</v>
      </c>
      <c r="J6" s="16">
        <v>0</v>
      </c>
      <c r="K6" s="16">
        <v>95</v>
      </c>
      <c r="L6" s="16">
        <v>52</v>
      </c>
      <c r="M6" s="16">
        <v>65</v>
      </c>
      <c r="N6" s="16">
        <v>32.5</v>
      </c>
      <c r="O6" s="16">
        <v>1</v>
      </c>
      <c r="P6" s="16">
        <v>10</v>
      </c>
      <c r="Q6" s="16">
        <v>4</v>
      </c>
      <c r="R6" s="16">
        <f t="shared" si="0"/>
        <v>75</v>
      </c>
      <c r="S6" s="16">
        <v>21</v>
      </c>
      <c r="T6" s="16">
        <v>21</v>
      </c>
      <c r="U6" s="16">
        <v>23</v>
      </c>
      <c r="V6" s="16">
        <v>10</v>
      </c>
      <c r="W6" s="37">
        <v>55</v>
      </c>
      <c r="X6" s="37">
        <v>60</v>
      </c>
      <c r="Y6" s="37">
        <v>2.08</v>
      </c>
      <c r="Z6" s="37">
        <v>3.9</v>
      </c>
    </row>
    <row r="7" s="16" customFormat="1" spans="1:29">
      <c r="A7" s="27">
        <v>10100</v>
      </c>
      <c r="B7" s="16" t="s">
        <v>37</v>
      </c>
      <c r="C7" s="25" t="s">
        <v>38</v>
      </c>
      <c r="D7" s="27" t="s">
        <v>39</v>
      </c>
      <c r="E7" s="31">
        <v>81</v>
      </c>
      <c r="F7" s="31">
        <v>110</v>
      </c>
      <c r="G7" s="31">
        <v>0</v>
      </c>
      <c r="H7" s="31">
        <v>105</v>
      </c>
      <c r="I7" s="31">
        <v>85</v>
      </c>
      <c r="J7" s="31">
        <v>0</v>
      </c>
      <c r="K7" s="47">
        <v>97</v>
      </c>
      <c r="L7" s="31">
        <v>50</v>
      </c>
      <c r="M7" s="31">
        <v>42</v>
      </c>
      <c r="N7" s="31">
        <v>28.25</v>
      </c>
      <c r="O7" s="31">
        <v>3</v>
      </c>
      <c r="P7" s="31">
        <v>10</v>
      </c>
      <c r="Q7" s="31">
        <v>4</v>
      </c>
      <c r="R7" s="16">
        <f t="shared" si="0"/>
        <v>8</v>
      </c>
      <c r="S7" s="31">
        <v>2</v>
      </c>
      <c r="T7" s="31">
        <v>2</v>
      </c>
      <c r="U7" s="31">
        <v>2</v>
      </c>
      <c r="V7" s="31">
        <v>2</v>
      </c>
      <c r="W7" s="31">
        <v>125</v>
      </c>
      <c r="X7" s="31">
        <v>175</v>
      </c>
      <c r="Y7" s="31">
        <v>4.8</v>
      </c>
      <c r="Z7" s="31">
        <v>9</v>
      </c>
      <c r="AA7" s="31">
        <v>111001</v>
      </c>
      <c r="AB7" s="31"/>
      <c r="AC7" s="29" t="s">
        <v>40</v>
      </c>
    </row>
    <row r="8" spans="1:28">
      <c r="A8" s="27">
        <v>10105</v>
      </c>
      <c r="B8" s="16" t="s">
        <v>37</v>
      </c>
      <c r="C8" s="25" t="s">
        <v>41</v>
      </c>
      <c r="D8" s="27" t="s">
        <v>39</v>
      </c>
      <c r="E8" s="31">
        <v>85</v>
      </c>
      <c r="F8" s="31">
        <v>90</v>
      </c>
      <c r="G8" s="31">
        <v>0</v>
      </c>
      <c r="H8" s="31">
        <v>96</v>
      </c>
      <c r="I8" s="31">
        <v>105</v>
      </c>
      <c r="J8" s="31">
        <v>0</v>
      </c>
      <c r="K8" s="31">
        <v>96</v>
      </c>
      <c r="L8" s="31">
        <v>49</v>
      </c>
      <c r="M8" s="31">
        <v>45</v>
      </c>
      <c r="N8" s="31">
        <v>30</v>
      </c>
      <c r="O8" s="31">
        <v>3</v>
      </c>
      <c r="P8" s="31">
        <v>15</v>
      </c>
      <c r="Q8" s="31">
        <v>4</v>
      </c>
      <c r="R8" s="16">
        <f t="shared" si="0"/>
        <v>0</v>
      </c>
      <c r="S8" s="31">
        <v>0</v>
      </c>
      <c r="T8" s="31">
        <v>0</v>
      </c>
      <c r="U8" s="31">
        <v>0</v>
      </c>
      <c r="V8" s="31">
        <v>0</v>
      </c>
      <c r="W8" s="31">
        <v>90</v>
      </c>
      <c r="X8" s="31">
        <v>140</v>
      </c>
      <c r="Y8" s="31">
        <v>4.2</v>
      </c>
      <c r="Z8" s="31">
        <v>8</v>
      </c>
      <c r="AA8" s="31">
        <v>111052</v>
      </c>
      <c r="AB8" s="31"/>
    </row>
    <row r="9" spans="1:28">
      <c r="A9" s="27">
        <v>10113</v>
      </c>
      <c r="B9" s="16" t="s">
        <v>37</v>
      </c>
      <c r="C9" s="25" t="s">
        <v>42</v>
      </c>
      <c r="D9" s="27" t="s">
        <v>43</v>
      </c>
      <c r="E9" s="37">
        <v>78</v>
      </c>
      <c r="F9" s="31">
        <v>96</v>
      </c>
      <c r="G9" s="31">
        <v>0</v>
      </c>
      <c r="H9" s="31">
        <v>102</v>
      </c>
      <c r="I9" s="31">
        <v>60</v>
      </c>
      <c r="J9" s="31">
        <v>0</v>
      </c>
      <c r="K9" s="31">
        <v>96</v>
      </c>
      <c r="L9" s="31">
        <v>51</v>
      </c>
      <c r="M9" s="31">
        <v>40</v>
      </c>
      <c r="N9" s="31">
        <v>32</v>
      </c>
      <c r="O9" s="31">
        <v>3</v>
      </c>
      <c r="P9" s="31">
        <v>23</v>
      </c>
      <c r="Q9" s="31">
        <v>4</v>
      </c>
      <c r="R9" s="16">
        <f t="shared" si="0"/>
        <v>12</v>
      </c>
      <c r="S9" s="31">
        <v>3</v>
      </c>
      <c r="T9" s="31">
        <v>3</v>
      </c>
      <c r="U9" s="31">
        <v>3</v>
      </c>
      <c r="V9" s="31">
        <v>3</v>
      </c>
      <c r="W9" s="31">
        <v>90</v>
      </c>
      <c r="X9" s="31">
        <v>130</v>
      </c>
      <c r="Y9" s="31">
        <v>4.2</v>
      </c>
      <c r="Z9" s="31">
        <v>8</v>
      </c>
      <c r="AA9" s="31">
        <v>111131</v>
      </c>
      <c r="AB9" s="31"/>
    </row>
    <row r="10" spans="1:27">
      <c r="A10" s="27">
        <v>10117</v>
      </c>
      <c r="B10" s="16" t="s">
        <v>44</v>
      </c>
      <c r="C10" s="25" t="s">
        <v>45</v>
      </c>
      <c r="D10" s="16" t="s">
        <v>31</v>
      </c>
      <c r="E10" s="16">
        <v>67</v>
      </c>
      <c r="F10" s="16">
        <v>40</v>
      </c>
      <c r="G10" s="16">
        <v>0</v>
      </c>
      <c r="H10" s="16">
        <v>85</v>
      </c>
      <c r="I10" s="16">
        <v>70</v>
      </c>
      <c r="J10" s="16">
        <v>0</v>
      </c>
      <c r="K10" s="16">
        <v>85</v>
      </c>
      <c r="L10" s="16">
        <v>57</v>
      </c>
      <c r="M10" s="16">
        <v>72</v>
      </c>
      <c r="N10" s="16">
        <v>33</v>
      </c>
      <c r="O10" s="16">
        <v>1</v>
      </c>
      <c r="P10" s="16">
        <v>5</v>
      </c>
      <c r="Q10" s="16">
        <v>4</v>
      </c>
      <c r="R10" s="16">
        <f t="shared" si="0"/>
        <v>60</v>
      </c>
      <c r="S10" s="16">
        <v>18</v>
      </c>
      <c r="T10" s="16">
        <v>24</v>
      </c>
      <c r="U10" s="16">
        <v>12</v>
      </c>
      <c r="V10" s="16">
        <v>6</v>
      </c>
      <c r="W10" s="37">
        <v>70</v>
      </c>
      <c r="X10" s="37">
        <v>65</v>
      </c>
      <c r="Y10" s="37">
        <v>2.88</v>
      </c>
      <c r="Z10" s="37">
        <v>5.4</v>
      </c>
      <c r="AA10" s="31">
        <v>111171</v>
      </c>
    </row>
    <row r="11" spans="1:26">
      <c r="A11" s="27">
        <v>10118</v>
      </c>
      <c r="B11" s="16" t="s">
        <v>29</v>
      </c>
      <c r="C11" s="25" t="s">
        <v>46</v>
      </c>
      <c r="D11" s="16" t="s">
        <v>47</v>
      </c>
      <c r="E11" s="16">
        <v>52</v>
      </c>
      <c r="F11" s="16">
        <v>35</v>
      </c>
      <c r="G11" s="16">
        <v>0</v>
      </c>
      <c r="H11" s="16">
        <v>58</v>
      </c>
      <c r="I11" s="16">
        <v>66</v>
      </c>
      <c r="J11" s="16">
        <v>0</v>
      </c>
      <c r="K11" s="16">
        <v>95</v>
      </c>
      <c r="L11" s="16">
        <v>54</v>
      </c>
      <c r="M11" s="16">
        <v>65</v>
      </c>
      <c r="N11" s="16">
        <v>35</v>
      </c>
      <c r="O11" s="16">
        <v>1</v>
      </c>
      <c r="P11" s="16">
        <v>6</v>
      </c>
      <c r="Q11" s="16">
        <v>4</v>
      </c>
      <c r="R11" s="16">
        <f t="shared" si="0"/>
        <v>48</v>
      </c>
      <c r="S11" s="16">
        <v>12</v>
      </c>
      <c r="T11" s="16">
        <v>15</v>
      </c>
      <c r="U11" s="16">
        <v>15</v>
      </c>
      <c r="V11" s="16">
        <v>6</v>
      </c>
      <c r="W11" s="37">
        <v>50</v>
      </c>
      <c r="X11" s="37">
        <v>55</v>
      </c>
      <c r="Y11" s="37">
        <v>2.08</v>
      </c>
      <c r="Z11" s="37">
        <v>4.3</v>
      </c>
    </row>
    <row r="12" spans="1:27">
      <c r="A12" s="27">
        <v>10119</v>
      </c>
      <c r="B12" s="16" t="s">
        <v>29</v>
      </c>
      <c r="C12" s="25" t="s">
        <v>48</v>
      </c>
      <c r="D12" s="16" t="s">
        <v>39</v>
      </c>
      <c r="E12" s="16">
        <v>48</v>
      </c>
      <c r="F12" s="16">
        <v>40</v>
      </c>
      <c r="G12" s="16">
        <v>0</v>
      </c>
      <c r="H12" s="16">
        <v>61</v>
      </c>
      <c r="I12" s="16">
        <v>77</v>
      </c>
      <c r="J12" s="16">
        <v>0</v>
      </c>
      <c r="K12" s="16">
        <v>96</v>
      </c>
      <c r="L12" s="16">
        <v>51</v>
      </c>
      <c r="M12" s="16">
        <v>67</v>
      </c>
      <c r="N12" s="16">
        <v>31</v>
      </c>
      <c r="O12" s="16">
        <v>1</v>
      </c>
      <c r="P12" s="16">
        <v>15</v>
      </c>
      <c r="Q12" s="16">
        <v>4</v>
      </c>
      <c r="R12" s="16">
        <f t="shared" si="0"/>
        <v>72</v>
      </c>
      <c r="S12" s="16">
        <v>18</v>
      </c>
      <c r="T12" s="16">
        <v>18</v>
      </c>
      <c r="U12" s="16">
        <v>24</v>
      </c>
      <c r="V12" s="16">
        <v>12</v>
      </c>
      <c r="W12" s="37">
        <v>50</v>
      </c>
      <c r="X12" s="37">
        <v>60</v>
      </c>
      <c r="Y12" s="37">
        <v>2.08</v>
      </c>
      <c r="Z12" s="37">
        <v>3.9</v>
      </c>
      <c r="AA12" s="16">
        <v>101191</v>
      </c>
    </row>
    <row r="13" spans="1:26">
      <c r="A13" s="27">
        <v>10120</v>
      </c>
      <c r="B13" s="16" t="s">
        <v>29</v>
      </c>
      <c r="C13" s="25" t="s">
        <v>49</v>
      </c>
      <c r="D13" s="16" t="s">
        <v>34</v>
      </c>
      <c r="E13" s="16">
        <v>50</v>
      </c>
      <c r="F13" s="16">
        <v>40</v>
      </c>
      <c r="G13" s="16">
        <v>0</v>
      </c>
      <c r="H13" s="16">
        <v>55</v>
      </c>
      <c r="I13" s="16">
        <v>68</v>
      </c>
      <c r="J13" s="16">
        <v>0</v>
      </c>
      <c r="K13" s="16">
        <v>95</v>
      </c>
      <c r="L13" s="16">
        <v>52</v>
      </c>
      <c r="M13" s="16">
        <v>65</v>
      </c>
      <c r="N13" s="16">
        <v>32.5</v>
      </c>
      <c r="O13" s="16">
        <v>1</v>
      </c>
      <c r="P13" s="16">
        <v>12</v>
      </c>
      <c r="Q13" s="16">
        <v>4</v>
      </c>
      <c r="R13" s="16">
        <f t="shared" si="0"/>
        <v>75</v>
      </c>
      <c r="S13" s="16">
        <v>21</v>
      </c>
      <c r="T13" s="16">
        <v>21</v>
      </c>
      <c r="U13" s="16">
        <v>23</v>
      </c>
      <c r="V13" s="16">
        <v>10</v>
      </c>
      <c r="W13" s="37">
        <v>55</v>
      </c>
      <c r="X13" s="37">
        <v>60</v>
      </c>
      <c r="Y13" s="37">
        <v>2.08</v>
      </c>
      <c r="Z13" s="37">
        <v>3.9</v>
      </c>
    </row>
    <row r="14" spans="1:27">
      <c r="A14" s="27">
        <v>10121</v>
      </c>
      <c r="B14" s="16" t="s">
        <v>29</v>
      </c>
      <c r="C14" s="25" t="s">
        <v>50</v>
      </c>
      <c r="D14" s="16" t="s">
        <v>34</v>
      </c>
      <c r="E14" s="16">
        <v>50</v>
      </c>
      <c r="F14" s="16">
        <v>45</v>
      </c>
      <c r="G14" s="16">
        <v>0</v>
      </c>
      <c r="H14" s="16">
        <v>55</v>
      </c>
      <c r="I14" s="16">
        <v>70</v>
      </c>
      <c r="J14" s="16">
        <v>0</v>
      </c>
      <c r="K14" s="16">
        <v>96</v>
      </c>
      <c r="L14" s="16">
        <v>52</v>
      </c>
      <c r="M14" s="16">
        <v>73</v>
      </c>
      <c r="N14" s="16">
        <v>32.5</v>
      </c>
      <c r="O14" s="16">
        <v>1</v>
      </c>
      <c r="P14" s="16">
        <v>55</v>
      </c>
      <c r="Q14" s="16">
        <v>4</v>
      </c>
      <c r="R14" s="16">
        <f t="shared" si="0"/>
        <v>75</v>
      </c>
      <c r="S14" s="16">
        <v>21</v>
      </c>
      <c r="T14" s="16">
        <v>21</v>
      </c>
      <c r="U14" s="16">
        <v>23</v>
      </c>
      <c r="V14" s="16">
        <v>10</v>
      </c>
      <c r="W14" s="37">
        <v>55</v>
      </c>
      <c r="X14" s="37">
        <v>60</v>
      </c>
      <c r="Y14" s="37">
        <v>2.08</v>
      </c>
      <c r="Z14" s="37">
        <v>3.9</v>
      </c>
      <c r="AA14" s="16">
        <v>111211</v>
      </c>
    </row>
    <row r="15" spans="1:27">
      <c r="A15" s="27">
        <v>10189</v>
      </c>
      <c r="B15" s="16" t="s">
        <v>51</v>
      </c>
      <c r="C15" s="16" t="s">
        <v>52</v>
      </c>
      <c r="D15" s="16" t="s">
        <v>31</v>
      </c>
      <c r="E15" s="16">
        <v>80</v>
      </c>
      <c r="F15" s="16">
        <v>115</v>
      </c>
      <c r="G15" s="16">
        <v>0</v>
      </c>
      <c r="H15" s="16">
        <v>90</v>
      </c>
      <c r="I15" s="16">
        <v>50</v>
      </c>
      <c r="J15" s="16">
        <v>0</v>
      </c>
      <c r="K15" s="26">
        <v>96</v>
      </c>
      <c r="L15" s="16">
        <v>49</v>
      </c>
      <c r="M15" s="16">
        <v>42</v>
      </c>
      <c r="N15" s="16">
        <v>30</v>
      </c>
      <c r="O15" s="16">
        <v>3</v>
      </c>
      <c r="P15" s="16">
        <v>6</v>
      </c>
      <c r="Q15" s="16">
        <v>4</v>
      </c>
      <c r="R15" s="39">
        <f t="shared" si="0"/>
        <v>0</v>
      </c>
      <c r="S15" s="16">
        <v>0</v>
      </c>
      <c r="T15" s="16">
        <v>0</v>
      </c>
      <c r="U15" s="16">
        <v>0</v>
      </c>
      <c r="V15" s="16">
        <v>0</v>
      </c>
      <c r="W15" s="16">
        <v>100</v>
      </c>
      <c r="X15" s="16">
        <v>130</v>
      </c>
      <c r="Y15" s="16">
        <v>3.2</v>
      </c>
      <c r="Z15" s="16">
        <v>5.8</v>
      </c>
      <c r="AA15" s="16">
        <v>101891</v>
      </c>
    </row>
    <row r="16" spans="1:27">
      <c r="A16" s="27">
        <v>10190</v>
      </c>
      <c r="B16" s="16" t="s">
        <v>37</v>
      </c>
      <c r="C16" s="16" t="s">
        <v>53</v>
      </c>
      <c r="D16" s="16" t="s">
        <v>31</v>
      </c>
      <c r="E16" s="16">
        <v>80</v>
      </c>
      <c r="F16" s="16">
        <v>115</v>
      </c>
      <c r="G16" s="16">
        <v>0</v>
      </c>
      <c r="H16" s="16">
        <v>93</v>
      </c>
      <c r="I16" s="16">
        <v>51</v>
      </c>
      <c r="J16" s="16">
        <v>0</v>
      </c>
      <c r="K16" s="26">
        <v>96</v>
      </c>
      <c r="L16" s="16">
        <v>44</v>
      </c>
      <c r="M16" s="16">
        <v>42</v>
      </c>
      <c r="N16" s="16">
        <v>26.5</v>
      </c>
      <c r="O16" s="16">
        <v>3</v>
      </c>
      <c r="P16" s="16">
        <v>7</v>
      </c>
      <c r="Q16" s="16">
        <v>4</v>
      </c>
      <c r="R16" s="39">
        <f t="shared" si="0"/>
        <v>0</v>
      </c>
      <c r="S16" s="16">
        <v>0</v>
      </c>
      <c r="T16" s="16">
        <v>0</v>
      </c>
      <c r="U16" s="16">
        <v>0</v>
      </c>
      <c r="V16" s="16">
        <v>0</v>
      </c>
      <c r="W16" s="16">
        <v>100</v>
      </c>
      <c r="X16" s="16">
        <v>130</v>
      </c>
      <c r="Y16" s="16">
        <v>3.2</v>
      </c>
      <c r="Z16" s="16">
        <v>5.8</v>
      </c>
      <c r="AA16" s="16">
        <v>101901</v>
      </c>
    </row>
    <row r="17" spans="1:27">
      <c r="A17" s="27">
        <v>10191</v>
      </c>
      <c r="B17" s="16" t="s">
        <v>37</v>
      </c>
      <c r="C17" s="16" t="s">
        <v>54</v>
      </c>
      <c r="D17" s="16" t="s">
        <v>31</v>
      </c>
      <c r="E17" s="16">
        <v>104</v>
      </c>
      <c r="F17" s="16">
        <v>128</v>
      </c>
      <c r="G17" s="16">
        <v>0</v>
      </c>
      <c r="H17" s="16">
        <v>120</v>
      </c>
      <c r="I17" s="16">
        <v>73</v>
      </c>
      <c r="J17" s="16">
        <v>0</v>
      </c>
      <c r="K17" s="26">
        <v>100</v>
      </c>
      <c r="L17" s="16">
        <v>44</v>
      </c>
      <c r="M17" s="16">
        <v>45</v>
      </c>
      <c r="N17" s="16">
        <v>28</v>
      </c>
      <c r="O17" s="16">
        <v>3</v>
      </c>
      <c r="P17" s="16">
        <v>5</v>
      </c>
      <c r="Q17" s="16">
        <v>4</v>
      </c>
      <c r="R17" s="39">
        <f t="shared" si="0"/>
        <v>0</v>
      </c>
      <c r="S17" s="16">
        <v>0</v>
      </c>
      <c r="T17" s="16">
        <v>0</v>
      </c>
      <c r="U17" s="16">
        <v>0</v>
      </c>
      <c r="V17" s="16">
        <v>0</v>
      </c>
      <c r="W17" s="16">
        <v>170</v>
      </c>
      <c r="X17" s="16">
        <v>200</v>
      </c>
      <c r="Y17" s="16">
        <v>6</v>
      </c>
      <c r="Z17" s="16">
        <v>11</v>
      </c>
      <c r="AA17" s="16">
        <v>101911</v>
      </c>
    </row>
    <row r="18" spans="1:28">
      <c r="A18" s="27">
        <v>10200</v>
      </c>
      <c r="B18" s="16" t="s">
        <v>37</v>
      </c>
      <c r="C18" s="25" t="s">
        <v>55</v>
      </c>
      <c r="D18" s="27" t="s">
        <v>47</v>
      </c>
      <c r="E18" s="31">
        <v>100</v>
      </c>
      <c r="F18" s="31">
        <v>109</v>
      </c>
      <c r="G18" s="31">
        <v>0</v>
      </c>
      <c r="H18" s="31">
        <v>100</v>
      </c>
      <c r="I18" s="31">
        <v>66</v>
      </c>
      <c r="J18" s="31">
        <v>0</v>
      </c>
      <c r="K18" s="31">
        <v>97</v>
      </c>
      <c r="L18" s="31">
        <v>48</v>
      </c>
      <c r="M18" s="31">
        <v>43</v>
      </c>
      <c r="N18" s="31">
        <v>30</v>
      </c>
      <c r="O18" s="31">
        <v>3</v>
      </c>
      <c r="P18" s="31">
        <v>5</v>
      </c>
      <c r="Q18" s="31">
        <v>4</v>
      </c>
      <c r="R18" s="16">
        <f t="shared" si="0"/>
        <v>16</v>
      </c>
      <c r="S18" s="31">
        <v>4</v>
      </c>
      <c r="T18" s="31">
        <v>4</v>
      </c>
      <c r="U18" s="31">
        <v>4</v>
      </c>
      <c r="V18" s="31">
        <v>4</v>
      </c>
      <c r="W18" s="31">
        <v>125</v>
      </c>
      <c r="X18" s="31">
        <v>165</v>
      </c>
      <c r="Y18" s="31">
        <v>4.8</v>
      </c>
      <c r="Z18" s="31">
        <v>9.9</v>
      </c>
      <c r="AA18" s="31">
        <v>102001</v>
      </c>
      <c r="AB18" s="31"/>
    </row>
    <row r="19" spans="1:27">
      <c r="A19" s="27">
        <v>10201</v>
      </c>
      <c r="B19" s="16" t="s">
        <v>37</v>
      </c>
      <c r="C19" s="16" t="s">
        <v>56</v>
      </c>
      <c r="D19" s="16" t="s">
        <v>57</v>
      </c>
      <c r="E19" s="16">
        <v>76</v>
      </c>
      <c r="F19" s="16">
        <v>112</v>
      </c>
      <c r="G19" s="16">
        <v>0</v>
      </c>
      <c r="H19" s="16">
        <v>92</v>
      </c>
      <c r="I19" s="16">
        <v>55</v>
      </c>
      <c r="J19" s="16">
        <v>0</v>
      </c>
      <c r="K19" s="26">
        <v>100</v>
      </c>
      <c r="L19" s="16">
        <v>48</v>
      </c>
      <c r="M19" s="16">
        <v>38</v>
      </c>
      <c r="N19" s="16">
        <v>24</v>
      </c>
      <c r="O19" s="16">
        <v>3</v>
      </c>
      <c r="P19" s="16">
        <v>5</v>
      </c>
      <c r="Q19" s="16">
        <v>4</v>
      </c>
      <c r="R19" s="39">
        <f t="shared" si="0"/>
        <v>0</v>
      </c>
      <c r="S19" s="16">
        <v>0</v>
      </c>
      <c r="T19" s="16">
        <v>0</v>
      </c>
      <c r="U19" s="16">
        <v>0</v>
      </c>
      <c r="V19" s="16">
        <v>0</v>
      </c>
      <c r="W19" s="16">
        <v>85</v>
      </c>
      <c r="X19" s="16">
        <v>130</v>
      </c>
      <c r="Y19" s="16">
        <v>4.1</v>
      </c>
      <c r="Z19" s="16">
        <v>8</v>
      </c>
      <c r="AA19" s="16">
        <v>102011</v>
      </c>
    </row>
    <row r="20" s="16" customFormat="1" spans="1:29">
      <c r="A20" s="27">
        <v>10202</v>
      </c>
      <c r="B20" s="16" t="s">
        <v>37</v>
      </c>
      <c r="C20" s="41" t="s">
        <v>58</v>
      </c>
      <c r="D20" s="16" t="s">
        <v>34</v>
      </c>
      <c r="E20" s="16">
        <v>84</v>
      </c>
      <c r="F20" s="16">
        <v>116</v>
      </c>
      <c r="G20" s="16">
        <v>0</v>
      </c>
      <c r="H20" s="16">
        <v>106</v>
      </c>
      <c r="I20" s="16">
        <v>110</v>
      </c>
      <c r="J20" s="16">
        <v>0</v>
      </c>
      <c r="K20" s="26">
        <v>102</v>
      </c>
      <c r="L20" s="16">
        <v>52</v>
      </c>
      <c r="M20" s="16">
        <v>49</v>
      </c>
      <c r="N20" s="16">
        <v>33</v>
      </c>
      <c r="O20" s="16">
        <v>3</v>
      </c>
      <c r="P20" s="16">
        <v>6</v>
      </c>
      <c r="Q20" s="16">
        <v>4</v>
      </c>
      <c r="R20" s="39">
        <f t="shared" si="0"/>
        <v>12</v>
      </c>
      <c r="S20" s="16">
        <v>3</v>
      </c>
      <c r="T20" s="16">
        <v>3</v>
      </c>
      <c r="U20" s="16">
        <v>3</v>
      </c>
      <c r="V20" s="16">
        <v>3</v>
      </c>
      <c r="W20" s="16">
        <v>135</v>
      </c>
      <c r="X20" s="16">
        <v>175</v>
      </c>
      <c r="Y20" s="16">
        <v>4.8</v>
      </c>
      <c r="Z20" s="16">
        <v>9</v>
      </c>
      <c r="AA20" s="16">
        <v>102021</v>
      </c>
      <c r="AC20" s="49" t="s">
        <v>59</v>
      </c>
    </row>
    <row r="21" spans="1:28">
      <c r="A21" s="27">
        <v>10205</v>
      </c>
      <c r="B21" s="16" t="s">
        <v>37</v>
      </c>
      <c r="C21" s="25" t="s">
        <v>60</v>
      </c>
      <c r="D21" s="27" t="s">
        <v>39</v>
      </c>
      <c r="E21" s="31">
        <v>74</v>
      </c>
      <c r="F21" s="31">
        <v>95</v>
      </c>
      <c r="G21" s="31">
        <v>0</v>
      </c>
      <c r="H21" s="31">
        <v>95</v>
      </c>
      <c r="I21" s="31">
        <v>85</v>
      </c>
      <c r="J21" s="31">
        <v>0</v>
      </c>
      <c r="K21" s="31">
        <v>96</v>
      </c>
      <c r="L21" s="31">
        <v>48</v>
      </c>
      <c r="M21" s="31">
        <v>42</v>
      </c>
      <c r="N21" s="31">
        <v>29</v>
      </c>
      <c r="O21" s="31">
        <v>3</v>
      </c>
      <c r="P21" s="31">
        <v>18</v>
      </c>
      <c r="Q21" s="31">
        <v>4</v>
      </c>
      <c r="R21" s="16">
        <f t="shared" si="0"/>
        <v>16</v>
      </c>
      <c r="S21" s="31">
        <v>4</v>
      </c>
      <c r="T21" s="31">
        <v>4</v>
      </c>
      <c r="U21" s="31">
        <v>4</v>
      </c>
      <c r="V21" s="31">
        <v>4</v>
      </c>
      <c r="W21" s="31">
        <v>90</v>
      </c>
      <c r="X21" s="31">
        <v>140</v>
      </c>
      <c r="Y21" s="31">
        <v>4.2</v>
      </c>
      <c r="Z21" s="31">
        <v>8</v>
      </c>
      <c r="AA21" s="31">
        <v>102051</v>
      </c>
      <c r="AB21" s="31"/>
    </row>
    <row r="22" spans="1:28">
      <c r="A22" s="27">
        <v>10206</v>
      </c>
      <c r="B22" s="16" t="s">
        <v>37</v>
      </c>
      <c r="C22" s="25" t="s">
        <v>61</v>
      </c>
      <c r="D22" s="27" t="s">
        <v>34</v>
      </c>
      <c r="E22" s="31">
        <v>74</v>
      </c>
      <c r="F22" s="31">
        <v>108</v>
      </c>
      <c r="G22" s="31">
        <v>0</v>
      </c>
      <c r="H22" s="31">
        <v>92</v>
      </c>
      <c r="I22" s="31">
        <v>90</v>
      </c>
      <c r="J22" s="31">
        <v>0</v>
      </c>
      <c r="K22" s="31">
        <v>96</v>
      </c>
      <c r="L22" s="31">
        <v>47</v>
      </c>
      <c r="M22" s="31">
        <v>45</v>
      </c>
      <c r="N22" s="31">
        <v>28</v>
      </c>
      <c r="O22" s="31">
        <v>3</v>
      </c>
      <c r="P22" s="31">
        <v>25</v>
      </c>
      <c r="Q22" s="31">
        <v>4</v>
      </c>
      <c r="R22" s="16">
        <f t="shared" si="0"/>
        <v>12</v>
      </c>
      <c r="S22" s="31">
        <v>3</v>
      </c>
      <c r="T22" s="31">
        <v>3</v>
      </c>
      <c r="U22" s="31">
        <v>3</v>
      </c>
      <c r="V22" s="31">
        <v>3</v>
      </c>
      <c r="W22" s="31">
        <v>95</v>
      </c>
      <c r="X22" s="31">
        <v>140</v>
      </c>
      <c r="Y22" s="31">
        <v>4.2</v>
      </c>
      <c r="Z22" s="31">
        <v>8</v>
      </c>
      <c r="AA22" s="31">
        <v>112061</v>
      </c>
      <c r="AB22" s="31"/>
    </row>
    <row r="23" s="16" customFormat="1" spans="1:29">
      <c r="A23" s="27">
        <v>10207</v>
      </c>
      <c r="B23" s="16" t="s">
        <v>37</v>
      </c>
      <c r="C23" s="25" t="s">
        <v>62</v>
      </c>
      <c r="D23" s="27" t="s">
        <v>34</v>
      </c>
      <c r="E23" s="31">
        <v>75</v>
      </c>
      <c r="F23" s="31">
        <v>108</v>
      </c>
      <c r="G23" s="31">
        <v>0</v>
      </c>
      <c r="H23" s="31">
        <v>100</v>
      </c>
      <c r="I23" s="31">
        <v>93</v>
      </c>
      <c r="J23" s="31">
        <v>0</v>
      </c>
      <c r="K23" s="31">
        <v>96</v>
      </c>
      <c r="L23" s="31">
        <v>46</v>
      </c>
      <c r="M23" s="31">
        <v>44</v>
      </c>
      <c r="N23" s="31">
        <v>27.5</v>
      </c>
      <c r="O23" s="31">
        <v>3</v>
      </c>
      <c r="P23" s="31">
        <v>13</v>
      </c>
      <c r="Q23" s="31">
        <v>4</v>
      </c>
      <c r="R23" s="16">
        <f t="shared" si="0"/>
        <v>12</v>
      </c>
      <c r="S23" s="31">
        <v>3</v>
      </c>
      <c r="T23" s="31">
        <v>3</v>
      </c>
      <c r="U23" s="31">
        <v>3</v>
      </c>
      <c r="V23" s="31">
        <v>3</v>
      </c>
      <c r="W23" s="31">
        <v>95</v>
      </c>
      <c r="X23" s="31">
        <v>140</v>
      </c>
      <c r="Y23" s="31">
        <v>4.2</v>
      </c>
      <c r="Z23" s="31">
        <v>8</v>
      </c>
      <c r="AA23" s="31">
        <v>112071</v>
      </c>
      <c r="AB23" s="31"/>
      <c r="AC23" s="29" t="s">
        <v>63</v>
      </c>
    </row>
    <row r="24" s="16" customFormat="1" spans="1:29">
      <c r="A24" s="27">
        <v>10208</v>
      </c>
      <c r="B24" s="16" t="s">
        <v>37</v>
      </c>
      <c r="C24" s="25" t="s">
        <v>64</v>
      </c>
      <c r="D24" s="27" t="s">
        <v>34</v>
      </c>
      <c r="E24" s="31">
        <v>75</v>
      </c>
      <c r="F24" s="31">
        <v>108</v>
      </c>
      <c r="G24" s="31">
        <v>0</v>
      </c>
      <c r="H24" s="31">
        <v>100</v>
      </c>
      <c r="I24" s="31">
        <v>96</v>
      </c>
      <c r="J24" s="31">
        <v>0</v>
      </c>
      <c r="K24" s="31">
        <v>96</v>
      </c>
      <c r="L24" s="31">
        <v>46</v>
      </c>
      <c r="M24" s="31">
        <v>44</v>
      </c>
      <c r="N24" s="31">
        <v>27.5</v>
      </c>
      <c r="O24" s="31">
        <v>3</v>
      </c>
      <c r="P24" s="31">
        <v>24</v>
      </c>
      <c r="Q24" s="31">
        <v>4</v>
      </c>
      <c r="R24" s="16">
        <f t="shared" si="0"/>
        <v>12</v>
      </c>
      <c r="S24" s="31">
        <v>3</v>
      </c>
      <c r="T24" s="31">
        <v>3</v>
      </c>
      <c r="U24" s="31">
        <v>3</v>
      </c>
      <c r="V24" s="31">
        <v>3</v>
      </c>
      <c r="W24" s="31">
        <v>95</v>
      </c>
      <c r="X24" s="31">
        <v>140</v>
      </c>
      <c r="Y24" s="31">
        <v>4.2</v>
      </c>
      <c r="Z24" s="31">
        <v>8</v>
      </c>
      <c r="AA24" s="31">
        <v>102081</v>
      </c>
      <c r="AB24" s="31"/>
      <c r="AC24" s="29" t="s">
        <v>63</v>
      </c>
    </row>
    <row r="25" s="16" customFormat="1" spans="1:29">
      <c r="A25" s="27">
        <v>10209</v>
      </c>
      <c r="B25" s="16" t="s">
        <v>37</v>
      </c>
      <c r="C25" s="25" t="s">
        <v>65</v>
      </c>
      <c r="D25" s="27" t="s">
        <v>34</v>
      </c>
      <c r="E25" s="31">
        <v>84</v>
      </c>
      <c r="F25" s="31">
        <v>116</v>
      </c>
      <c r="G25" s="31">
        <v>0</v>
      </c>
      <c r="H25" s="31">
        <v>102</v>
      </c>
      <c r="I25" s="31">
        <v>108</v>
      </c>
      <c r="J25" s="31">
        <v>0</v>
      </c>
      <c r="K25" s="31">
        <v>102</v>
      </c>
      <c r="L25" s="31">
        <v>52</v>
      </c>
      <c r="M25" s="31">
        <v>47</v>
      </c>
      <c r="N25" s="31">
        <v>33</v>
      </c>
      <c r="O25" s="31">
        <v>3</v>
      </c>
      <c r="P25" s="31">
        <v>24</v>
      </c>
      <c r="Q25" s="31">
        <v>4</v>
      </c>
      <c r="R25" s="16">
        <f t="shared" si="0"/>
        <v>12</v>
      </c>
      <c r="S25" s="31">
        <v>3</v>
      </c>
      <c r="T25" s="31">
        <v>3</v>
      </c>
      <c r="U25" s="31">
        <v>3</v>
      </c>
      <c r="V25" s="31">
        <v>3</v>
      </c>
      <c r="W25" s="31">
        <v>135</v>
      </c>
      <c r="X25" s="31">
        <v>175</v>
      </c>
      <c r="Y25" s="31">
        <v>4.8</v>
      </c>
      <c r="Z25" s="31">
        <v>9</v>
      </c>
      <c r="AA25" s="31">
        <v>102091</v>
      </c>
      <c r="AB25" s="31"/>
      <c r="AC25" s="29" t="s">
        <v>59</v>
      </c>
    </row>
    <row r="26" s="16" customFormat="1" spans="1:29">
      <c r="A26" s="27">
        <v>10210</v>
      </c>
      <c r="B26" s="16" t="s">
        <v>37</v>
      </c>
      <c r="C26" s="25" t="s">
        <v>66</v>
      </c>
      <c r="D26" s="27" t="s">
        <v>34</v>
      </c>
      <c r="E26" s="31">
        <v>84</v>
      </c>
      <c r="F26" s="31">
        <v>116</v>
      </c>
      <c r="G26" s="31">
        <v>0</v>
      </c>
      <c r="H26" s="31">
        <v>102</v>
      </c>
      <c r="I26" s="31">
        <v>106</v>
      </c>
      <c r="J26" s="31">
        <v>0</v>
      </c>
      <c r="K26" s="31">
        <v>102</v>
      </c>
      <c r="L26" s="31">
        <v>52</v>
      </c>
      <c r="M26" s="31">
        <v>45</v>
      </c>
      <c r="N26" s="31">
        <v>33</v>
      </c>
      <c r="O26" s="31">
        <v>3</v>
      </c>
      <c r="P26" s="31">
        <v>24</v>
      </c>
      <c r="Q26" s="31">
        <v>4</v>
      </c>
      <c r="R26" s="16">
        <f t="shared" si="0"/>
        <v>12</v>
      </c>
      <c r="S26" s="31">
        <v>3</v>
      </c>
      <c r="T26" s="31">
        <v>3</v>
      </c>
      <c r="U26" s="31">
        <v>3</v>
      </c>
      <c r="V26" s="31">
        <v>3</v>
      </c>
      <c r="W26" s="31">
        <v>135</v>
      </c>
      <c r="X26" s="31">
        <v>175</v>
      </c>
      <c r="Y26" s="31">
        <v>4.8</v>
      </c>
      <c r="Z26" s="31">
        <v>9</v>
      </c>
      <c r="AA26" s="31">
        <v>102101</v>
      </c>
      <c r="AB26" s="31"/>
      <c r="AC26" s="29" t="s">
        <v>59</v>
      </c>
    </row>
    <row r="27" s="16" customFormat="1" spans="1:29">
      <c r="A27" s="27">
        <v>10212</v>
      </c>
      <c r="B27" s="16" t="s">
        <v>37</v>
      </c>
      <c r="C27" s="16" t="s">
        <v>67</v>
      </c>
      <c r="D27" s="16" t="s">
        <v>68</v>
      </c>
      <c r="E27" s="16">
        <v>75</v>
      </c>
      <c r="F27" s="16">
        <v>101</v>
      </c>
      <c r="G27" s="16">
        <v>0</v>
      </c>
      <c r="H27" s="16">
        <v>98</v>
      </c>
      <c r="I27" s="16">
        <v>63</v>
      </c>
      <c r="J27" s="16">
        <v>0</v>
      </c>
      <c r="K27" s="26">
        <v>96</v>
      </c>
      <c r="L27" s="16">
        <v>50</v>
      </c>
      <c r="M27" s="16">
        <v>41</v>
      </c>
      <c r="N27" s="16">
        <v>31</v>
      </c>
      <c r="O27" s="16">
        <v>3</v>
      </c>
      <c r="P27" s="16">
        <v>17</v>
      </c>
      <c r="Q27" s="16">
        <v>4</v>
      </c>
      <c r="R27" s="39">
        <f t="shared" si="0"/>
        <v>12</v>
      </c>
      <c r="S27" s="16">
        <v>3</v>
      </c>
      <c r="T27" s="16">
        <v>3</v>
      </c>
      <c r="U27" s="16">
        <v>3</v>
      </c>
      <c r="V27" s="16">
        <v>3</v>
      </c>
      <c r="W27" s="16">
        <v>90</v>
      </c>
      <c r="X27" s="16">
        <v>130</v>
      </c>
      <c r="Y27" s="16">
        <v>4.2</v>
      </c>
      <c r="Z27" s="16">
        <v>8</v>
      </c>
      <c r="AA27" s="16">
        <v>102121</v>
      </c>
      <c r="AC27" s="29" t="s">
        <v>69</v>
      </c>
    </row>
    <row r="28" s="16" customFormat="1" spans="1:29">
      <c r="A28" s="27">
        <v>10213</v>
      </c>
      <c r="B28" s="16" t="s">
        <v>37</v>
      </c>
      <c r="C28" s="25" t="s">
        <v>70</v>
      </c>
      <c r="D28" s="27" t="s">
        <v>68</v>
      </c>
      <c r="E28" s="31">
        <v>75</v>
      </c>
      <c r="F28" s="31">
        <v>101</v>
      </c>
      <c r="G28" s="31">
        <v>0</v>
      </c>
      <c r="H28" s="31">
        <v>98</v>
      </c>
      <c r="I28" s="31">
        <v>65</v>
      </c>
      <c r="J28" s="31">
        <v>0</v>
      </c>
      <c r="K28" s="31">
        <v>96</v>
      </c>
      <c r="L28" s="31">
        <v>50</v>
      </c>
      <c r="M28" s="31">
        <v>41</v>
      </c>
      <c r="N28" s="31">
        <v>31</v>
      </c>
      <c r="O28" s="31">
        <v>3</v>
      </c>
      <c r="P28" s="31">
        <v>10</v>
      </c>
      <c r="Q28" s="31">
        <v>4</v>
      </c>
      <c r="R28" s="16">
        <f t="shared" si="0"/>
        <v>12</v>
      </c>
      <c r="S28" s="31">
        <v>3</v>
      </c>
      <c r="T28" s="31">
        <v>3</v>
      </c>
      <c r="U28" s="31">
        <v>3</v>
      </c>
      <c r="V28" s="31">
        <v>3</v>
      </c>
      <c r="W28" s="31">
        <v>90</v>
      </c>
      <c r="X28" s="31">
        <v>130</v>
      </c>
      <c r="Y28" s="31">
        <v>4.2</v>
      </c>
      <c r="Z28" s="31">
        <v>8</v>
      </c>
      <c r="AA28" s="31">
        <v>102131</v>
      </c>
      <c r="AB28" s="31"/>
      <c r="AC28" s="29" t="s">
        <v>69</v>
      </c>
    </row>
    <row r="29" spans="1:28">
      <c r="A29" s="27">
        <v>10214</v>
      </c>
      <c r="B29" s="16" t="s">
        <v>37</v>
      </c>
      <c r="C29" s="25" t="s">
        <v>71</v>
      </c>
      <c r="D29" s="27" t="s">
        <v>72</v>
      </c>
      <c r="E29" s="31">
        <v>92</v>
      </c>
      <c r="F29" s="31">
        <v>111</v>
      </c>
      <c r="G29" s="31">
        <v>0</v>
      </c>
      <c r="H29" s="31">
        <v>97</v>
      </c>
      <c r="I29" s="31">
        <v>67</v>
      </c>
      <c r="J29" s="31">
        <v>0</v>
      </c>
      <c r="K29" s="31">
        <v>96</v>
      </c>
      <c r="L29" s="31">
        <v>51</v>
      </c>
      <c r="M29" s="31">
        <v>38</v>
      </c>
      <c r="N29" s="31">
        <v>28</v>
      </c>
      <c r="O29" s="31">
        <v>3</v>
      </c>
      <c r="P29" s="31">
        <v>8</v>
      </c>
      <c r="Q29" s="31">
        <v>4</v>
      </c>
      <c r="R29" s="16">
        <f t="shared" si="0"/>
        <v>16</v>
      </c>
      <c r="S29" s="31">
        <v>4</v>
      </c>
      <c r="T29" s="31">
        <v>4</v>
      </c>
      <c r="U29" s="31">
        <v>4</v>
      </c>
      <c r="V29" s="31">
        <v>4</v>
      </c>
      <c r="W29" s="31">
        <v>125</v>
      </c>
      <c r="X29" s="31">
        <v>165</v>
      </c>
      <c r="Y29" s="31">
        <v>4.8</v>
      </c>
      <c r="Z29" s="31">
        <v>9</v>
      </c>
      <c r="AA29" s="31">
        <v>102141</v>
      </c>
      <c r="AB29" s="31"/>
    </row>
    <row r="30" spans="1:26">
      <c r="A30" s="27">
        <v>10219</v>
      </c>
      <c r="B30" s="16" t="s">
        <v>29</v>
      </c>
      <c r="C30" s="25" t="s">
        <v>73</v>
      </c>
      <c r="D30" s="16" t="s">
        <v>31</v>
      </c>
      <c r="E30" s="16">
        <v>62</v>
      </c>
      <c r="F30" s="16">
        <v>40</v>
      </c>
      <c r="G30" s="16">
        <v>0</v>
      </c>
      <c r="H30" s="16">
        <v>56</v>
      </c>
      <c r="I30" s="16">
        <v>66</v>
      </c>
      <c r="J30" s="16">
        <v>0</v>
      </c>
      <c r="K30" s="16">
        <v>96</v>
      </c>
      <c r="L30" s="16">
        <v>62</v>
      </c>
      <c r="M30" s="16">
        <v>73</v>
      </c>
      <c r="N30" s="16">
        <v>34.2</v>
      </c>
      <c r="O30" s="16">
        <v>1</v>
      </c>
      <c r="P30" s="16">
        <v>40</v>
      </c>
      <c r="Q30" s="16">
        <v>4</v>
      </c>
      <c r="R30" s="16">
        <f t="shared" si="0"/>
        <v>78</v>
      </c>
      <c r="S30" s="16">
        <v>19</v>
      </c>
      <c r="T30" s="16">
        <v>26</v>
      </c>
      <c r="U30" s="16">
        <v>21</v>
      </c>
      <c r="V30" s="16">
        <v>12</v>
      </c>
      <c r="W30" s="37">
        <v>60</v>
      </c>
      <c r="X30" s="37">
        <v>55</v>
      </c>
      <c r="Y30" s="37">
        <v>2.4</v>
      </c>
      <c r="Z30" s="37">
        <v>4.5</v>
      </c>
    </row>
    <row r="31" spans="1:26">
      <c r="A31" s="27">
        <v>10220</v>
      </c>
      <c r="B31" s="16" t="s">
        <v>29</v>
      </c>
      <c r="C31" s="25" t="s">
        <v>74</v>
      </c>
      <c r="D31" s="16" t="s">
        <v>31</v>
      </c>
      <c r="E31" s="16">
        <v>62</v>
      </c>
      <c r="F31" s="16">
        <v>40</v>
      </c>
      <c r="G31" s="16">
        <v>0</v>
      </c>
      <c r="H31" s="16">
        <v>56</v>
      </c>
      <c r="I31" s="16">
        <v>66</v>
      </c>
      <c r="J31" s="16">
        <v>0</v>
      </c>
      <c r="K31" s="16">
        <v>96</v>
      </c>
      <c r="L31" s="16">
        <v>57</v>
      </c>
      <c r="M31" s="16">
        <v>73</v>
      </c>
      <c r="N31" s="16">
        <v>34.2</v>
      </c>
      <c r="O31" s="16">
        <v>1</v>
      </c>
      <c r="P31" s="16">
        <v>10</v>
      </c>
      <c r="Q31" s="16">
        <v>4</v>
      </c>
      <c r="R31" s="16">
        <f t="shared" si="0"/>
        <v>78</v>
      </c>
      <c r="S31" s="16">
        <v>19</v>
      </c>
      <c r="T31" s="16">
        <v>26</v>
      </c>
      <c r="U31" s="16">
        <v>21</v>
      </c>
      <c r="V31" s="16">
        <v>12</v>
      </c>
      <c r="W31" s="37">
        <v>60</v>
      </c>
      <c r="X31" s="37">
        <v>55</v>
      </c>
      <c r="Y31" s="37">
        <v>2.4</v>
      </c>
      <c r="Z31" s="37">
        <v>4.5</v>
      </c>
    </row>
    <row r="32" spans="1:26">
      <c r="A32" s="27">
        <v>10221</v>
      </c>
      <c r="B32" s="16" t="s">
        <v>29</v>
      </c>
      <c r="C32" s="25" t="s">
        <v>75</v>
      </c>
      <c r="D32" s="16" t="s">
        <v>31</v>
      </c>
      <c r="E32" s="16">
        <v>48</v>
      </c>
      <c r="F32" s="16">
        <v>40</v>
      </c>
      <c r="G32" s="16">
        <v>0</v>
      </c>
      <c r="H32" s="16">
        <v>52</v>
      </c>
      <c r="I32" s="16">
        <v>60</v>
      </c>
      <c r="J32" s="16">
        <v>0</v>
      </c>
      <c r="K32" s="16">
        <v>95</v>
      </c>
      <c r="L32" s="16">
        <v>57</v>
      </c>
      <c r="M32" s="16">
        <v>65</v>
      </c>
      <c r="N32" s="16">
        <v>34.5</v>
      </c>
      <c r="O32" s="16">
        <v>1</v>
      </c>
      <c r="P32" s="16">
        <v>13</v>
      </c>
      <c r="Q32" s="16">
        <v>4</v>
      </c>
      <c r="R32" s="16">
        <f t="shared" si="0"/>
        <v>63</v>
      </c>
      <c r="S32" s="16">
        <v>21</v>
      </c>
      <c r="T32" s="16">
        <v>18</v>
      </c>
      <c r="U32" s="16">
        <v>18</v>
      </c>
      <c r="V32" s="16">
        <v>6</v>
      </c>
      <c r="W32" s="37">
        <v>60</v>
      </c>
      <c r="X32" s="37">
        <v>55</v>
      </c>
      <c r="Y32" s="37">
        <v>2.4</v>
      </c>
      <c r="Z32" s="37">
        <v>4.5</v>
      </c>
    </row>
    <row r="33" spans="1:26">
      <c r="A33" s="27">
        <v>10222</v>
      </c>
      <c r="B33" s="16" t="s">
        <v>29</v>
      </c>
      <c r="C33" s="25" t="s">
        <v>76</v>
      </c>
      <c r="D33" s="16" t="s">
        <v>31</v>
      </c>
      <c r="E33" s="16">
        <v>46</v>
      </c>
      <c r="F33" s="16">
        <v>35</v>
      </c>
      <c r="G33" s="16">
        <v>0</v>
      </c>
      <c r="H33" s="16">
        <v>50</v>
      </c>
      <c r="I33" s="16">
        <v>55</v>
      </c>
      <c r="J33" s="16">
        <v>0</v>
      </c>
      <c r="K33" s="16">
        <v>95</v>
      </c>
      <c r="L33" s="16">
        <v>57</v>
      </c>
      <c r="M33" s="16">
        <v>69</v>
      </c>
      <c r="N33" s="16">
        <v>34.5</v>
      </c>
      <c r="O33" s="16">
        <v>1</v>
      </c>
      <c r="P33" s="16">
        <v>10</v>
      </c>
      <c r="Q33" s="16">
        <v>4</v>
      </c>
      <c r="R33" s="16">
        <f t="shared" si="0"/>
        <v>63</v>
      </c>
      <c r="S33" s="16">
        <v>21</v>
      </c>
      <c r="T33" s="16">
        <v>18</v>
      </c>
      <c r="U33" s="16">
        <v>18</v>
      </c>
      <c r="V33" s="16">
        <v>6</v>
      </c>
      <c r="W33" s="37">
        <v>60</v>
      </c>
      <c r="X33" s="37">
        <v>55</v>
      </c>
      <c r="Y33" s="37">
        <v>2.4</v>
      </c>
      <c r="Z33" s="37">
        <v>4.5</v>
      </c>
    </row>
    <row r="34" spans="1:27">
      <c r="A34" s="27">
        <v>10223</v>
      </c>
      <c r="B34" s="16" t="s">
        <v>44</v>
      </c>
      <c r="C34" s="25" t="s">
        <v>77</v>
      </c>
      <c r="D34" s="16" t="s">
        <v>31</v>
      </c>
      <c r="E34" s="16">
        <v>96</v>
      </c>
      <c r="F34" s="16">
        <v>45</v>
      </c>
      <c r="G34" s="16">
        <v>0</v>
      </c>
      <c r="H34" s="16">
        <v>105</v>
      </c>
      <c r="I34" s="16">
        <v>68</v>
      </c>
      <c r="J34" s="16">
        <v>0</v>
      </c>
      <c r="K34" s="16">
        <v>86</v>
      </c>
      <c r="L34" s="16">
        <v>47</v>
      </c>
      <c r="M34" s="16">
        <v>74</v>
      </c>
      <c r="N34" s="16">
        <v>27</v>
      </c>
      <c r="O34" s="16">
        <v>1</v>
      </c>
      <c r="P34" s="16">
        <v>1</v>
      </c>
      <c r="Q34" s="16">
        <v>4</v>
      </c>
      <c r="R34" s="16">
        <f t="shared" si="0"/>
        <v>59</v>
      </c>
      <c r="S34" s="16">
        <v>12</v>
      </c>
      <c r="T34" s="16">
        <v>12</v>
      </c>
      <c r="U34" s="16">
        <v>35</v>
      </c>
      <c r="V34" s="16">
        <v>0</v>
      </c>
      <c r="W34" s="37">
        <v>110</v>
      </c>
      <c r="X34" s="37">
        <v>100</v>
      </c>
      <c r="Y34" s="37">
        <v>3.5</v>
      </c>
      <c r="Z34" s="37">
        <v>6</v>
      </c>
      <c r="AA34" s="16">
        <v>112231</v>
      </c>
    </row>
    <row r="35" spans="1:27">
      <c r="A35" s="27">
        <v>10224</v>
      </c>
      <c r="B35" s="16" t="s">
        <v>44</v>
      </c>
      <c r="C35" s="25" t="s">
        <v>78</v>
      </c>
      <c r="D35" s="16" t="s">
        <v>39</v>
      </c>
      <c r="E35" s="16">
        <v>66</v>
      </c>
      <c r="F35" s="16">
        <v>40</v>
      </c>
      <c r="G35" s="16">
        <v>0</v>
      </c>
      <c r="H35" s="16">
        <v>93</v>
      </c>
      <c r="I35" s="16">
        <v>85</v>
      </c>
      <c r="J35" s="16">
        <v>0</v>
      </c>
      <c r="K35" s="16">
        <v>85</v>
      </c>
      <c r="L35" s="16">
        <v>56</v>
      </c>
      <c r="M35" s="16">
        <v>69</v>
      </c>
      <c r="N35" s="16">
        <v>30.5</v>
      </c>
      <c r="O35" s="16">
        <v>1</v>
      </c>
      <c r="P35" s="16">
        <v>22</v>
      </c>
      <c r="Q35" s="16">
        <v>4</v>
      </c>
      <c r="R35" s="16">
        <f t="shared" si="0"/>
        <v>57</v>
      </c>
      <c r="S35" s="16">
        <v>10</v>
      </c>
      <c r="T35" s="16">
        <v>24</v>
      </c>
      <c r="U35" s="16">
        <v>15</v>
      </c>
      <c r="V35" s="16">
        <v>8</v>
      </c>
      <c r="W35" s="37">
        <v>70</v>
      </c>
      <c r="X35" s="37">
        <v>65</v>
      </c>
      <c r="Y35" s="37">
        <v>2.88</v>
      </c>
      <c r="Z35" s="37">
        <v>5.6</v>
      </c>
      <c r="AA35" s="16">
        <v>102241</v>
      </c>
    </row>
    <row r="36" spans="1:26">
      <c r="A36" s="27">
        <v>10225</v>
      </c>
      <c r="B36" s="16" t="s">
        <v>29</v>
      </c>
      <c r="C36" s="25" t="s">
        <v>79</v>
      </c>
      <c r="D36" s="16" t="s">
        <v>34</v>
      </c>
      <c r="E36" s="16">
        <v>37</v>
      </c>
      <c r="F36" s="16">
        <v>35</v>
      </c>
      <c r="G36" s="16">
        <v>0</v>
      </c>
      <c r="H36" s="16">
        <v>45</v>
      </c>
      <c r="I36" s="16">
        <v>65</v>
      </c>
      <c r="J36" s="16">
        <v>0</v>
      </c>
      <c r="K36" s="16">
        <v>95</v>
      </c>
      <c r="L36" s="16">
        <v>49</v>
      </c>
      <c r="M36" s="16">
        <v>67</v>
      </c>
      <c r="N36" s="16">
        <v>29.5</v>
      </c>
      <c r="O36" s="16">
        <v>1</v>
      </c>
      <c r="P36" s="16">
        <v>9</v>
      </c>
      <c r="Q36" s="16">
        <v>4</v>
      </c>
      <c r="R36" s="16">
        <f t="shared" si="0"/>
        <v>70</v>
      </c>
      <c r="S36" s="16">
        <v>15</v>
      </c>
      <c r="T36" s="16">
        <v>15</v>
      </c>
      <c r="U36" s="16">
        <v>25</v>
      </c>
      <c r="V36" s="16">
        <v>15</v>
      </c>
      <c r="W36" s="37">
        <v>55</v>
      </c>
      <c r="X36" s="37">
        <v>60</v>
      </c>
      <c r="Y36" s="37">
        <v>2.08</v>
      </c>
      <c r="Z36" s="37">
        <v>3.9</v>
      </c>
    </row>
    <row r="37" s="16" customFormat="1" spans="1:29">
      <c r="A37" s="27">
        <v>10226</v>
      </c>
      <c r="B37" s="16" t="s">
        <v>29</v>
      </c>
      <c r="C37" s="25" t="s">
        <v>80</v>
      </c>
      <c r="D37" s="16" t="s">
        <v>34</v>
      </c>
      <c r="E37" s="16">
        <v>60</v>
      </c>
      <c r="F37" s="16">
        <v>40</v>
      </c>
      <c r="G37" s="16">
        <v>0</v>
      </c>
      <c r="H37" s="16">
        <v>60</v>
      </c>
      <c r="I37" s="16">
        <v>90</v>
      </c>
      <c r="J37" s="16">
        <v>0</v>
      </c>
      <c r="K37" s="16">
        <v>96</v>
      </c>
      <c r="L37" s="16">
        <v>52</v>
      </c>
      <c r="M37" s="16">
        <v>77</v>
      </c>
      <c r="N37" s="16">
        <v>33</v>
      </c>
      <c r="O37" s="16">
        <v>1</v>
      </c>
      <c r="P37" s="16">
        <v>20</v>
      </c>
      <c r="Q37" s="16">
        <v>4</v>
      </c>
      <c r="R37" s="16">
        <f t="shared" si="0"/>
        <v>90</v>
      </c>
      <c r="S37" s="16">
        <v>18</v>
      </c>
      <c r="T37" s="16">
        <v>18</v>
      </c>
      <c r="U37" s="16">
        <v>36</v>
      </c>
      <c r="V37" s="16">
        <v>18</v>
      </c>
      <c r="W37" s="37">
        <v>60</v>
      </c>
      <c r="X37" s="37">
        <v>60</v>
      </c>
      <c r="Y37" s="37">
        <v>2.4</v>
      </c>
      <c r="Z37" s="37">
        <v>4.5</v>
      </c>
      <c r="AA37" s="16">
        <v>102261</v>
      </c>
      <c r="AC37" s="29" t="s">
        <v>81</v>
      </c>
    </row>
    <row r="38" s="16" customFormat="1" spans="1:29">
      <c r="A38" s="27">
        <v>10231</v>
      </c>
      <c r="B38" s="16" t="s">
        <v>29</v>
      </c>
      <c r="C38" s="16" t="s">
        <v>82</v>
      </c>
      <c r="D38" s="16" t="s">
        <v>34</v>
      </c>
      <c r="E38" s="16">
        <v>60</v>
      </c>
      <c r="F38" s="16">
        <v>40</v>
      </c>
      <c r="G38" s="16">
        <v>0</v>
      </c>
      <c r="H38" s="16">
        <v>60</v>
      </c>
      <c r="I38" s="16">
        <v>92</v>
      </c>
      <c r="J38" s="16">
        <v>0</v>
      </c>
      <c r="K38" s="26">
        <v>96</v>
      </c>
      <c r="L38" s="16">
        <v>52</v>
      </c>
      <c r="M38" s="16">
        <v>77</v>
      </c>
      <c r="N38" s="16">
        <v>33</v>
      </c>
      <c r="O38" s="16">
        <v>1</v>
      </c>
      <c r="P38" s="16">
        <v>20</v>
      </c>
      <c r="Q38" s="16">
        <v>4</v>
      </c>
      <c r="R38" s="39">
        <f t="shared" si="0"/>
        <v>90</v>
      </c>
      <c r="S38" s="16">
        <v>18</v>
      </c>
      <c r="T38" s="16">
        <v>18</v>
      </c>
      <c r="U38" s="16">
        <v>36</v>
      </c>
      <c r="V38" s="16">
        <v>18</v>
      </c>
      <c r="W38" s="16">
        <v>60</v>
      </c>
      <c r="X38" s="16">
        <v>60</v>
      </c>
      <c r="Y38" s="16">
        <v>2.4</v>
      </c>
      <c r="Z38" s="16">
        <v>4.5</v>
      </c>
      <c r="AA38" s="16">
        <v>102311</v>
      </c>
      <c r="AC38" s="29" t="s">
        <v>81</v>
      </c>
    </row>
    <row r="39" spans="1:26">
      <c r="A39" s="27">
        <v>10232</v>
      </c>
      <c r="B39" s="16" t="s">
        <v>29</v>
      </c>
      <c r="C39" s="25" t="s">
        <v>83</v>
      </c>
      <c r="D39" s="16" t="s">
        <v>43</v>
      </c>
      <c r="E39" s="16">
        <v>62</v>
      </c>
      <c r="F39" s="16">
        <v>35</v>
      </c>
      <c r="G39" s="16">
        <v>0</v>
      </c>
      <c r="H39" s="16">
        <v>59</v>
      </c>
      <c r="I39" s="16">
        <v>59</v>
      </c>
      <c r="J39" s="16">
        <v>0</v>
      </c>
      <c r="K39" s="16">
        <v>94</v>
      </c>
      <c r="L39" s="16">
        <v>41</v>
      </c>
      <c r="M39" s="16">
        <v>59</v>
      </c>
      <c r="N39" s="16">
        <v>21.5</v>
      </c>
      <c r="O39" s="16">
        <v>1</v>
      </c>
      <c r="P39" s="16">
        <v>16</v>
      </c>
      <c r="Q39" s="16">
        <v>4</v>
      </c>
      <c r="R39" s="16">
        <f t="shared" si="0"/>
        <v>40</v>
      </c>
      <c r="S39" s="16">
        <v>12</v>
      </c>
      <c r="T39" s="16">
        <v>12</v>
      </c>
      <c r="U39" s="16">
        <v>12</v>
      </c>
      <c r="V39" s="16">
        <v>4</v>
      </c>
      <c r="W39" s="31">
        <v>50</v>
      </c>
      <c r="X39" s="31">
        <v>55</v>
      </c>
      <c r="Y39" s="31">
        <v>2.08</v>
      </c>
      <c r="Z39" s="31">
        <v>3.9</v>
      </c>
    </row>
    <row r="40" spans="1:28">
      <c r="A40" s="27">
        <v>10241</v>
      </c>
      <c r="B40" s="16" t="s">
        <v>84</v>
      </c>
      <c r="C40" s="25" t="s">
        <v>85</v>
      </c>
      <c r="D40" s="27" t="s">
        <v>34</v>
      </c>
      <c r="E40" s="31">
        <v>52</v>
      </c>
      <c r="F40" s="31">
        <v>68</v>
      </c>
      <c r="G40" s="31">
        <v>0</v>
      </c>
      <c r="H40" s="31">
        <v>56</v>
      </c>
      <c r="I40" s="31">
        <v>90</v>
      </c>
      <c r="J40" s="31">
        <v>0</v>
      </c>
      <c r="K40" s="31">
        <v>93</v>
      </c>
      <c r="L40" s="31">
        <v>75</v>
      </c>
      <c r="M40" s="31">
        <v>56</v>
      </c>
      <c r="N40" s="31">
        <v>33</v>
      </c>
      <c r="O40" s="31">
        <v>2</v>
      </c>
      <c r="P40" s="31">
        <v>17</v>
      </c>
      <c r="Q40" s="31">
        <v>3</v>
      </c>
      <c r="R40" s="16">
        <f t="shared" si="0"/>
        <v>6</v>
      </c>
      <c r="S40" s="31">
        <v>2</v>
      </c>
      <c r="T40" s="31">
        <v>2</v>
      </c>
      <c r="U40" s="31">
        <v>2</v>
      </c>
      <c r="V40" s="31">
        <v>0</v>
      </c>
      <c r="W40" s="31">
        <v>40</v>
      </c>
      <c r="X40" s="31">
        <v>70</v>
      </c>
      <c r="Y40" s="31">
        <v>1.28</v>
      </c>
      <c r="Z40" s="31">
        <v>2.4</v>
      </c>
      <c r="AA40" s="31">
        <v>112411</v>
      </c>
      <c r="AB40" s="31"/>
    </row>
    <row r="41" spans="1:28">
      <c r="A41" s="27">
        <v>10243</v>
      </c>
      <c r="B41" s="16" t="s">
        <v>84</v>
      </c>
      <c r="C41" s="25" t="s">
        <v>86</v>
      </c>
      <c r="D41" s="27" t="s">
        <v>34</v>
      </c>
      <c r="E41" s="31">
        <v>52</v>
      </c>
      <c r="F41" s="31">
        <v>83</v>
      </c>
      <c r="G41" s="31">
        <v>0</v>
      </c>
      <c r="H41" s="31">
        <v>58</v>
      </c>
      <c r="I41" s="31">
        <v>108</v>
      </c>
      <c r="J41" s="31">
        <v>0</v>
      </c>
      <c r="K41" s="31">
        <v>94</v>
      </c>
      <c r="L41" s="31">
        <v>75</v>
      </c>
      <c r="M41" s="31">
        <v>56</v>
      </c>
      <c r="N41" s="31">
        <v>33</v>
      </c>
      <c r="O41" s="31">
        <v>2</v>
      </c>
      <c r="P41" s="31">
        <v>11</v>
      </c>
      <c r="Q41" s="31">
        <v>3</v>
      </c>
      <c r="R41" s="16">
        <f t="shared" si="0"/>
        <v>9</v>
      </c>
      <c r="S41" s="31">
        <v>3</v>
      </c>
      <c r="T41" s="31">
        <v>3</v>
      </c>
      <c r="U41" s="31">
        <v>3</v>
      </c>
      <c r="V41" s="31">
        <v>0</v>
      </c>
      <c r="W41" s="31">
        <v>40</v>
      </c>
      <c r="X41" s="31">
        <v>70</v>
      </c>
      <c r="Y41" s="31">
        <v>1.28</v>
      </c>
      <c r="Z41" s="31">
        <v>2.4</v>
      </c>
      <c r="AA41" s="31">
        <v>102431</v>
      </c>
      <c r="AB41" s="31"/>
    </row>
    <row r="42" spans="1:26">
      <c r="A42" s="27">
        <v>10282</v>
      </c>
      <c r="B42" s="16" t="s">
        <v>87</v>
      </c>
      <c r="C42" s="16" t="s">
        <v>88</v>
      </c>
      <c r="D42" s="16" t="s">
        <v>89</v>
      </c>
      <c r="E42" s="16">
        <v>8</v>
      </c>
      <c r="F42" s="16">
        <v>21</v>
      </c>
      <c r="G42" s="16">
        <v>61</v>
      </c>
      <c r="H42" s="16">
        <v>20</v>
      </c>
      <c r="I42" s="16">
        <v>0</v>
      </c>
      <c r="J42" s="16">
        <v>0</v>
      </c>
      <c r="K42" s="26">
        <v>95</v>
      </c>
      <c r="L42" s="16">
        <v>42</v>
      </c>
      <c r="M42" s="16">
        <v>45</v>
      </c>
      <c r="N42" s="16">
        <v>13</v>
      </c>
      <c r="O42" s="16">
        <v>1</v>
      </c>
      <c r="P42" s="16">
        <v>1</v>
      </c>
      <c r="Q42" s="16">
        <v>2</v>
      </c>
      <c r="R42" s="39">
        <f t="shared" si="0"/>
        <v>0</v>
      </c>
      <c r="S42" s="16">
        <v>0</v>
      </c>
      <c r="T42" s="16">
        <v>0</v>
      </c>
      <c r="U42" s="16">
        <v>0</v>
      </c>
      <c r="V42" s="16">
        <v>0</v>
      </c>
      <c r="W42" s="16">
        <v>10</v>
      </c>
      <c r="X42" s="16">
        <v>15</v>
      </c>
      <c r="Y42" s="16">
        <v>0.445</v>
      </c>
      <c r="Z42" s="16">
        <v>0.4</v>
      </c>
    </row>
    <row r="43" spans="1:26">
      <c r="A43" s="27">
        <v>10283</v>
      </c>
      <c r="B43" s="16" t="s">
        <v>87</v>
      </c>
      <c r="C43" s="16" t="s">
        <v>90</v>
      </c>
      <c r="D43" s="16" t="s">
        <v>89</v>
      </c>
      <c r="E43" s="16">
        <v>8</v>
      </c>
      <c r="F43" s="16">
        <v>21</v>
      </c>
      <c r="G43" s="16">
        <v>61</v>
      </c>
      <c r="H43" s="16">
        <v>20</v>
      </c>
      <c r="I43" s="16">
        <v>0</v>
      </c>
      <c r="J43" s="16">
        <v>0</v>
      </c>
      <c r="K43" s="26">
        <v>95</v>
      </c>
      <c r="L43" s="16">
        <v>42</v>
      </c>
      <c r="M43" s="16">
        <v>45</v>
      </c>
      <c r="N43" s="16">
        <v>13</v>
      </c>
      <c r="O43" s="16">
        <v>1</v>
      </c>
      <c r="P43" s="16">
        <v>1</v>
      </c>
      <c r="Q43" s="16">
        <v>2</v>
      </c>
      <c r="R43" s="39">
        <f t="shared" si="0"/>
        <v>0</v>
      </c>
      <c r="S43" s="16">
        <v>0</v>
      </c>
      <c r="T43" s="16">
        <v>0</v>
      </c>
      <c r="U43" s="16">
        <v>0</v>
      </c>
      <c r="V43" s="16">
        <v>0</v>
      </c>
      <c r="W43" s="16">
        <v>10</v>
      </c>
      <c r="X43" s="16">
        <v>15</v>
      </c>
      <c r="Y43" s="16">
        <v>0.445</v>
      </c>
      <c r="Z43" s="16">
        <v>0.4</v>
      </c>
    </row>
    <row r="44" spans="1:27">
      <c r="A44" s="27">
        <v>10285</v>
      </c>
      <c r="B44" s="16" t="s">
        <v>29</v>
      </c>
      <c r="C44" s="16" t="s">
        <v>91</v>
      </c>
      <c r="D44" s="16" t="s">
        <v>72</v>
      </c>
      <c r="E44" s="16">
        <v>60</v>
      </c>
      <c r="F44" s="16">
        <v>40</v>
      </c>
      <c r="G44" s="16">
        <v>0</v>
      </c>
      <c r="H44" s="16">
        <v>59</v>
      </c>
      <c r="I44" s="16">
        <v>96</v>
      </c>
      <c r="J44" s="16">
        <v>0</v>
      </c>
      <c r="K44" s="26">
        <v>95</v>
      </c>
      <c r="L44" s="16">
        <v>54</v>
      </c>
      <c r="M44" s="16">
        <v>80</v>
      </c>
      <c r="N44" s="16">
        <v>31.4</v>
      </c>
      <c r="O44" s="16">
        <v>1</v>
      </c>
      <c r="P44" s="16">
        <v>0</v>
      </c>
      <c r="Q44" s="16">
        <v>4</v>
      </c>
      <c r="R44" s="39">
        <f t="shared" si="0"/>
        <v>60</v>
      </c>
      <c r="S44" s="16">
        <v>15</v>
      </c>
      <c r="T44" s="16">
        <v>15</v>
      </c>
      <c r="U44" s="16">
        <v>18</v>
      </c>
      <c r="V44" s="16">
        <v>12</v>
      </c>
      <c r="W44" s="16">
        <v>60</v>
      </c>
      <c r="X44" s="16">
        <v>65</v>
      </c>
      <c r="Y44" s="16">
        <v>2.4</v>
      </c>
      <c r="Z44" s="16">
        <v>4.8</v>
      </c>
      <c r="AA44" s="16">
        <v>102851</v>
      </c>
    </row>
    <row r="45" spans="1:27">
      <c r="A45" s="27">
        <v>10287</v>
      </c>
      <c r="B45" s="16" t="s">
        <v>92</v>
      </c>
      <c r="C45" s="16" t="s">
        <v>93</v>
      </c>
      <c r="D45" s="16" t="s">
        <v>89</v>
      </c>
      <c r="E45" s="16">
        <v>20</v>
      </c>
      <c r="F45" s="16">
        <v>37</v>
      </c>
      <c r="G45" s="16">
        <v>0</v>
      </c>
      <c r="H45" s="16">
        <v>23</v>
      </c>
      <c r="I45" s="16">
        <v>87</v>
      </c>
      <c r="J45" s="16">
        <v>89</v>
      </c>
      <c r="K45" s="26">
        <v>99</v>
      </c>
      <c r="L45" s="16">
        <v>82</v>
      </c>
      <c r="M45" s="16">
        <v>41</v>
      </c>
      <c r="N45" s="16">
        <v>28</v>
      </c>
      <c r="O45" s="16">
        <v>1</v>
      </c>
      <c r="P45" s="16">
        <v>20</v>
      </c>
      <c r="Q45" s="16">
        <v>3</v>
      </c>
      <c r="R45" s="39">
        <f t="shared" si="0"/>
        <v>60</v>
      </c>
      <c r="S45" s="16">
        <v>20</v>
      </c>
      <c r="T45" s="16">
        <v>20</v>
      </c>
      <c r="U45" s="16">
        <v>20</v>
      </c>
      <c r="V45" s="16">
        <v>0</v>
      </c>
      <c r="W45" s="16">
        <v>15</v>
      </c>
      <c r="X45" s="16">
        <v>25</v>
      </c>
      <c r="Y45" s="16">
        <v>0.5</v>
      </c>
      <c r="Z45" s="16">
        <v>1</v>
      </c>
      <c r="AA45" s="16">
        <v>102871</v>
      </c>
    </row>
    <row r="46" spans="1:28">
      <c r="A46" s="27">
        <v>10299</v>
      </c>
      <c r="B46" s="16" t="s">
        <v>37</v>
      </c>
      <c r="C46" s="25" t="s">
        <v>94</v>
      </c>
      <c r="D46" s="27" t="s">
        <v>43</v>
      </c>
      <c r="E46" s="31">
        <v>80</v>
      </c>
      <c r="F46" s="31">
        <v>96</v>
      </c>
      <c r="G46" s="31">
        <v>0</v>
      </c>
      <c r="H46" s="31">
        <v>105</v>
      </c>
      <c r="I46" s="31">
        <v>109</v>
      </c>
      <c r="J46" s="31">
        <v>0</v>
      </c>
      <c r="K46" s="38">
        <v>96</v>
      </c>
      <c r="L46" s="31">
        <v>49</v>
      </c>
      <c r="M46" s="31">
        <v>44</v>
      </c>
      <c r="N46" s="31">
        <v>32</v>
      </c>
      <c r="O46" s="31">
        <v>3</v>
      </c>
      <c r="P46" s="31">
        <v>18</v>
      </c>
      <c r="Q46" s="31">
        <v>4</v>
      </c>
      <c r="R46" s="16">
        <f t="shared" si="0"/>
        <v>0</v>
      </c>
      <c r="S46" s="31">
        <v>0</v>
      </c>
      <c r="T46" s="31">
        <v>0</v>
      </c>
      <c r="U46" s="31">
        <v>0</v>
      </c>
      <c r="V46" s="31">
        <v>0</v>
      </c>
      <c r="W46" s="31">
        <v>95</v>
      </c>
      <c r="X46" s="31">
        <v>135</v>
      </c>
      <c r="Y46" s="31">
        <v>4.3</v>
      </c>
      <c r="Z46" s="31">
        <v>8</v>
      </c>
      <c r="AA46" s="31">
        <v>102991</v>
      </c>
      <c r="AB46" s="31"/>
    </row>
    <row r="47" spans="1:27">
      <c r="A47" s="27">
        <v>10300</v>
      </c>
      <c r="B47" s="16" t="s">
        <v>29</v>
      </c>
      <c r="C47" s="16" t="s">
        <v>95</v>
      </c>
      <c r="D47" s="16" t="s">
        <v>39</v>
      </c>
      <c r="E47" s="16">
        <v>92</v>
      </c>
      <c r="F47" s="16">
        <v>45</v>
      </c>
      <c r="G47" s="16">
        <v>0</v>
      </c>
      <c r="H47" s="16">
        <v>78</v>
      </c>
      <c r="I47" s="16">
        <v>100</v>
      </c>
      <c r="J47" s="16">
        <v>0</v>
      </c>
      <c r="K47" s="26">
        <v>96</v>
      </c>
      <c r="L47" s="16">
        <v>59</v>
      </c>
      <c r="M47" s="16">
        <v>77</v>
      </c>
      <c r="N47" s="16">
        <v>33.2</v>
      </c>
      <c r="O47" s="16">
        <v>1</v>
      </c>
      <c r="P47" s="16">
        <v>6</v>
      </c>
      <c r="Q47" s="16">
        <v>4</v>
      </c>
      <c r="R47" s="39">
        <f t="shared" si="0"/>
        <v>97</v>
      </c>
      <c r="S47" s="16">
        <v>25</v>
      </c>
      <c r="T47" s="16">
        <v>25</v>
      </c>
      <c r="U47" s="16">
        <v>24</v>
      </c>
      <c r="V47" s="16">
        <v>23</v>
      </c>
      <c r="W47" s="16">
        <v>95</v>
      </c>
      <c r="X47" s="16">
        <v>125</v>
      </c>
      <c r="Y47" s="16">
        <v>4.8</v>
      </c>
      <c r="Z47" s="16">
        <v>8.5</v>
      </c>
      <c r="AA47" s="16">
        <v>103001</v>
      </c>
    </row>
    <row r="48" spans="1:28">
      <c r="A48" s="27">
        <v>10305</v>
      </c>
      <c r="B48" s="16" t="s">
        <v>37</v>
      </c>
      <c r="C48" s="25" t="s">
        <v>96</v>
      </c>
      <c r="D48" s="27" t="s">
        <v>39</v>
      </c>
      <c r="E48" s="31">
        <v>74</v>
      </c>
      <c r="F48" s="31">
        <v>95</v>
      </c>
      <c r="G48" s="31">
        <v>0</v>
      </c>
      <c r="H48" s="31">
        <v>95</v>
      </c>
      <c r="I48" s="31">
        <v>85</v>
      </c>
      <c r="J48" s="31">
        <v>0</v>
      </c>
      <c r="K48" s="31">
        <v>96</v>
      </c>
      <c r="L48" s="31">
        <v>48</v>
      </c>
      <c r="M48" s="31">
        <v>42</v>
      </c>
      <c r="N48" s="31">
        <v>29</v>
      </c>
      <c r="O48" s="31">
        <v>3</v>
      </c>
      <c r="P48" s="31">
        <v>24</v>
      </c>
      <c r="Q48" s="31">
        <v>4</v>
      </c>
      <c r="R48" s="16">
        <f t="shared" si="0"/>
        <v>16</v>
      </c>
      <c r="S48" s="31">
        <v>4</v>
      </c>
      <c r="T48" s="31">
        <v>4</v>
      </c>
      <c r="U48" s="31">
        <v>4</v>
      </c>
      <c r="V48" s="31">
        <v>4</v>
      </c>
      <c r="W48" s="31">
        <v>90</v>
      </c>
      <c r="X48" s="31">
        <v>140</v>
      </c>
      <c r="Y48" s="31">
        <v>4.2</v>
      </c>
      <c r="Z48" s="31">
        <v>8</v>
      </c>
      <c r="AA48" s="31">
        <v>103051</v>
      </c>
      <c r="AB48" s="31"/>
    </row>
    <row r="49" spans="1:27">
      <c r="A49" s="27">
        <v>10307</v>
      </c>
      <c r="B49" s="16" t="s">
        <v>97</v>
      </c>
      <c r="C49" s="16" t="s">
        <v>98</v>
      </c>
      <c r="D49" s="16" t="s">
        <v>34</v>
      </c>
      <c r="E49" s="16">
        <v>40</v>
      </c>
      <c r="F49" s="16">
        <v>28</v>
      </c>
      <c r="G49" s="16">
        <v>0</v>
      </c>
      <c r="H49" s="16">
        <v>22</v>
      </c>
      <c r="I49" s="16">
        <v>45</v>
      </c>
      <c r="J49" s="16">
        <v>0</v>
      </c>
      <c r="K49" s="16">
        <v>87</v>
      </c>
      <c r="L49" s="16">
        <v>76</v>
      </c>
      <c r="M49" s="16">
        <v>17</v>
      </c>
      <c r="N49" s="16">
        <v>16</v>
      </c>
      <c r="O49" s="16">
        <v>1</v>
      </c>
      <c r="P49" s="16">
        <v>25</v>
      </c>
      <c r="Q49" s="16">
        <v>3</v>
      </c>
      <c r="R49" s="39">
        <f t="shared" si="0"/>
        <v>0</v>
      </c>
      <c r="S49" s="16">
        <v>0</v>
      </c>
      <c r="T49" s="16">
        <v>0</v>
      </c>
      <c r="U49" s="16">
        <v>0</v>
      </c>
      <c r="V49" s="16">
        <v>0</v>
      </c>
      <c r="W49" s="16">
        <v>40</v>
      </c>
      <c r="X49" s="16">
        <v>20</v>
      </c>
      <c r="Y49" s="16">
        <v>1.28</v>
      </c>
      <c r="Z49" s="16">
        <v>2.4</v>
      </c>
      <c r="AA49" s="16">
        <v>103071</v>
      </c>
    </row>
    <row r="50" spans="1:27">
      <c r="A50" s="27">
        <v>10319</v>
      </c>
      <c r="B50" s="16" t="s">
        <v>44</v>
      </c>
      <c r="C50" s="25" t="s">
        <v>99</v>
      </c>
      <c r="D50" s="16" t="s">
        <v>39</v>
      </c>
      <c r="E50" s="16">
        <v>66</v>
      </c>
      <c r="F50" s="16">
        <v>40</v>
      </c>
      <c r="G50" s="16">
        <v>0</v>
      </c>
      <c r="H50" s="16">
        <v>86</v>
      </c>
      <c r="I50" s="16">
        <v>88</v>
      </c>
      <c r="J50" s="16">
        <v>0</v>
      </c>
      <c r="K50" s="16">
        <v>85</v>
      </c>
      <c r="L50" s="16">
        <v>56</v>
      </c>
      <c r="M50" s="16">
        <v>67</v>
      </c>
      <c r="N50" s="16">
        <v>30.5</v>
      </c>
      <c r="O50" s="16">
        <v>1</v>
      </c>
      <c r="P50" s="16">
        <v>24</v>
      </c>
      <c r="Q50" s="16">
        <v>4</v>
      </c>
      <c r="R50" s="16">
        <f t="shared" si="0"/>
        <v>66</v>
      </c>
      <c r="S50" s="16">
        <v>12</v>
      </c>
      <c r="T50" s="16">
        <v>24</v>
      </c>
      <c r="U50" s="16">
        <v>20</v>
      </c>
      <c r="V50" s="16">
        <v>10</v>
      </c>
      <c r="W50" s="37">
        <v>70</v>
      </c>
      <c r="X50" s="37">
        <v>65</v>
      </c>
      <c r="Y50" s="37">
        <v>2.88</v>
      </c>
      <c r="Z50" s="37">
        <v>5.4</v>
      </c>
      <c r="AA50" s="16">
        <v>103191</v>
      </c>
    </row>
    <row r="51" spans="1:27">
      <c r="A51" s="27">
        <v>10321</v>
      </c>
      <c r="B51" s="16" t="s">
        <v>37</v>
      </c>
      <c r="C51" s="16" t="s">
        <v>100</v>
      </c>
      <c r="D51" s="16" t="s">
        <v>68</v>
      </c>
      <c r="E51" s="16">
        <v>72</v>
      </c>
      <c r="F51" s="16">
        <v>108</v>
      </c>
      <c r="G51" s="16">
        <v>0</v>
      </c>
      <c r="H51" s="16">
        <v>90</v>
      </c>
      <c r="I51" s="16">
        <v>54</v>
      </c>
      <c r="J51" s="16">
        <v>0</v>
      </c>
      <c r="K51" s="26">
        <v>100</v>
      </c>
      <c r="L51" s="16">
        <v>46</v>
      </c>
      <c r="M51" s="16">
        <v>42</v>
      </c>
      <c r="N51" s="16">
        <v>26</v>
      </c>
      <c r="O51" s="16">
        <v>3</v>
      </c>
      <c r="P51" s="16">
        <v>6</v>
      </c>
      <c r="Q51" s="16">
        <v>4</v>
      </c>
      <c r="R51" s="39">
        <f t="shared" si="0"/>
        <v>0</v>
      </c>
      <c r="S51" s="16">
        <v>0</v>
      </c>
      <c r="T51" s="16">
        <v>0</v>
      </c>
      <c r="U51" s="16">
        <v>0</v>
      </c>
      <c r="V51" s="16">
        <v>0</v>
      </c>
      <c r="W51" s="16">
        <v>85</v>
      </c>
      <c r="X51" s="16">
        <v>145</v>
      </c>
      <c r="Y51" s="16">
        <v>2.5</v>
      </c>
      <c r="Z51" s="16">
        <v>4.6</v>
      </c>
      <c r="AA51" s="16">
        <v>103211</v>
      </c>
    </row>
    <row r="52" s="16" customFormat="1" spans="1:29">
      <c r="A52" s="27">
        <v>10325</v>
      </c>
      <c r="B52" s="16" t="s">
        <v>29</v>
      </c>
      <c r="C52" s="25" t="s">
        <v>101</v>
      </c>
      <c r="D52" s="16" t="s">
        <v>34</v>
      </c>
      <c r="E52" s="16">
        <v>60</v>
      </c>
      <c r="F52" s="16">
        <v>40</v>
      </c>
      <c r="G52" s="16">
        <v>0</v>
      </c>
      <c r="H52" s="16">
        <v>60</v>
      </c>
      <c r="I52" s="16">
        <v>95</v>
      </c>
      <c r="J52" s="16">
        <v>0</v>
      </c>
      <c r="K52" s="16">
        <v>96</v>
      </c>
      <c r="L52" s="16">
        <v>52</v>
      </c>
      <c r="M52" s="16">
        <v>77</v>
      </c>
      <c r="N52" s="16">
        <v>33</v>
      </c>
      <c r="O52" s="16">
        <v>1</v>
      </c>
      <c r="P52" s="16">
        <v>25</v>
      </c>
      <c r="Q52" s="16">
        <v>4</v>
      </c>
      <c r="R52" s="16">
        <f t="shared" si="0"/>
        <v>90</v>
      </c>
      <c r="S52" s="16">
        <v>18</v>
      </c>
      <c r="T52" s="16">
        <v>18</v>
      </c>
      <c r="U52" s="16">
        <v>36</v>
      </c>
      <c r="V52" s="16">
        <v>18</v>
      </c>
      <c r="W52" s="37">
        <v>60</v>
      </c>
      <c r="X52" s="37">
        <v>60</v>
      </c>
      <c r="Y52" s="37">
        <v>2.4</v>
      </c>
      <c r="Z52" s="37">
        <v>4.5</v>
      </c>
      <c r="AA52" s="16">
        <v>103251</v>
      </c>
      <c r="AC52" s="29" t="s">
        <v>81</v>
      </c>
    </row>
    <row r="53" spans="1:27">
      <c r="A53" s="27">
        <v>10331</v>
      </c>
      <c r="B53" s="16" t="s">
        <v>51</v>
      </c>
      <c r="C53" s="25" t="s">
        <v>102</v>
      </c>
      <c r="D53" s="27" t="s">
        <v>39</v>
      </c>
      <c r="E53" s="31">
        <v>80</v>
      </c>
      <c r="F53" s="31">
        <v>118</v>
      </c>
      <c r="G53" s="31">
        <v>38</v>
      </c>
      <c r="H53" s="31">
        <v>83</v>
      </c>
      <c r="I53" s="31">
        <v>50</v>
      </c>
      <c r="J53" s="31">
        <v>0</v>
      </c>
      <c r="K53" s="31">
        <v>96</v>
      </c>
      <c r="L53" s="31">
        <v>51</v>
      </c>
      <c r="M53" s="31">
        <v>42</v>
      </c>
      <c r="N53" s="31">
        <v>35</v>
      </c>
      <c r="O53" s="31">
        <v>3</v>
      </c>
      <c r="P53" s="31">
        <v>6</v>
      </c>
      <c r="Q53" s="31">
        <v>4</v>
      </c>
      <c r="R53" s="16">
        <f t="shared" si="0"/>
        <v>0</v>
      </c>
      <c r="S53" s="31">
        <v>0</v>
      </c>
      <c r="T53" s="31">
        <v>0</v>
      </c>
      <c r="U53" s="31">
        <v>0</v>
      </c>
      <c r="V53" s="31">
        <v>0</v>
      </c>
      <c r="W53" s="37">
        <v>70</v>
      </c>
      <c r="X53" s="37">
        <v>120</v>
      </c>
      <c r="Y53" s="37">
        <v>2.88</v>
      </c>
      <c r="Z53" s="37">
        <v>5.4</v>
      </c>
      <c r="AA53" s="31">
        <v>103311</v>
      </c>
    </row>
    <row r="54" spans="1:27">
      <c r="A54" s="27">
        <v>10338</v>
      </c>
      <c r="B54" s="16" t="s">
        <v>44</v>
      </c>
      <c r="C54" s="25" t="s">
        <v>103</v>
      </c>
      <c r="D54" s="16" t="s">
        <v>68</v>
      </c>
      <c r="E54" s="16">
        <v>64</v>
      </c>
      <c r="F54" s="16">
        <v>40</v>
      </c>
      <c r="G54" s="16">
        <v>0</v>
      </c>
      <c r="H54" s="16">
        <v>66</v>
      </c>
      <c r="I54" s="16">
        <v>75</v>
      </c>
      <c r="J54" s="16">
        <v>0</v>
      </c>
      <c r="K54" s="16">
        <v>85</v>
      </c>
      <c r="L54" s="16">
        <v>53</v>
      </c>
      <c r="M54" s="16">
        <v>61</v>
      </c>
      <c r="N54" s="16">
        <v>30</v>
      </c>
      <c r="O54" s="16">
        <v>1</v>
      </c>
      <c r="P54" s="16">
        <v>7</v>
      </c>
      <c r="Q54" s="16">
        <v>4</v>
      </c>
      <c r="R54" s="16">
        <f t="shared" si="0"/>
        <v>66</v>
      </c>
      <c r="S54" s="16">
        <v>34</v>
      </c>
      <c r="T54" s="16">
        <v>16</v>
      </c>
      <c r="U54" s="16">
        <v>16</v>
      </c>
      <c r="V54" s="16">
        <v>0</v>
      </c>
      <c r="W54" s="37">
        <v>75</v>
      </c>
      <c r="X54" s="37">
        <v>65</v>
      </c>
      <c r="Y54" s="37">
        <v>3</v>
      </c>
      <c r="Z54" s="37">
        <v>5.2</v>
      </c>
      <c r="AA54" s="16">
        <v>103381</v>
      </c>
    </row>
    <row r="55" s="16" customFormat="1" spans="1:29">
      <c r="A55" s="27">
        <v>10339</v>
      </c>
      <c r="B55" s="16" t="s">
        <v>29</v>
      </c>
      <c r="C55" s="25" t="s">
        <v>104</v>
      </c>
      <c r="D55" s="16" t="s">
        <v>68</v>
      </c>
      <c r="E55" s="16">
        <v>70</v>
      </c>
      <c r="F55" s="16">
        <v>40</v>
      </c>
      <c r="G55" s="16">
        <v>0</v>
      </c>
      <c r="H55" s="16">
        <v>80</v>
      </c>
      <c r="I55" s="16">
        <v>68</v>
      </c>
      <c r="J55" s="16">
        <v>0</v>
      </c>
      <c r="K55" s="16">
        <v>95</v>
      </c>
      <c r="L55" s="16">
        <v>50</v>
      </c>
      <c r="M55" s="16">
        <v>67</v>
      </c>
      <c r="N55" s="16">
        <v>31</v>
      </c>
      <c r="O55" s="16">
        <v>1</v>
      </c>
      <c r="P55" s="16">
        <v>7</v>
      </c>
      <c r="Q55" s="16">
        <v>4</v>
      </c>
      <c r="R55" s="16">
        <f t="shared" si="0"/>
        <v>75</v>
      </c>
      <c r="S55" s="16">
        <v>33</v>
      </c>
      <c r="T55" s="16">
        <v>22</v>
      </c>
      <c r="U55" s="16">
        <v>20</v>
      </c>
      <c r="V55" s="16">
        <v>0</v>
      </c>
      <c r="W55" s="37">
        <v>60</v>
      </c>
      <c r="X55" s="37">
        <v>55</v>
      </c>
      <c r="Y55" s="37">
        <v>2.5</v>
      </c>
      <c r="Z55" s="37">
        <v>4.8</v>
      </c>
      <c r="AA55" s="16">
        <v>113391</v>
      </c>
      <c r="AC55" s="29" t="s">
        <v>69</v>
      </c>
    </row>
    <row r="56" spans="1:26">
      <c r="A56" s="27">
        <v>10343</v>
      </c>
      <c r="B56" s="16" t="s">
        <v>105</v>
      </c>
      <c r="C56" s="16" t="s">
        <v>106</v>
      </c>
      <c r="D56" s="16" t="s">
        <v>107</v>
      </c>
      <c r="E56" s="16">
        <v>16</v>
      </c>
      <c r="F56" s="16">
        <v>27</v>
      </c>
      <c r="G56" s="16">
        <v>1</v>
      </c>
      <c r="H56" s="16">
        <v>20</v>
      </c>
      <c r="I56" s="16">
        <v>85</v>
      </c>
      <c r="J56" s="16">
        <v>0</v>
      </c>
      <c r="K56" s="16">
        <v>87</v>
      </c>
      <c r="L56" s="16">
        <v>84</v>
      </c>
      <c r="M56" s="16">
        <v>46</v>
      </c>
      <c r="N56" s="16">
        <v>34</v>
      </c>
      <c r="O56" s="16">
        <v>1</v>
      </c>
      <c r="P56" s="16">
        <v>15</v>
      </c>
      <c r="Q56" s="16">
        <v>3</v>
      </c>
      <c r="R56" s="16">
        <f t="shared" si="0"/>
        <v>24</v>
      </c>
      <c r="S56" s="16">
        <v>8</v>
      </c>
      <c r="T56" s="16">
        <v>8</v>
      </c>
      <c r="U56" s="16">
        <v>8</v>
      </c>
      <c r="V56" s="16">
        <v>0</v>
      </c>
      <c r="W56" s="16">
        <v>30</v>
      </c>
      <c r="X56" s="16">
        <v>65</v>
      </c>
      <c r="Y56" s="16">
        <v>0.48</v>
      </c>
      <c r="Z56" s="16">
        <v>0.7</v>
      </c>
    </row>
    <row r="57" s="16" customFormat="1" spans="1:29">
      <c r="A57" s="27">
        <v>10345</v>
      </c>
      <c r="B57" s="16" t="s">
        <v>37</v>
      </c>
      <c r="C57" s="25" t="s">
        <v>108</v>
      </c>
      <c r="D57" s="27" t="s">
        <v>34</v>
      </c>
      <c r="E57" s="31">
        <v>84</v>
      </c>
      <c r="F57" s="31">
        <v>116</v>
      </c>
      <c r="G57" s="31">
        <v>0</v>
      </c>
      <c r="H57" s="31">
        <v>102</v>
      </c>
      <c r="I57" s="31">
        <v>108</v>
      </c>
      <c r="J57" s="31">
        <v>0</v>
      </c>
      <c r="K57" s="31">
        <v>102</v>
      </c>
      <c r="L57" s="31">
        <v>52</v>
      </c>
      <c r="M57" s="31">
        <v>47</v>
      </c>
      <c r="N57" s="31">
        <v>33</v>
      </c>
      <c r="O57" s="31">
        <v>3</v>
      </c>
      <c r="P57" s="31">
        <v>24</v>
      </c>
      <c r="Q57" s="31">
        <v>4</v>
      </c>
      <c r="R57" s="16">
        <f t="shared" si="0"/>
        <v>12</v>
      </c>
      <c r="S57" s="31">
        <v>3</v>
      </c>
      <c r="T57" s="31">
        <v>3</v>
      </c>
      <c r="U57" s="31">
        <v>3</v>
      </c>
      <c r="V57" s="31">
        <v>3</v>
      </c>
      <c r="W57" s="37">
        <v>135</v>
      </c>
      <c r="X57" s="37">
        <v>175</v>
      </c>
      <c r="Y57" s="37">
        <v>4.8</v>
      </c>
      <c r="Z57" s="37">
        <v>9</v>
      </c>
      <c r="AA57" s="31">
        <v>103451</v>
      </c>
      <c r="AB57" s="31"/>
      <c r="AC57" s="29" t="s">
        <v>59</v>
      </c>
    </row>
    <row r="58" spans="1:28">
      <c r="A58" s="27">
        <v>10352</v>
      </c>
      <c r="B58" s="16" t="s">
        <v>84</v>
      </c>
      <c r="C58" s="16" t="s">
        <v>109</v>
      </c>
      <c r="D58" s="27" t="s">
        <v>72</v>
      </c>
      <c r="E58" s="31">
        <v>56</v>
      </c>
      <c r="F58" s="31">
        <v>76</v>
      </c>
      <c r="G58" s="31">
        <v>0</v>
      </c>
      <c r="H58" s="31">
        <v>70</v>
      </c>
      <c r="I58" s="31">
        <v>98</v>
      </c>
      <c r="J58" s="31">
        <v>0</v>
      </c>
      <c r="K58" s="31">
        <v>96</v>
      </c>
      <c r="L58" s="31">
        <v>65</v>
      </c>
      <c r="M58" s="31">
        <v>45</v>
      </c>
      <c r="N58" s="31">
        <v>34.5</v>
      </c>
      <c r="O58" s="31">
        <v>3</v>
      </c>
      <c r="P58" s="31">
        <v>7</v>
      </c>
      <c r="Q58" s="31">
        <v>3</v>
      </c>
      <c r="R58" s="16">
        <f t="shared" si="0"/>
        <v>0</v>
      </c>
      <c r="S58" s="31">
        <v>0</v>
      </c>
      <c r="T58" s="31">
        <v>0</v>
      </c>
      <c r="U58" s="31">
        <v>0</v>
      </c>
      <c r="V58" s="31">
        <v>0</v>
      </c>
      <c r="W58" s="31">
        <v>65</v>
      </c>
      <c r="X58" s="31">
        <v>100</v>
      </c>
      <c r="Y58" s="31">
        <v>2.4</v>
      </c>
      <c r="Z58" s="31">
        <v>3.8</v>
      </c>
      <c r="AA58" s="31">
        <v>103521</v>
      </c>
      <c r="AB58" s="31"/>
    </row>
    <row r="59" spans="1:27">
      <c r="A59" s="27">
        <v>10362</v>
      </c>
      <c r="B59" s="16" t="s">
        <v>51</v>
      </c>
      <c r="C59" s="25" t="s">
        <v>110</v>
      </c>
      <c r="D59" s="27" t="s">
        <v>34</v>
      </c>
      <c r="E59" s="31">
        <v>76</v>
      </c>
      <c r="F59" s="31">
        <v>107</v>
      </c>
      <c r="G59" s="31">
        <v>42</v>
      </c>
      <c r="H59" s="31">
        <v>71</v>
      </c>
      <c r="I59" s="31">
        <v>66</v>
      </c>
      <c r="J59" s="31">
        <v>0</v>
      </c>
      <c r="K59" s="31">
        <v>95</v>
      </c>
      <c r="L59" s="31">
        <v>61</v>
      </c>
      <c r="M59" s="31">
        <v>39</v>
      </c>
      <c r="N59" s="31">
        <v>33</v>
      </c>
      <c r="O59" s="31">
        <v>3</v>
      </c>
      <c r="P59" s="31">
        <v>7</v>
      </c>
      <c r="Q59" s="31">
        <v>4</v>
      </c>
      <c r="R59" s="16">
        <f t="shared" si="0"/>
        <v>6</v>
      </c>
      <c r="S59" s="31">
        <v>2</v>
      </c>
      <c r="T59" s="31">
        <v>2</v>
      </c>
      <c r="U59" s="31">
        <v>2</v>
      </c>
      <c r="V59" s="31">
        <v>0</v>
      </c>
      <c r="W59" s="31">
        <v>75</v>
      </c>
      <c r="X59" s="31">
        <v>120</v>
      </c>
      <c r="Y59" s="31">
        <v>2.8</v>
      </c>
      <c r="Z59" s="31">
        <v>5.3</v>
      </c>
      <c r="AA59" s="31">
        <v>113621</v>
      </c>
    </row>
    <row r="60" spans="1:28">
      <c r="A60" s="27">
        <v>10357</v>
      </c>
      <c r="B60" s="16" t="s">
        <v>84</v>
      </c>
      <c r="C60" s="16" t="s">
        <v>111</v>
      </c>
      <c r="D60" s="27" t="s">
        <v>31</v>
      </c>
      <c r="E60" s="31">
        <v>43</v>
      </c>
      <c r="F60" s="31">
        <v>62</v>
      </c>
      <c r="G60" s="31">
        <v>54</v>
      </c>
      <c r="H60" s="31">
        <v>46</v>
      </c>
      <c r="I60" s="31">
        <v>53</v>
      </c>
      <c r="J60" s="31">
        <v>0</v>
      </c>
      <c r="K60" s="31">
        <v>91</v>
      </c>
      <c r="L60" s="31">
        <v>80</v>
      </c>
      <c r="M60" s="31">
        <v>51</v>
      </c>
      <c r="N60" s="31">
        <v>33</v>
      </c>
      <c r="O60" s="31">
        <v>2</v>
      </c>
      <c r="P60" s="31">
        <v>16</v>
      </c>
      <c r="Q60" s="31">
        <v>3</v>
      </c>
      <c r="R60" s="16">
        <f t="shared" si="0"/>
        <v>6</v>
      </c>
      <c r="S60" s="31">
        <v>2</v>
      </c>
      <c r="T60" s="31">
        <v>2</v>
      </c>
      <c r="U60" s="31">
        <v>2</v>
      </c>
      <c r="V60" s="31">
        <v>0</v>
      </c>
      <c r="W60" s="31">
        <v>40</v>
      </c>
      <c r="X60" s="31">
        <v>65</v>
      </c>
      <c r="Y60" s="31">
        <v>1.28</v>
      </c>
      <c r="Z60" s="31">
        <v>2.4</v>
      </c>
      <c r="AA60" s="31">
        <v>103571</v>
      </c>
      <c r="AB60" s="31"/>
    </row>
    <row r="61" spans="1:26">
      <c r="A61" s="27">
        <v>10363</v>
      </c>
      <c r="B61" s="16" t="s">
        <v>105</v>
      </c>
      <c r="C61" s="16" t="s">
        <v>112</v>
      </c>
      <c r="D61" s="16" t="s">
        <v>72</v>
      </c>
      <c r="E61" s="16">
        <v>26</v>
      </c>
      <c r="F61" s="16">
        <v>36</v>
      </c>
      <c r="G61" s="16">
        <v>1</v>
      </c>
      <c r="H61" s="16">
        <v>27</v>
      </c>
      <c r="I61" s="16">
        <v>76</v>
      </c>
      <c r="J61" s="16">
        <v>0</v>
      </c>
      <c r="K61" s="16">
        <v>97</v>
      </c>
      <c r="L61" s="16">
        <v>72</v>
      </c>
      <c r="M61" s="16">
        <v>37</v>
      </c>
      <c r="N61" s="16">
        <v>34.5</v>
      </c>
      <c r="O61" s="16">
        <v>1</v>
      </c>
      <c r="P61" s="16">
        <v>12</v>
      </c>
      <c r="Q61" s="16">
        <v>3</v>
      </c>
      <c r="R61" s="16">
        <f t="shared" si="0"/>
        <v>24</v>
      </c>
      <c r="S61" s="16">
        <v>8</v>
      </c>
      <c r="T61" s="16">
        <v>8</v>
      </c>
      <c r="U61" s="16">
        <v>8</v>
      </c>
      <c r="V61" s="16">
        <v>0</v>
      </c>
      <c r="W61" s="16">
        <v>25</v>
      </c>
      <c r="X61" s="16">
        <v>50</v>
      </c>
      <c r="Y61" s="16">
        <v>0.48</v>
      </c>
      <c r="Z61" s="16">
        <v>1.2</v>
      </c>
    </row>
    <row r="62" spans="1:27">
      <c r="A62" s="27">
        <v>10366</v>
      </c>
      <c r="B62" s="16" t="s">
        <v>87</v>
      </c>
      <c r="C62" s="16" t="s">
        <v>113</v>
      </c>
      <c r="D62" s="16" t="s">
        <v>34</v>
      </c>
      <c r="E62" s="16">
        <v>24</v>
      </c>
      <c r="F62" s="16">
        <v>28</v>
      </c>
      <c r="G62" s="16">
        <v>73</v>
      </c>
      <c r="H62" s="16">
        <v>28</v>
      </c>
      <c r="I62" s="16">
        <v>0</v>
      </c>
      <c r="J62" s="16">
        <v>0</v>
      </c>
      <c r="K62" s="16">
        <v>96</v>
      </c>
      <c r="L62" s="16">
        <v>38</v>
      </c>
      <c r="M62" s="16">
        <v>48</v>
      </c>
      <c r="N62" s="16">
        <v>17.4</v>
      </c>
      <c r="O62" s="16">
        <v>1</v>
      </c>
      <c r="P62" s="16">
        <v>24</v>
      </c>
      <c r="Q62" s="16">
        <v>2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20</v>
      </c>
      <c r="X62" s="16">
        <v>20</v>
      </c>
      <c r="Y62" s="16">
        <v>0.75</v>
      </c>
      <c r="Z62" s="16">
        <v>0.7</v>
      </c>
      <c r="AA62" s="16">
        <v>103661</v>
      </c>
    </row>
    <row r="63" spans="1:28">
      <c r="A63" s="27">
        <v>10367</v>
      </c>
      <c r="B63" s="16" t="s">
        <v>37</v>
      </c>
      <c r="C63" s="25" t="s">
        <v>114</v>
      </c>
      <c r="D63" s="27" t="s">
        <v>47</v>
      </c>
      <c r="E63" s="31">
        <v>108</v>
      </c>
      <c r="F63" s="31">
        <v>117</v>
      </c>
      <c r="G63" s="31">
        <v>0</v>
      </c>
      <c r="H63" s="31">
        <v>102</v>
      </c>
      <c r="I63" s="31">
        <v>70</v>
      </c>
      <c r="J63" s="31">
        <v>0</v>
      </c>
      <c r="K63" s="31">
        <v>97</v>
      </c>
      <c r="L63" s="31">
        <v>45</v>
      </c>
      <c r="M63" s="31">
        <v>44</v>
      </c>
      <c r="N63" s="31">
        <v>30.1</v>
      </c>
      <c r="O63" s="31">
        <v>3</v>
      </c>
      <c r="P63" s="31">
        <v>5</v>
      </c>
      <c r="Q63" s="31">
        <v>4</v>
      </c>
      <c r="R63" s="16">
        <f t="shared" ref="R63:R92" si="1">SUM($S63:$V63)</f>
        <v>16</v>
      </c>
      <c r="S63" s="31">
        <v>4</v>
      </c>
      <c r="T63" s="31">
        <v>4</v>
      </c>
      <c r="U63" s="31">
        <v>4</v>
      </c>
      <c r="V63" s="31">
        <v>4</v>
      </c>
      <c r="W63" s="31">
        <v>135</v>
      </c>
      <c r="X63" s="31">
        <v>165</v>
      </c>
      <c r="Y63" s="31">
        <v>4.8</v>
      </c>
      <c r="Z63" s="31">
        <v>9.9</v>
      </c>
      <c r="AA63" s="31">
        <v>103671</v>
      </c>
      <c r="AB63" s="31"/>
    </row>
    <row r="64" spans="1:27">
      <c r="A64" s="27">
        <v>10370</v>
      </c>
      <c r="B64" s="16" t="s">
        <v>44</v>
      </c>
      <c r="C64" s="25" t="s">
        <v>115</v>
      </c>
      <c r="D64" s="16" t="s">
        <v>39</v>
      </c>
      <c r="E64" s="16">
        <v>66</v>
      </c>
      <c r="F64" s="16">
        <v>40</v>
      </c>
      <c r="G64" s="16">
        <v>0</v>
      </c>
      <c r="H64" s="16">
        <v>93</v>
      </c>
      <c r="I64" s="16">
        <v>83</v>
      </c>
      <c r="J64" s="16">
        <v>0</v>
      </c>
      <c r="K64" s="16">
        <v>87</v>
      </c>
      <c r="L64" s="16">
        <v>55</v>
      </c>
      <c r="M64" s="16">
        <v>72</v>
      </c>
      <c r="N64" s="16">
        <v>30.5</v>
      </c>
      <c r="O64" s="16">
        <v>1</v>
      </c>
      <c r="P64" s="16">
        <v>19</v>
      </c>
      <c r="Q64" s="16">
        <v>4</v>
      </c>
      <c r="R64" s="16">
        <f t="shared" si="1"/>
        <v>57</v>
      </c>
      <c r="S64" s="16">
        <v>10</v>
      </c>
      <c r="T64" s="16">
        <v>27</v>
      </c>
      <c r="U64" s="16">
        <v>12</v>
      </c>
      <c r="V64" s="16">
        <v>8</v>
      </c>
      <c r="W64" s="31">
        <v>70</v>
      </c>
      <c r="X64" s="31">
        <v>65</v>
      </c>
      <c r="Y64" s="31">
        <v>2.88</v>
      </c>
      <c r="Z64" s="31">
        <v>5.5</v>
      </c>
      <c r="AA64" s="16">
        <v>103701</v>
      </c>
    </row>
    <row r="65" s="16" customFormat="1" spans="1:29">
      <c r="A65" s="27">
        <v>10374</v>
      </c>
      <c r="B65" s="16" t="s">
        <v>29</v>
      </c>
      <c r="C65" s="25" t="s">
        <v>116</v>
      </c>
      <c r="D65" s="16" t="s">
        <v>34</v>
      </c>
      <c r="E65" s="16">
        <v>60</v>
      </c>
      <c r="F65" s="16">
        <v>40</v>
      </c>
      <c r="G65" s="16">
        <v>0</v>
      </c>
      <c r="H65" s="16">
        <v>60</v>
      </c>
      <c r="I65" s="16">
        <v>99</v>
      </c>
      <c r="J65" s="16">
        <v>0</v>
      </c>
      <c r="K65" s="16">
        <v>96</v>
      </c>
      <c r="L65" s="16">
        <v>52</v>
      </c>
      <c r="M65" s="16">
        <v>77</v>
      </c>
      <c r="N65" s="16">
        <v>33</v>
      </c>
      <c r="O65" s="16">
        <v>1</v>
      </c>
      <c r="P65" s="16">
        <v>22</v>
      </c>
      <c r="Q65" s="16">
        <v>4</v>
      </c>
      <c r="R65" s="16">
        <f t="shared" si="1"/>
        <v>92</v>
      </c>
      <c r="S65" s="16">
        <v>18</v>
      </c>
      <c r="T65" s="16">
        <v>18</v>
      </c>
      <c r="U65" s="16">
        <v>38</v>
      </c>
      <c r="V65" s="16">
        <v>18</v>
      </c>
      <c r="W65" s="31">
        <v>60</v>
      </c>
      <c r="X65" s="31">
        <v>65</v>
      </c>
      <c r="Y65" s="31">
        <v>2.4</v>
      </c>
      <c r="Z65" s="31">
        <v>4.6</v>
      </c>
      <c r="AA65" s="16">
        <v>103741</v>
      </c>
      <c r="AC65" s="29" t="s">
        <v>81</v>
      </c>
    </row>
    <row r="66" spans="1:27">
      <c r="A66" s="24">
        <v>10377</v>
      </c>
      <c r="B66" s="16" t="s">
        <v>117</v>
      </c>
      <c r="C66" s="16" t="s">
        <v>118</v>
      </c>
      <c r="D66" s="16" t="s">
        <v>31</v>
      </c>
      <c r="E66" s="16">
        <v>24</v>
      </c>
      <c r="F66" s="16">
        <v>35</v>
      </c>
      <c r="G66" s="16">
        <v>95</v>
      </c>
      <c r="H66" s="16">
        <v>29</v>
      </c>
      <c r="I66" s="16">
        <v>48</v>
      </c>
      <c r="J66" s="16">
        <v>26</v>
      </c>
      <c r="K66" s="16">
        <v>91</v>
      </c>
      <c r="L66" s="16">
        <v>78</v>
      </c>
      <c r="M66" s="16">
        <v>21</v>
      </c>
      <c r="N66" s="16">
        <v>36</v>
      </c>
      <c r="O66" s="16">
        <v>2</v>
      </c>
      <c r="P66" s="16">
        <v>14</v>
      </c>
      <c r="Q66" s="16">
        <v>3</v>
      </c>
      <c r="R66" s="39">
        <f t="shared" si="1"/>
        <v>0</v>
      </c>
      <c r="S66" s="16">
        <v>0</v>
      </c>
      <c r="T66" s="16">
        <v>0</v>
      </c>
      <c r="U66" s="16">
        <v>0</v>
      </c>
      <c r="V66" s="16">
        <v>0</v>
      </c>
      <c r="W66" s="16">
        <v>25</v>
      </c>
      <c r="X66" s="16">
        <v>75</v>
      </c>
      <c r="Y66" s="16">
        <v>0.8</v>
      </c>
      <c r="Z66" s="16">
        <v>1.5</v>
      </c>
      <c r="AA66" s="16">
        <v>103771</v>
      </c>
    </row>
    <row r="67" spans="1:28">
      <c r="A67" s="27">
        <v>10380</v>
      </c>
      <c r="B67" s="16" t="s">
        <v>37</v>
      </c>
      <c r="C67" s="25" t="s">
        <v>119</v>
      </c>
      <c r="D67" s="27" t="s">
        <v>39</v>
      </c>
      <c r="E67" s="31">
        <v>84</v>
      </c>
      <c r="F67" s="31">
        <v>122</v>
      </c>
      <c r="G67" s="31">
        <v>0</v>
      </c>
      <c r="H67" s="31">
        <v>105</v>
      </c>
      <c r="I67" s="31">
        <v>71</v>
      </c>
      <c r="J67" s="31">
        <v>0</v>
      </c>
      <c r="K67" s="31">
        <v>100</v>
      </c>
      <c r="L67" s="31">
        <v>41</v>
      </c>
      <c r="M67" s="31">
        <v>42</v>
      </c>
      <c r="N67" s="31">
        <v>23</v>
      </c>
      <c r="O67" s="31">
        <v>3</v>
      </c>
      <c r="P67" s="31">
        <v>8</v>
      </c>
      <c r="Q67" s="31">
        <v>4</v>
      </c>
      <c r="R67" s="16">
        <f t="shared" si="1"/>
        <v>0</v>
      </c>
      <c r="S67" s="31">
        <v>0</v>
      </c>
      <c r="T67" s="31">
        <v>0</v>
      </c>
      <c r="U67" s="31">
        <v>0</v>
      </c>
      <c r="V67" s="31">
        <v>0</v>
      </c>
      <c r="W67" s="31">
        <v>125</v>
      </c>
      <c r="X67" s="31">
        <v>180</v>
      </c>
      <c r="Y67" s="31">
        <v>4.7</v>
      </c>
      <c r="Z67" s="31">
        <v>8.7</v>
      </c>
      <c r="AA67" s="31">
        <v>113801</v>
      </c>
      <c r="AB67" s="31"/>
    </row>
    <row r="68" s="16" customFormat="1" spans="1:29">
      <c r="A68" s="50">
        <v>10381</v>
      </c>
      <c r="B68" s="16" t="s">
        <v>37</v>
      </c>
      <c r="C68" s="25" t="s">
        <v>120</v>
      </c>
      <c r="D68" s="27" t="s">
        <v>34</v>
      </c>
      <c r="E68" s="37">
        <v>75</v>
      </c>
      <c r="F68" s="31">
        <v>108</v>
      </c>
      <c r="G68" s="31">
        <v>0</v>
      </c>
      <c r="H68" s="31">
        <v>100</v>
      </c>
      <c r="I68" s="31">
        <v>98</v>
      </c>
      <c r="J68" s="31">
        <v>0</v>
      </c>
      <c r="K68" s="31">
        <v>96</v>
      </c>
      <c r="L68" s="31">
        <v>46</v>
      </c>
      <c r="M68" s="31">
        <v>44</v>
      </c>
      <c r="N68" s="37">
        <v>27.5</v>
      </c>
      <c r="O68" s="31">
        <v>3</v>
      </c>
      <c r="P68" s="31">
        <v>19</v>
      </c>
      <c r="Q68" s="31">
        <v>4</v>
      </c>
      <c r="R68" s="16">
        <f t="shared" si="1"/>
        <v>12</v>
      </c>
      <c r="S68" s="37">
        <v>3</v>
      </c>
      <c r="T68" s="37">
        <v>3</v>
      </c>
      <c r="U68" s="37">
        <v>3</v>
      </c>
      <c r="V68" s="37">
        <v>3</v>
      </c>
      <c r="W68" s="31">
        <v>95</v>
      </c>
      <c r="X68" s="31">
        <v>140</v>
      </c>
      <c r="Y68" s="31">
        <v>4.2</v>
      </c>
      <c r="Z68" s="31">
        <v>8</v>
      </c>
      <c r="AA68" s="31">
        <v>103811</v>
      </c>
      <c r="AB68" s="31"/>
      <c r="AC68" s="29" t="s">
        <v>63</v>
      </c>
    </row>
    <row r="69" spans="1:28">
      <c r="A69" s="27">
        <v>10388</v>
      </c>
      <c r="B69" s="16" t="s">
        <v>84</v>
      </c>
      <c r="C69" s="25" t="s">
        <v>121</v>
      </c>
      <c r="D69" s="27" t="s">
        <v>34</v>
      </c>
      <c r="E69" s="31">
        <v>52</v>
      </c>
      <c r="F69" s="31">
        <v>83</v>
      </c>
      <c r="G69" s="31">
        <v>0</v>
      </c>
      <c r="H69" s="31">
        <v>58</v>
      </c>
      <c r="I69" s="31">
        <v>108</v>
      </c>
      <c r="J69" s="31">
        <v>0</v>
      </c>
      <c r="K69" s="31">
        <v>94</v>
      </c>
      <c r="L69" s="31">
        <v>75</v>
      </c>
      <c r="M69" s="31">
        <v>56</v>
      </c>
      <c r="N69" s="31">
        <v>33</v>
      </c>
      <c r="O69" s="31">
        <v>2</v>
      </c>
      <c r="P69" s="31">
        <v>15</v>
      </c>
      <c r="Q69" s="31">
        <v>3</v>
      </c>
      <c r="R69" s="16">
        <f t="shared" si="1"/>
        <v>9</v>
      </c>
      <c r="S69" s="31">
        <v>3</v>
      </c>
      <c r="T69" s="31">
        <v>3</v>
      </c>
      <c r="U69" s="31">
        <v>3</v>
      </c>
      <c r="V69" s="31">
        <v>0</v>
      </c>
      <c r="W69" s="31">
        <v>40</v>
      </c>
      <c r="X69" s="31">
        <v>70</v>
      </c>
      <c r="Y69" s="31">
        <v>1.28</v>
      </c>
      <c r="Z69" s="31">
        <v>2.4</v>
      </c>
      <c r="AA69" s="31">
        <v>103881</v>
      </c>
      <c r="AB69" s="31"/>
    </row>
    <row r="70" spans="1:26">
      <c r="A70" s="27">
        <v>10391</v>
      </c>
      <c r="B70" s="16" t="s">
        <v>92</v>
      </c>
      <c r="C70" s="16" t="s">
        <v>122</v>
      </c>
      <c r="D70" s="16" t="s">
        <v>34</v>
      </c>
      <c r="E70" s="16">
        <v>24</v>
      </c>
      <c r="F70" s="16">
        <v>35</v>
      </c>
      <c r="G70" s="16">
        <v>1</v>
      </c>
      <c r="H70" s="16">
        <v>25</v>
      </c>
      <c r="I70" s="16">
        <v>87</v>
      </c>
      <c r="J70" s="16">
        <v>86</v>
      </c>
      <c r="K70" s="16">
        <v>99</v>
      </c>
      <c r="L70" s="16">
        <v>71</v>
      </c>
      <c r="M70" s="16">
        <v>39</v>
      </c>
      <c r="N70" s="16">
        <v>33</v>
      </c>
      <c r="O70" s="16">
        <v>1</v>
      </c>
      <c r="P70" s="16">
        <v>18</v>
      </c>
      <c r="Q70" s="16">
        <v>2</v>
      </c>
      <c r="R70" s="16">
        <f t="shared" si="1"/>
        <v>60</v>
      </c>
      <c r="S70" s="16">
        <v>20</v>
      </c>
      <c r="T70" s="16">
        <v>20</v>
      </c>
      <c r="U70" s="16">
        <v>20</v>
      </c>
      <c r="V70" s="16">
        <v>0</v>
      </c>
      <c r="W70" s="16">
        <v>15</v>
      </c>
      <c r="X70" s="16">
        <v>35</v>
      </c>
      <c r="Y70" s="16">
        <v>0.5</v>
      </c>
      <c r="Z70" s="16">
        <v>1</v>
      </c>
    </row>
    <row r="71" spans="1:27">
      <c r="A71" s="50">
        <v>10397</v>
      </c>
      <c r="B71" s="16" t="s">
        <v>51</v>
      </c>
      <c r="C71" s="25" t="s">
        <v>123</v>
      </c>
      <c r="D71" s="27" t="s">
        <v>72</v>
      </c>
      <c r="E71" s="37">
        <v>72</v>
      </c>
      <c r="F71" s="31">
        <v>97</v>
      </c>
      <c r="G71" s="31">
        <v>0</v>
      </c>
      <c r="H71" s="31">
        <v>75</v>
      </c>
      <c r="I71" s="31">
        <v>106</v>
      </c>
      <c r="J71" s="31">
        <v>0</v>
      </c>
      <c r="K71" s="31">
        <v>96</v>
      </c>
      <c r="L71" s="31">
        <v>64</v>
      </c>
      <c r="M71" s="31">
        <v>47</v>
      </c>
      <c r="N71" s="37">
        <v>35.5</v>
      </c>
      <c r="O71" s="31">
        <v>4</v>
      </c>
      <c r="P71" s="31">
        <v>8</v>
      </c>
      <c r="Q71" s="31">
        <v>4</v>
      </c>
      <c r="R71" s="16">
        <f t="shared" si="1"/>
        <v>0</v>
      </c>
      <c r="S71" s="37">
        <v>0</v>
      </c>
      <c r="T71" s="37">
        <v>0</v>
      </c>
      <c r="U71" s="37">
        <v>0</v>
      </c>
      <c r="V71" s="37">
        <v>0</v>
      </c>
      <c r="W71" s="31">
        <v>85</v>
      </c>
      <c r="X71" s="31">
        <v>120</v>
      </c>
      <c r="Y71" s="31">
        <v>3</v>
      </c>
      <c r="Z71" s="31">
        <v>5.2</v>
      </c>
      <c r="AA71" s="31">
        <v>103971</v>
      </c>
    </row>
    <row r="72" spans="1:26">
      <c r="A72" s="27">
        <v>10401</v>
      </c>
      <c r="B72" s="16" t="s">
        <v>105</v>
      </c>
      <c r="C72" s="16" t="s">
        <v>124</v>
      </c>
      <c r="D72" s="16" t="s">
        <v>72</v>
      </c>
      <c r="E72" s="16">
        <v>28</v>
      </c>
      <c r="F72" s="16">
        <v>39</v>
      </c>
      <c r="G72" s="16">
        <v>1</v>
      </c>
      <c r="H72" s="16">
        <v>27</v>
      </c>
      <c r="I72" s="16">
        <v>96</v>
      </c>
      <c r="J72" s="16">
        <v>0</v>
      </c>
      <c r="K72" s="16">
        <v>97</v>
      </c>
      <c r="L72" s="16">
        <v>71</v>
      </c>
      <c r="M72" s="16">
        <v>39</v>
      </c>
      <c r="N72" s="16">
        <v>34.8</v>
      </c>
      <c r="O72" s="16">
        <v>1</v>
      </c>
      <c r="P72" s="16">
        <v>12</v>
      </c>
      <c r="Q72" s="16">
        <v>3</v>
      </c>
      <c r="R72" s="16">
        <f t="shared" si="1"/>
        <v>24</v>
      </c>
      <c r="S72" s="16">
        <v>8</v>
      </c>
      <c r="T72" s="16">
        <v>8</v>
      </c>
      <c r="U72" s="16">
        <v>8</v>
      </c>
      <c r="V72" s="16">
        <v>0</v>
      </c>
      <c r="W72" s="16">
        <v>25</v>
      </c>
      <c r="X72" s="16">
        <v>55</v>
      </c>
      <c r="Y72" s="16">
        <v>0.5</v>
      </c>
      <c r="Z72" s="16">
        <v>1.2</v>
      </c>
    </row>
    <row r="73" spans="1:26">
      <c r="A73" s="27">
        <v>10403</v>
      </c>
      <c r="B73" s="16" t="s">
        <v>92</v>
      </c>
      <c r="C73" s="16" t="s">
        <v>125</v>
      </c>
      <c r="D73" s="16" t="s">
        <v>39</v>
      </c>
      <c r="E73" s="16">
        <v>28</v>
      </c>
      <c r="F73" s="16">
        <v>38</v>
      </c>
      <c r="G73" s="16">
        <v>1</v>
      </c>
      <c r="H73" s="16">
        <v>27</v>
      </c>
      <c r="I73" s="16">
        <v>81</v>
      </c>
      <c r="J73" s="16">
        <v>82</v>
      </c>
      <c r="K73" s="16">
        <v>99</v>
      </c>
      <c r="L73" s="16">
        <v>70</v>
      </c>
      <c r="M73" s="16">
        <v>36</v>
      </c>
      <c r="N73" s="16">
        <v>31.5</v>
      </c>
      <c r="O73" s="16">
        <v>1</v>
      </c>
      <c r="P73" s="16">
        <v>22</v>
      </c>
      <c r="Q73" s="16">
        <v>4</v>
      </c>
      <c r="R73" s="16">
        <f t="shared" si="1"/>
        <v>32</v>
      </c>
      <c r="S73" s="16">
        <v>8</v>
      </c>
      <c r="T73" s="16">
        <v>8</v>
      </c>
      <c r="U73" s="16">
        <v>8</v>
      </c>
      <c r="V73" s="16">
        <v>8</v>
      </c>
      <c r="W73" s="16">
        <v>30</v>
      </c>
      <c r="X73" s="16">
        <v>35</v>
      </c>
      <c r="Y73" s="16">
        <v>0.7</v>
      </c>
      <c r="Z73" s="16">
        <v>1.2</v>
      </c>
    </row>
    <row r="74" spans="1:27">
      <c r="A74" s="27">
        <v>10404</v>
      </c>
      <c r="B74" s="16" t="s">
        <v>44</v>
      </c>
      <c r="C74" s="25" t="s">
        <v>126</v>
      </c>
      <c r="D74" s="16" t="s">
        <v>39</v>
      </c>
      <c r="E74" s="16">
        <v>70</v>
      </c>
      <c r="F74" s="16">
        <v>40</v>
      </c>
      <c r="G74" s="16">
        <v>0</v>
      </c>
      <c r="H74" s="16">
        <v>84</v>
      </c>
      <c r="I74" s="16">
        <v>90</v>
      </c>
      <c r="J74" s="16">
        <v>0</v>
      </c>
      <c r="K74" s="16">
        <v>87</v>
      </c>
      <c r="L74" s="16">
        <v>56</v>
      </c>
      <c r="M74" s="16">
        <v>67</v>
      </c>
      <c r="N74" s="16">
        <v>32</v>
      </c>
      <c r="O74" s="16">
        <v>1</v>
      </c>
      <c r="P74" s="16">
        <v>15</v>
      </c>
      <c r="Q74" s="16">
        <v>4</v>
      </c>
      <c r="R74" s="16">
        <f t="shared" si="1"/>
        <v>81</v>
      </c>
      <c r="S74" s="16">
        <v>18</v>
      </c>
      <c r="T74" s="16">
        <v>30</v>
      </c>
      <c r="U74" s="16">
        <v>21</v>
      </c>
      <c r="V74" s="16">
        <v>12</v>
      </c>
      <c r="W74" s="31">
        <v>70</v>
      </c>
      <c r="X74" s="31">
        <v>65</v>
      </c>
      <c r="Y74" s="31">
        <v>2.9</v>
      </c>
      <c r="Z74" s="31">
        <v>5.4</v>
      </c>
      <c r="AA74" s="16">
        <v>104041</v>
      </c>
    </row>
    <row r="75" spans="1:26">
      <c r="A75" s="27">
        <v>10407</v>
      </c>
      <c r="B75" s="16" t="s">
        <v>92</v>
      </c>
      <c r="C75" s="16" t="s">
        <v>127</v>
      </c>
      <c r="D75" s="16" t="s">
        <v>47</v>
      </c>
      <c r="E75" s="16">
        <v>24</v>
      </c>
      <c r="F75" s="16">
        <v>35</v>
      </c>
      <c r="G75" s="16">
        <v>1</v>
      </c>
      <c r="H75" s="16">
        <v>25</v>
      </c>
      <c r="I75" s="16">
        <v>95</v>
      </c>
      <c r="J75" s="16">
        <v>86</v>
      </c>
      <c r="K75" s="16">
        <v>99</v>
      </c>
      <c r="L75" s="16">
        <v>71</v>
      </c>
      <c r="M75" s="16">
        <v>39</v>
      </c>
      <c r="N75" s="16">
        <v>33</v>
      </c>
      <c r="O75" s="16">
        <v>1</v>
      </c>
      <c r="P75" s="16">
        <v>17</v>
      </c>
      <c r="Q75" s="16">
        <v>2</v>
      </c>
      <c r="R75" s="16">
        <f t="shared" si="1"/>
        <v>60</v>
      </c>
      <c r="S75" s="16">
        <v>20</v>
      </c>
      <c r="T75" s="16">
        <v>20</v>
      </c>
      <c r="U75" s="16">
        <v>20</v>
      </c>
      <c r="V75" s="16">
        <v>0</v>
      </c>
      <c r="W75" s="16">
        <v>15</v>
      </c>
      <c r="X75" s="16">
        <v>35</v>
      </c>
      <c r="Y75" s="16">
        <v>0.6</v>
      </c>
      <c r="Z75" s="16">
        <v>1.1</v>
      </c>
    </row>
    <row r="76" s="16" customFormat="1" spans="1:29">
      <c r="A76" s="50">
        <v>10409</v>
      </c>
      <c r="B76" s="16" t="s">
        <v>37</v>
      </c>
      <c r="C76" s="25" t="s">
        <v>128</v>
      </c>
      <c r="D76" s="27" t="s">
        <v>34</v>
      </c>
      <c r="E76" s="37">
        <v>84</v>
      </c>
      <c r="F76" s="31">
        <v>116</v>
      </c>
      <c r="G76" s="31">
        <v>0</v>
      </c>
      <c r="H76" s="31">
        <v>102</v>
      </c>
      <c r="I76" s="31">
        <v>106</v>
      </c>
      <c r="J76" s="31">
        <v>0</v>
      </c>
      <c r="K76" s="31">
        <v>102</v>
      </c>
      <c r="L76" s="31">
        <v>52</v>
      </c>
      <c r="M76" s="31">
        <v>47</v>
      </c>
      <c r="N76" s="37">
        <v>33</v>
      </c>
      <c r="O76" s="31">
        <v>3</v>
      </c>
      <c r="P76" s="31">
        <v>23</v>
      </c>
      <c r="Q76" s="31">
        <v>4</v>
      </c>
      <c r="R76" s="16">
        <f t="shared" si="1"/>
        <v>12</v>
      </c>
      <c r="S76" s="37">
        <v>3</v>
      </c>
      <c r="T76" s="37">
        <v>3</v>
      </c>
      <c r="U76" s="37">
        <v>3</v>
      </c>
      <c r="V76" s="37">
        <v>3</v>
      </c>
      <c r="W76" s="31">
        <v>135</v>
      </c>
      <c r="X76" s="31">
        <v>175</v>
      </c>
      <c r="Y76" s="31">
        <v>4.8</v>
      </c>
      <c r="Z76" s="31">
        <v>9</v>
      </c>
      <c r="AA76" s="31">
        <v>104091</v>
      </c>
      <c r="AB76" s="31"/>
      <c r="AC76" s="29" t="s">
        <v>59</v>
      </c>
    </row>
    <row r="77" spans="1:28">
      <c r="A77" s="27">
        <v>10410</v>
      </c>
      <c r="B77" s="16" t="s">
        <v>84</v>
      </c>
      <c r="C77" s="16" t="s">
        <v>129</v>
      </c>
      <c r="D77" s="27" t="s">
        <v>34</v>
      </c>
      <c r="E77" s="31">
        <v>52</v>
      </c>
      <c r="F77" s="31">
        <v>83</v>
      </c>
      <c r="G77" s="31">
        <v>0</v>
      </c>
      <c r="H77" s="31">
        <v>58</v>
      </c>
      <c r="I77" s="31">
        <v>109</v>
      </c>
      <c r="J77" s="31">
        <v>0</v>
      </c>
      <c r="K77" s="31">
        <v>94</v>
      </c>
      <c r="L77" s="31">
        <v>75</v>
      </c>
      <c r="M77" s="31">
        <v>56</v>
      </c>
      <c r="N77" s="31">
        <v>33</v>
      </c>
      <c r="O77" s="31">
        <v>2</v>
      </c>
      <c r="P77" s="31">
        <v>19</v>
      </c>
      <c r="Q77" s="31">
        <v>3</v>
      </c>
      <c r="R77" s="16">
        <f t="shared" si="1"/>
        <v>9</v>
      </c>
      <c r="S77" s="31">
        <v>3</v>
      </c>
      <c r="T77" s="31">
        <v>3</v>
      </c>
      <c r="U77" s="31">
        <v>3</v>
      </c>
      <c r="V77" s="31">
        <v>0</v>
      </c>
      <c r="W77" s="31">
        <v>40</v>
      </c>
      <c r="X77" s="31">
        <v>70</v>
      </c>
      <c r="Y77" s="31">
        <v>1.28</v>
      </c>
      <c r="Z77" s="31">
        <v>2.4</v>
      </c>
      <c r="AA77" s="31">
        <v>104101</v>
      </c>
      <c r="AB77" s="31"/>
    </row>
    <row r="78" spans="1:28">
      <c r="A78" s="50">
        <v>10418</v>
      </c>
      <c r="B78" s="16" t="s">
        <v>37</v>
      </c>
      <c r="C78" s="25" t="s">
        <v>130</v>
      </c>
      <c r="D78" s="27" t="s">
        <v>39</v>
      </c>
      <c r="E78" s="37">
        <v>64</v>
      </c>
      <c r="F78" s="31">
        <v>87</v>
      </c>
      <c r="G78" s="31">
        <v>0</v>
      </c>
      <c r="H78" s="31">
        <v>76</v>
      </c>
      <c r="I78" s="31">
        <v>49</v>
      </c>
      <c r="J78" s="31">
        <v>0</v>
      </c>
      <c r="K78" s="31">
        <v>94</v>
      </c>
      <c r="L78" s="31">
        <v>40</v>
      </c>
      <c r="M78" s="31">
        <v>39</v>
      </c>
      <c r="N78" s="37">
        <v>22.5</v>
      </c>
      <c r="O78" s="31">
        <v>3</v>
      </c>
      <c r="P78" s="31">
        <v>15</v>
      </c>
      <c r="Q78" s="31">
        <v>4</v>
      </c>
      <c r="R78" s="16">
        <f t="shared" si="1"/>
        <v>0</v>
      </c>
      <c r="S78" s="37">
        <v>0</v>
      </c>
      <c r="T78" s="37">
        <v>0</v>
      </c>
      <c r="U78" s="37">
        <v>0</v>
      </c>
      <c r="V78" s="37">
        <v>0</v>
      </c>
      <c r="W78" s="31">
        <v>65</v>
      </c>
      <c r="X78" s="31">
        <v>120</v>
      </c>
      <c r="Y78" s="31">
        <v>2.9</v>
      </c>
      <c r="Z78" s="31">
        <v>5.3</v>
      </c>
      <c r="AA78" s="31">
        <v>104181</v>
      </c>
      <c r="AB78" s="31"/>
    </row>
    <row r="79" spans="1:28">
      <c r="A79" s="27">
        <v>10420</v>
      </c>
      <c r="B79" s="16" t="s">
        <v>131</v>
      </c>
      <c r="C79" s="25" t="s">
        <v>132</v>
      </c>
      <c r="D79" s="27" t="s">
        <v>39</v>
      </c>
      <c r="E79" s="31">
        <v>28</v>
      </c>
      <c r="F79" s="31">
        <v>52</v>
      </c>
      <c r="G79" s="31">
        <v>50</v>
      </c>
      <c r="H79" s="31">
        <v>46</v>
      </c>
      <c r="I79" s="31">
        <v>90</v>
      </c>
      <c r="J79" s="31">
        <v>82</v>
      </c>
      <c r="K79" s="31">
        <v>92</v>
      </c>
      <c r="L79" s="31">
        <v>69</v>
      </c>
      <c r="M79" s="31">
        <v>22</v>
      </c>
      <c r="N79" s="31">
        <v>32</v>
      </c>
      <c r="O79" s="31">
        <v>2</v>
      </c>
      <c r="P79" s="31">
        <v>20</v>
      </c>
      <c r="Q79" s="31">
        <v>3</v>
      </c>
      <c r="R79" s="16">
        <f t="shared" si="1"/>
        <v>0</v>
      </c>
      <c r="S79" s="31">
        <v>0</v>
      </c>
      <c r="T79" s="31">
        <v>0</v>
      </c>
      <c r="U79" s="31">
        <v>0</v>
      </c>
      <c r="V79" s="31">
        <v>0</v>
      </c>
      <c r="W79" s="31">
        <v>20</v>
      </c>
      <c r="X79" s="31">
        <v>30</v>
      </c>
      <c r="Y79" s="31">
        <v>0.96</v>
      </c>
      <c r="Z79" s="31">
        <v>1.8</v>
      </c>
      <c r="AA79" s="31">
        <v>104201</v>
      </c>
      <c r="AB79" s="31"/>
    </row>
    <row r="80" spans="1:28">
      <c r="A80" s="27">
        <v>10422</v>
      </c>
      <c r="B80" s="16" t="s">
        <v>131</v>
      </c>
      <c r="C80" s="25" t="s">
        <v>133</v>
      </c>
      <c r="D80" s="27" t="s">
        <v>34</v>
      </c>
      <c r="E80" s="31">
        <v>33</v>
      </c>
      <c r="F80" s="31">
        <v>62</v>
      </c>
      <c r="G80" s="31">
        <v>0</v>
      </c>
      <c r="H80" s="31">
        <v>52</v>
      </c>
      <c r="I80" s="31">
        <v>86</v>
      </c>
      <c r="J80" s="31">
        <v>63</v>
      </c>
      <c r="K80" s="31">
        <v>89</v>
      </c>
      <c r="L80" s="31">
        <v>72</v>
      </c>
      <c r="M80" s="31">
        <v>23</v>
      </c>
      <c r="N80" s="31">
        <v>31.5</v>
      </c>
      <c r="O80" s="31">
        <v>2</v>
      </c>
      <c r="P80" s="31">
        <v>22</v>
      </c>
      <c r="Q80" s="31">
        <v>3</v>
      </c>
      <c r="R80" s="16">
        <f t="shared" si="1"/>
        <v>9</v>
      </c>
      <c r="S80" s="31">
        <v>3</v>
      </c>
      <c r="T80" s="31">
        <v>3</v>
      </c>
      <c r="U80" s="31">
        <v>3</v>
      </c>
      <c r="V80" s="31">
        <v>0</v>
      </c>
      <c r="W80" s="31">
        <v>30</v>
      </c>
      <c r="X80" s="31">
        <v>35</v>
      </c>
      <c r="Y80" s="31">
        <v>0.8</v>
      </c>
      <c r="Z80" s="31">
        <v>1.5</v>
      </c>
      <c r="AA80" s="31">
        <v>104221</v>
      </c>
      <c r="AB80" s="31"/>
    </row>
    <row r="81" spans="1:27">
      <c r="A81" s="27">
        <v>10426</v>
      </c>
      <c r="B81" s="16" t="s">
        <v>29</v>
      </c>
      <c r="C81" s="25" t="s">
        <v>134</v>
      </c>
      <c r="D81" s="16" t="s">
        <v>47</v>
      </c>
      <c r="E81" s="16">
        <v>52</v>
      </c>
      <c r="F81" s="16">
        <v>40</v>
      </c>
      <c r="G81" s="16">
        <v>0</v>
      </c>
      <c r="H81" s="16">
        <v>57</v>
      </c>
      <c r="I81" s="16">
        <v>62</v>
      </c>
      <c r="J81" s="16">
        <v>0</v>
      </c>
      <c r="K81" s="16">
        <v>95</v>
      </c>
      <c r="L81" s="16">
        <v>54</v>
      </c>
      <c r="M81" s="16">
        <v>65</v>
      </c>
      <c r="N81" s="16">
        <v>35</v>
      </c>
      <c r="O81" s="16">
        <v>1</v>
      </c>
      <c r="P81" s="16">
        <v>5</v>
      </c>
      <c r="Q81" s="16">
        <v>4</v>
      </c>
      <c r="R81" s="16">
        <f t="shared" si="1"/>
        <v>62</v>
      </c>
      <c r="S81" s="16">
        <v>12</v>
      </c>
      <c r="T81" s="16">
        <v>21</v>
      </c>
      <c r="U81" s="16">
        <v>17</v>
      </c>
      <c r="V81" s="16">
        <v>12</v>
      </c>
      <c r="W81" s="31">
        <v>50</v>
      </c>
      <c r="X81" s="31">
        <v>60</v>
      </c>
      <c r="Y81" s="31">
        <v>2.08</v>
      </c>
      <c r="Z81" s="31">
        <v>4.3</v>
      </c>
      <c r="AA81" s="16">
        <v>104261</v>
      </c>
    </row>
    <row r="82" s="16" customFormat="1" spans="1:29">
      <c r="A82" s="27">
        <v>10433</v>
      </c>
      <c r="B82" s="16" t="s">
        <v>29</v>
      </c>
      <c r="C82" s="25" t="s">
        <v>135</v>
      </c>
      <c r="D82" s="16" t="s">
        <v>34</v>
      </c>
      <c r="E82" s="16">
        <v>60</v>
      </c>
      <c r="F82" s="16">
        <v>40</v>
      </c>
      <c r="G82" s="16">
        <v>0</v>
      </c>
      <c r="H82" s="16">
        <v>60</v>
      </c>
      <c r="I82" s="16">
        <v>98</v>
      </c>
      <c r="J82" s="16">
        <v>0</v>
      </c>
      <c r="K82" s="16">
        <v>96</v>
      </c>
      <c r="L82" s="16">
        <v>52</v>
      </c>
      <c r="M82" s="16">
        <v>77</v>
      </c>
      <c r="N82" s="16">
        <v>33</v>
      </c>
      <c r="O82" s="16">
        <v>1</v>
      </c>
      <c r="P82" s="16">
        <v>22</v>
      </c>
      <c r="Q82" s="16">
        <v>4</v>
      </c>
      <c r="R82" s="16">
        <f t="shared" si="1"/>
        <v>90</v>
      </c>
      <c r="S82" s="16">
        <v>18</v>
      </c>
      <c r="T82" s="16">
        <v>20</v>
      </c>
      <c r="U82" s="16">
        <v>34</v>
      </c>
      <c r="V82" s="16">
        <v>18</v>
      </c>
      <c r="W82" s="31">
        <v>60</v>
      </c>
      <c r="X82" s="31">
        <v>65</v>
      </c>
      <c r="Y82" s="31">
        <v>2.4</v>
      </c>
      <c r="Z82" s="31">
        <v>4.6</v>
      </c>
      <c r="AA82" s="16">
        <v>104331</v>
      </c>
      <c r="AC82" s="29" t="s">
        <v>81</v>
      </c>
    </row>
    <row r="83" spans="1:27">
      <c r="A83" s="50">
        <v>10435</v>
      </c>
      <c r="B83" s="16" t="s">
        <v>51</v>
      </c>
      <c r="C83" s="25" t="s">
        <v>136</v>
      </c>
      <c r="D83" s="27" t="s">
        <v>31</v>
      </c>
      <c r="E83" s="37">
        <v>62</v>
      </c>
      <c r="F83" s="31">
        <v>93</v>
      </c>
      <c r="G83" s="31">
        <v>0</v>
      </c>
      <c r="H83" s="31">
        <v>74</v>
      </c>
      <c r="I83" s="31">
        <v>80</v>
      </c>
      <c r="J83" s="31">
        <v>0</v>
      </c>
      <c r="K83" s="31">
        <v>94</v>
      </c>
      <c r="L83" s="31">
        <v>66</v>
      </c>
      <c r="M83" s="31">
        <v>40</v>
      </c>
      <c r="N83" s="37">
        <v>33</v>
      </c>
      <c r="O83" s="31">
        <v>3</v>
      </c>
      <c r="P83" s="31">
        <v>5</v>
      </c>
      <c r="Q83" s="31">
        <v>4</v>
      </c>
      <c r="R83" s="16">
        <f t="shared" si="1"/>
        <v>12</v>
      </c>
      <c r="S83" s="37">
        <v>3</v>
      </c>
      <c r="T83" s="37">
        <v>3</v>
      </c>
      <c r="U83" s="37">
        <v>3</v>
      </c>
      <c r="V83" s="37">
        <v>3</v>
      </c>
      <c r="W83" s="31">
        <v>80</v>
      </c>
      <c r="X83" s="31">
        <v>110</v>
      </c>
      <c r="Y83" s="31">
        <v>2.88</v>
      </c>
      <c r="Z83" s="31">
        <v>5.4</v>
      </c>
      <c r="AA83" s="31">
        <v>104351</v>
      </c>
    </row>
    <row r="84" spans="1:27">
      <c r="A84" s="50">
        <v>10436</v>
      </c>
      <c r="B84" s="16" t="s">
        <v>51</v>
      </c>
      <c r="C84" s="25" t="s">
        <v>137</v>
      </c>
      <c r="D84" s="27" t="s">
        <v>31</v>
      </c>
      <c r="E84" s="37">
        <v>80</v>
      </c>
      <c r="F84" s="31">
        <v>117</v>
      </c>
      <c r="G84" s="31">
        <v>0</v>
      </c>
      <c r="H84" s="31">
        <v>95</v>
      </c>
      <c r="I84" s="31">
        <v>56</v>
      </c>
      <c r="J84" s="31">
        <v>0</v>
      </c>
      <c r="K84" s="31">
        <v>96</v>
      </c>
      <c r="L84" s="31">
        <v>61</v>
      </c>
      <c r="M84" s="31">
        <v>42</v>
      </c>
      <c r="N84" s="37">
        <v>30</v>
      </c>
      <c r="O84" s="31">
        <v>3</v>
      </c>
      <c r="P84" s="31">
        <v>5</v>
      </c>
      <c r="Q84" s="31">
        <v>4</v>
      </c>
      <c r="R84" s="16">
        <f t="shared" si="1"/>
        <v>12</v>
      </c>
      <c r="S84" s="37">
        <v>3</v>
      </c>
      <c r="T84" s="37">
        <v>3</v>
      </c>
      <c r="U84" s="37">
        <v>3</v>
      </c>
      <c r="V84" s="37">
        <v>3</v>
      </c>
      <c r="W84" s="31">
        <v>100</v>
      </c>
      <c r="X84" s="31">
        <v>140</v>
      </c>
      <c r="Y84" s="31">
        <v>3.3</v>
      </c>
      <c r="Z84" s="31">
        <v>6.1</v>
      </c>
      <c r="AA84" s="31">
        <v>104361</v>
      </c>
    </row>
    <row r="85" spans="1:28">
      <c r="A85" s="27">
        <v>10438</v>
      </c>
      <c r="B85" s="16" t="s">
        <v>84</v>
      </c>
      <c r="C85" s="25" t="s">
        <v>138</v>
      </c>
      <c r="D85" s="27" t="s">
        <v>34</v>
      </c>
      <c r="E85" s="31">
        <v>52</v>
      </c>
      <c r="F85" s="31">
        <v>68</v>
      </c>
      <c r="G85" s="31">
        <v>0</v>
      </c>
      <c r="H85" s="31">
        <v>56</v>
      </c>
      <c r="I85" s="31">
        <v>95</v>
      </c>
      <c r="J85" s="31">
        <v>0</v>
      </c>
      <c r="K85" s="31">
        <v>92</v>
      </c>
      <c r="L85" s="31">
        <v>75</v>
      </c>
      <c r="M85" s="31">
        <v>56</v>
      </c>
      <c r="N85" s="31">
        <v>33</v>
      </c>
      <c r="O85" s="31">
        <v>2</v>
      </c>
      <c r="P85" s="31">
        <v>10</v>
      </c>
      <c r="Q85" s="31">
        <v>3</v>
      </c>
      <c r="R85" s="16">
        <f t="shared" si="1"/>
        <v>9</v>
      </c>
      <c r="S85" s="31">
        <v>3</v>
      </c>
      <c r="T85" s="31">
        <v>3</v>
      </c>
      <c r="U85" s="31">
        <v>3</v>
      </c>
      <c r="V85" s="31">
        <v>0</v>
      </c>
      <c r="W85" s="31">
        <v>40</v>
      </c>
      <c r="X85" s="31">
        <v>70</v>
      </c>
      <c r="Y85" s="31">
        <v>1.28</v>
      </c>
      <c r="Z85" s="31">
        <v>2.4</v>
      </c>
      <c r="AA85" s="31">
        <v>104381</v>
      </c>
      <c r="AB85" s="31"/>
    </row>
    <row r="86" spans="1:28">
      <c r="A86" s="50">
        <v>10442</v>
      </c>
      <c r="B86" s="16" t="s">
        <v>37</v>
      </c>
      <c r="C86" s="25" t="s">
        <v>139</v>
      </c>
      <c r="D86" s="27" t="s">
        <v>43</v>
      </c>
      <c r="E86" s="37">
        <v>72</v>
      </c>
      <c r="F86" s="31">
        <v>107</v>
      </c>
      <c r="G86" s="31">
        <v>0</v>
      </c>
      <c r="H86" s="31">
        <v>85</v>
      </c>
      <c r="I86" s="31">
        <v>50</v>
      </c>
      <c r="J86" s="31">
        <v>0</v>
      </c>
      <c r="K86" s="31">
        <v>100</v>
      </c>
      <c r="L86" s="31">
        <v>40</v>
      </c>
      <c r="M86" s="31">
        <v>39</v>
      </c>
      <c r="N86" s="37">
        <v>21</v>
      </c>
      <c r="O86" s="31">
        <v>3</v>
      </c>
      <c r="P86" s="31">
        <v>5</v>
      </c>
      <c r="Q86" s="31">
        <v>4</v>
      </c>
      <c r="R86" s="16">
        <f t="shared" si="1"/>
        <v>0</v>
      </c>
      <c r="S86" s="37">
        <v>0</v>
      </c>
      <c r="T86" s="37">
        <v>0</v>
      </c>
      <c r="U86" s="37">
        <v>0</v>
      </c>
      <c r="V86" s="37">
        <v>0</v>
      </c>
      <c r="W86" s="31">
        <v>80</v>
      </c>
      <c r="X86" s="31">
        <v>125</v>
      </c>
      <c r="Y86" s="31">
        <v>2.5</v>
      </c>
      <c r="Z86" s="31">
        <v>5</v>
      </c>
      <c r="AA86" s="31">
        <v>104421</v>
      </c>
      <c r="AB86" s="31"/>
    </row>
    <row r="87" spans="1:27">
      <c r="A87" s="50">
        <v>10446</v>
      </c>
      <c r="B87" s="16" t="s">
        <v>51</v>
      </c>
      <c r="C87" s="25" t="s">
        <v>140</v>
      </c>
      <c r="D87" s="27" t="s">
        <v>39</v>
      </c>
      <c r="E87" s="37">
        <v>60</v>
      </c>
      <c r="F87" s="31">
        <v>85</v>
      </c>
      <c r="G87" s="31">
        <v>0</v>
      </c>
      <c r="H87" s="31">
        <v>69</v>
      </c>
      <c r="I87" s="31">
        <v>45</v>
      </c>
      <c r="J87" s="31">
        <v>0</v>
      </c>
      <c r="K87" s="31">
        <v>94</v>
      </c>
      <c r="L87" s="31">
        <v>63</v>
      </c>
      <c r="M87" s="31">
        <v>40</v>
      </c>
      <c r="N87" s="37">
        <v>27</v>
      </c>
      <c r="O87" s="31">
        <v>3</v>
      </c>
      <c r="P87" s="31">
        <v>20</v>
      </c>
      <c r="Q87" s="31">
        <v>4</v>
      </c>
      <c r="R87" s="16">
        <f t="shared" si="1"/>
        <v>0</v>
      </c>
      <c r="S87" s="37">
        <v>0</v>
      </c>
      <c r="T87" s="37">
        <v>0</v>
      </c>
      <c r="U87" s="37">
        <v>0</v>
      </c>
      <c r="V87" s="37">
        <v>0</v>
      </c>
      <c r="W87" s="31">
        <v>60</v>
      </c>
      <c r="X87" s="31">
        <v>110</v>
      </c>
      <c r="Y87" s="31">
        <v>2.8</v>
      </c>
      <c r="Z87" s="31">
        <v>5.1</v>
      </c>
      <c r="AA87" s="31">
        <v>104461</v>
      </c>
    </row>
    <row r="88" spans="1:28">
      <c r="A88" s="50">
        <v>10448</v>
      </c>
      <c r="B88" s="16" t="s">
        <v>37</v>
      </c>
      <c r="C88" s="25" t="s">
        <v>141</v>
      </c>
      <c r="D88" s="27" t="s">
        <v>43</v>
      </c>
      <c r="E88" s="37">
        <v>84</v>
      </c>
      <c r="F88" s="31">
        <v>114</v>
      </c>
      <c r="G88" s="31">
        <v>0</v>
      </c>
      <c r="H88" s="31">
        <v>104</v>
      </c>
      <c r="I88" s="31">
        <v>81</v>
      </c>
      <c r="J88" s="31">
        <v>0</v>
      </c>
      <c r="K88" s="31">
        <v>96</v>
      </c>
      <c r="L88" s="31">
        <v>51</v>
      </c>
      <c r="M88" s="31">
        <v>40</v>
      </c>
      <c r="N88" s="37">
        <v>31</v>
      </c>
      <c r="O88" s="31">
        <v>3</v>
      </c>
      <c r="P88" s="31">
        <v>5</v>
      </c>
      <c r="Q88" s="31">
        <v>4</v>
      </c>
      <c r="R88" s="16">
        <f t="shared" si="1"/>
        <v>9</v>
      </c>
      <c r="S88" s="37">
        <v>3</v>
      </c>
      <c r="T88" s="37">
        <v>3</v>
      </c>
      <c r="U88" s="37">
        <v>3</v>
      </c>
      <c r="V88" s="37">
        <v>0</v>
      </c>
      <c r="W88" s="31">
        <v>95</v>
      </c>
      <c r="X88" s="31">
        <v>140</v>
      </c>
      <c r="Y88" s="31">
        <v>4.2</v>
      </c>
      <c r="Z88" s="31">
        <v>8.2</v>
      </c>
      <c r="AA88" s="31">
        <v>104481</v>
      </c>
      <c r="AB88" s="31"/>
    </row>
    <row r="89" spans="1:28">
      <c r="A89" s="50">
        <v>10450</v>
      </c>
      <c r="B89" s="16" t="s">
        <v>37</v>
      </c>
      <c r="C89" s="25" t="s">
        <v>142</v>
      </c>
      <c r="D89" s="27" t="s">
        <v>47</v>
      </c>
      <c r="E89" s="37">
        <v>84</v>
      </c>
      <c r="F89" s="31">
        <v>110</v>
      </c>
      <c r="G89" s="31">
        <v>0</v>
      </c>
      <c r="H89" s="31">
        <v>96</v>
      </c>
      <c r="I89" s="31">
        <v>53</v>
      </c>
      <c r="J89" s="31">
        <v>0</v>
      </c>
      <c r="K89" s="31">
        <v>100</v>
      </c>
      <c r="L89" s="31">
        <v>48</v>
      </c>
      <c r="M89" s="31">
        <v>38</v>
      </c>
      <c r="N89" s="37">
        <v>26</v>
      </c>
      <c r="O89" s="31">
        <v>3</v>
      </c>
      <c r="P89" s="31">
        <v>5</v>
      </c>
      <c r="Q89" s="31">
        <v>4</v>
      </c>
      <c r="R89" s="16">
        <f t="shared" si="1"/>
        <v>0</v>
      </c>
      <c r="S89" s="37">
        <v>0</v>
      </c>
      <c r="T89" s="37">
        <v>0</v>
      </c>
      <c r="U89" s="37">
        <v>0</v>
      </c>
      <c r="V89" s="37">
        <v>0</v>
      </c>
      <c r="W89" s="31">
        <v>90</v>
      </c>
      <c r="X89" s="31">
        <v>130</v>
      </c>
      <c r="Y89" s="31">
        <v>3.2</v>
      </c>
      <c r="Z89" s="31">
        <v>6</v>
      </c>
      <c r="AA89" s="31">
        <v>104501</v>
      </c>
      <c r="AB89" s="31"/>
    </row>
    <row r="90" spans="1:28">
      <c r="A90" s="27">
        <v>10451</v>
      </c>
      <c r="B90" s="16" t="s">
        <v>84</v>
      </c>
      <c r="C90" s="25" t="s">
        <v>143</v>
      </c>
      <c r="D90" s="27" t="s">
        <v>31</v>
      </c>
      <c r="E90" s="31">
        <v>42</v>
      </c>
      <c r="F90" s="31">
        <v>61</v>
      </c>
      <c r="G90" s="31">
        <v>65</v>
      </c>
      <c r="H90" s="31">
        <v>50</v>
      </c>
      <c r="I90" s="31">
        <v>59</v>
      </c>
      <c r="J90" s="31">
        <v>0</v>
      </c>
      <c r="K90" s="31">
        <v>92</v>
      </c>
      <c r="L90" s="31">
        <v>79</v>
      </c>
      <c r="M90" s="31">
        <v>51</v>
      </c>
      <c r="N90" s="31">
        <v>35</v>
      </c>
      <c r="O90" s="31">
        <v>2</v>
      </c>
      <c r="P90" s="31">
        <v>5</v>
      </c>
      <c r="Q90" s="31">
        <v>3</v>
      </c>
      <c r="R90" s="16">
        <f t="shared" si="1"/>
        <v>9</v>
      </c>
      <c r="S90" s="31">
        <v>3</v>
      </c>
      <c r="T90" s="31">
        <v>3</v>
      </c>
      <c r="U90" s="31">
        <v>3</v>
      </c>
      <c r="V90" s="31">
        <v>0</v>
      </c>
      <c r="W90" s="31">
        <v>40</v>
      </c>
      <c r="X90" s="31">
        <v>65</v>
      </c>
      <c r="Y90" s="31">
        <v>1.28</v>
      </c>
      <c r="Z90" s="31">
        <v>2.4</v>
      </c>
      <c r="AA90" s="31">
        <v>104511</v>
      </c>
      <c r="AB90" s="31"/>
    </row>
    <row r="91" s="16" customFormat="1" spans="1:29">
      <c r="A91" s="50">
        <v>10454</v>
      </c>
      <c r="B91" s="16" t="s">
        <v>37</v>
      </c>
      <c r="C91" s="25" t="s">
        <v>144</v>
      </c>
      <c r="D91" s="27" t="s">
        <v>39</v>
      </c>
      <c r="E91" s="37">
        <v>81</v>
      </c>
      <c r="F91" s="31">
        <v>110</v>
      </c>
      <c r="G91" s="31">
        <v>0</v>
      </c>
      <c r="H91" s="31">
        <v>105</v>
      </c>
      <c r="I91" s="31">
        <v>98</v>
      </c>
      <c r="J91" s="31">
        <v>0</v>
      </c>
      <c r="K91" s="31">
        <v>97</v>
      </c>
      <c r="L91" s="31">
        <v>50</v>
      </c>
      <c r="M91" s="31">
        <v>42</v>
      </c>
      <c r="N91" s="37">
        <v>28.25</v>
      </c>
      <c r="O91" s="31">
        <v>3</v>
      </c>
      <c r="P91" s="31">
        <v>6</v>
      </c>
      <c r="Q91" s="31">
        <v>4</v>
      </c>
      <c r="R91" s="16">
        <f t="shared" si="1"/>
        <v>0</v>
      </c>
      <c r="S91" s="37">
        <v>0</v>
      </c>
      <c r="T91" s="37">
        <v>0</v>
      </c>
      <c r="U91" s="37">
        <v>0</v>
      </c>
      <c r="V91" s="37">
        <v>0</v>
      </c>
      <c r="W91" s="31">
        <v>125</v>
      </c>
      <c r="X91" s="31">
        <v>175</v>
      </c>
      <c r="Y91" s="31">
        <v>4.8</v>
      </c>
      <c r="Z91" s="31">
        <v>9</v>
      </c>
      <c r="AA91" s="31">
        <v>104541</v>
      </c>
      <c r="AB91" s="31"/>
      <c r="AC91" s="29" t="s">
        <v>40</v>
      </c>
    </row>
    <row r="92" spans="1:27">
      <c r="A92" s="27">
        <v>10455</v>
      </c>
      <c r="B92" s="16" t="s">
        <v>44</v>
      </c>
      <c r="C92" s="25" t="s">
        <v>145</v>
      </c>
      <c r="D92" s="16" t="s">
        <v>39</v>
      </c>
      <c r="E92" s="16">
        <v>84</v>
      </c>
      <c r="F92" s="16">
        <v>45</v>
      </c>
      <c r="G92" s="16">
        <v>0</v>
      </c>
      <c r="H92" s="16">
        <v>95</v>
      </c>
      <c r="I92" s="16">
        <v>110</v>
      </c>
      <c r="J92" s="16">
        <v>0</v>
      </c>
      <c r="K92" s="16">
        <v>89</v>
      </c>
      <c r="L92" s="16">
        <v>51</v>
      </c>
      <c r="M92" s="16">
        <v>67</v>
      </c>
      <c r="N92" s="16">
        <v>31.5</v>
      </c>
      <c r="O92" s="16">
        <v>1</v>
      </c>
      <c r="P92" s="16">
        <v>15</v>
      </c>
      <c r="Q92" s="16">
        <v>4</v>
      </c>
      <c r="R92" s="16">
        <f t="shared" si="1"/>
        <v>83</v>
      </c>
      <c r="S92" s="16">
        <v>20</v>
      </c>
      <c r="T92" s="16">
        <v>30</v>
      </c>
      <c r="U92" s="16">
        <v>21</v>
      </c>
      <c r="V92" s="16">
        <v>12</v>
      </c>
      <c r="W92" s="31">
        <v>95</v>
      </c>
      <c r="X92" s="31">
        <v>130</v>
      </c>
      <c r="Y92" s="31">
        <v>3.5</v>
      </c>
      <c r="Z92" s="31">
        <v>5.8</v>
      </c>
      <c r="AA92" s="16">
        <v>104551</v>
      </c>
    </row>
    <row r="93" spans="1:27">
      <c r="A93" s="27">
        <v>10458</v>
      </c>
      <c r="B93" s="16" t="s">
        <v>87</v>
      </c>
      <c r="C93" s="16" t="s">
        <v>146</v>
      </c>
      <c r="D93" s="16" t="s">
        <v>57</v>
      </c>
      <c r="E93" s="16">
        <v>8</v>
      </c>
      <c r="F93" s="16">
        <v>21</v>
      </c>
      <c r="G93" s="16">
        <v>65</v>
      </c>
      <c r="H93" s="16">
        <v>20</v>
      </c>
      <c r="I93" s="16">
        <v>0</v>
      </c>
      <c r="J93" s="16">
        <v>0</v>
      </c>
      <c r="K93" s="16">
        <v>99</v>
      </c>
      <c r="L93" s="16">
        <v>60</v>
      </c>
      <c r="M93" s="16">
        <v>46</v>
      </c>
      <c r="N93" s="16">
        <v>12.6</v>
      </c>
      <c r="O93" s="16">
        <v>1</v>
      </c>
      <c r="P93" s="16">
        <v>20</v>
      </c>
      <c r="Q93" s="16">
        <v>2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10</v>
      </c>
      <c r="X93" s="16">
        <v>20</v>
      </c>
      <c r="Y93" s="16">
        <v>0.5</v>
      </c>
      <c r="Z93" s="16">
        <v>0.4</v>
      </c>
      <c r="AA93" s="16">
        <v>104581</v>
      </c>
    </row>
    <row r="94" spans="1:28">
      <c r="A94" s="50">
        <v>10460</v>
      </c>
      <c r="B94" s="16" t="s">
        <v>37</v>
      </c>
      <c r="C94" s="25" t="s">
        <v>147</v>
      </c>
      <c r="D94" s="27" t="s">
        <v>34</v>
      </c>
      <c r="E94" s="37">
        <v>68</v>
      </c>
      <c r="F94" s="31">
        <v>93</v>
      </c>
      <c r="G94" s="31">
        <v>0</v>
      </c>
      <c r="H94" s="31">
        <v>87</v>
      </c>
      <c r="I94" s="31">
        <v>66</v>
      </c>
      <c r="J94" s="31">
        <v>0</v>
      </c>
      <c r="K94" s="31">
        <v>94</v>
      </c>
      <c r="L94" s="31">
        <v>37</v>
      </c>
      <c r="M94" s="31">
        <v>39</v>
      </c>
      <c r="N94" s="37">
        <v>21</v>
      </c>
      <c r="O94" s="31">
        <v>3</v>
      </c>
      <c r="P94" s="31">
        <v>20</v>
      </c>
      <c r="Q94" s="31">
        <v>4</v>
      </c>
      <c r="R94" s="16">
        <f t="shared" ref="R94:R156" si="2">SUM($S94:$V94)</f>
        <v>12</v>
      </c>
      <c r="S94" s="37">
        <v>3</v>
      </c>
      <c r="T94" s="37">
        <v>3</v>
      </c>
      <c r="U94" s="37">
        <v>3</v>
      </c>
      <c r="V94" s="37">
        <v>3</v>
      </c>
      <c r="W94" s="31">
        <v>85</v>
      </c>
      <c r="X94" s="31">
        <v>120</v>
      </c>
      <c r="Y94" s="31">
        <v>2.5</v>
      </c>
      <c r="Z94" s="31">
        <v>5.2</v>
      </c>
      <c r="AA94" s="31">
        <v>104601</v>
      </c>
      <c r="AB94" s="31"/>
    </row>
    <row r="95" spans="1:27">
      <c r="A95" s="50">
        <v>10461</v>
      </c>
      <c r="B95" s="16" t="s">
        <v>51</v>
      </c>
      <c r="C95" s="25" t="s">
        <v>148</v>
      </c>
      <c r="D95" s="27" t="s">
        <v>39</v>
      </c>
      <c r="E95" s="37">
        <v>84</v>
      </c>
      <c r="F95" s="31">
        <v>110</v>
      </c>
      <c r="G95" s="31">
        <v>0</v>
      </c>
      <c r="H95" s="31">
        <v>107</v>
      </c>
      <c r="I95" s="31">
        <v>73</v>
      </c>
      <c r="J95" s="31">
        <v>0</v>
      </c>
      <c r="K95" s="31">
        <v>100</v>
      </c>
      <c r="L95" s="31">
        <v>52</v>
      </c>
      <c r="M95" s="31">
        <v>44</v>
      </c>
      <c r="N95" s="37">
        <v>32</v>
      </c>
      <c r="O95" s="31">
        <v>3</v>
      </c>
      <c r="P95" s="31">
        <v>6</v>
      </c>
      <c r="Q95" s="31">
        <v>4</v>
      </c>
      <c r="R95" s="16">
        <f t="shared" si="2"/>
        <v>0</v>
      </c>
      <c r="S95" s="37">
        <v>0</v>
      </c>
      <c r="T95" s="37">
        <v>0</v>
      </c>
      <c r="U95" s="37">
        <v>0</v>
      </c>
      <c r="V95" s="37">
        <v>0</v>
      </c>
      <c r="W95" s="31">
        <v>130</v>
      </c>
      <c r="X95" s="31">
        <v>175</v>
      </c>
      <c r="Y95" s="31">
        <v>4.8</v>
      </c>
      <c r="Z95" s="31">
        <v>9.1</v>
      </c>
      <c r="AA95" s="31">
        <v>104611</v>
      </c>
    </row>
    <row r="96" spans="1:28">
      <c r="A96" s="50">
        <v>10464</v>
      </c>
      <c r="B96" s="16" t="s">
        <v>37</v>
      </c>
      <c r="C96" s="25" t="s">
        <v>149</v>
      </c>
      <c r="D96" s="27" t="s">
        <v>34</v>
      </c>
      <c r="E96" s="37">
        <v>80</v>
      </c>
      <c r="F96" s="31">
        <v>123</v>
      </c>
      <c r="G96" s="31">
        <v>0</v>
      </c>
      <c r="H96" s="31">
        <v>95</v>
      </c>
      <c r="I96" s="31">
        <v>65</v>
      </c>
      <c r="J96" s="31">
        <v>0</v>
      </c>
      <c r="K96" s="31">
        <v>94</v>
      </c>
      <c r="L96" s="31">
        <v>40</v>
      </c>
      <c r="M96" s="31">
        <v>39</v>
      </c>
      <c r="N96" s="37">
        <v>23</v>
      </c>
      <c r="O96" s="31">
        <v>3</v>
      </c>
      <c r="P96" s="31">
        <v>8</v>
      </c>
      <c r="Q96" s="31">
        <v>4</v>
      </c>
      <c r="R96" s="16">
        <f t="shared" si="2"/>
        <v>0</v>
      </c>
      <c r="S96" s="37">
        <v>0</v>
      </c>
      <c r="T96" s="37">
        <v>0</v>
      </c>
      <c r="U96" s="37">
        <v>0</v>
      </c>
      <c r="V96" s="37">
        <v>0</v>
      </c>
      <c r="W96" s="31">
        <v>100</v>
      </c>
      <c r="X96" s="31">
        <v>185</v>
      </c>
      <c r="Y96" s="31">
        <v>3.7</v>
      </c>
      <c r="Z96" s="31">
        <v>8.1</v>
      </c>
      <c r="AA96" s="31">
        <v>104641</v>
      </c>
      <c r="AB96" s="31"/>
    </row>
    <row r="97" s="16" customFormat="1" spans="1:29">
      <c r="A97" s="27">
        <v>10466</v>
      </c>
      <c r="B97" s="16" t="s">
        <v>37</v>
      </c>
      <c r="C97" s="16" t="s">
        <v>150</v>
      </c>
      <c r="D97" s="16" t="s">
        <v>151</v>
      </c>
      <c r="E97" s="16">
        <v>76</v>
      </c>
      <c r="F97" s="16">
        <v>102</v>
      </c>
      <c r="G97" s="16">
        <v>0</v>
      </c>
      <c r="H97" s="16">
        <v>98</v>
      </c>
      <c r="I97" s="16">
        <v>66</v>
      </c>
      <c r="J97" s="16">
        <v>0</v>
      </c>
      <c r="K97" s="26">
        <v>96</v>
      </c>
      <c r="L97" s="16">
        <v>50</v>
      </c>
      <c r="M97" s="16">
        <v>43</v>
      </c>
      <c r="N97" s="16">
        <v>31</v>
      </c>
      <c r="O97" s="16">
        <v>3</v>
      </c>
      <c r="P97" s="16">
        <v>5</v>
      </c>
      <c r="Q97" s="16">
        <v>4</v>
      </c>
      <c r="R97" s="39">
        <f t="shared" si="2"/>
        <v>0</v>
      </c>
      <c r="S97" s="16">
        <v>0</v>
      </c>
      <c r="T97" s="16">
        <v>0</v>
      </c>
      <c r="U97" s="16">
        <v>0</v>
      </c>
      <c r="V97" s="16">
        <v>0</v>
      </c>
      <c r="W97" s="16">
        <v>90</v>
      </c>
      <c r="X97" s="16">
        <v>130</v>
      </c>
      <c r="Y97" s="16">
        <v>4.2</v>
      </c>
      <c r="Z97" s="16">
        <v>8</v>
      </c>
      <c r="AA97" s="16">
        <v>104661</v>
      </c>
      <c r="AC97" s="29" t="s">
        <v>69</v>
      </c>
    </row>
    <row r="98" s="16" customFormat="1" spans="1:29">
      <c r="A98" s="27">
        <v>10467</v>
      </c>
      <c r="B98" s="16" t="s">
        <v>105</v>
      </c>
      <c r="C98" s="16" t="s">
        <v>152</v>
      </c>
      <c r="D98" s="16" t="s">
        <v>89</v>
      </c>
      <c r="E98" s="16">
        <v>20</v>
      </c>
      <c r="F98" s="16">
        <v>37</v>
      </c>
      <c r="G98" s="16">
        <v>1</v>
      </c>
      <c r="H98" s="16">
        <v>24</v>
      </c>
      <c r="I98" s="16">
        <v>60</v>
      </c>
      <c r="J98" s="16">
        <v>0</v>
      </c>
      <c r="K98" s="16">
        <v>95</v>
      </c>
      <c r="L98" s="16">
        <v>79</v>
      </c>
      <c r="M98" s="16">
        <v>26</v>
      </c>
      <c r="N98" s="16">
        <v>39</v>
      </c>
      <c r="O98" s="16">
        <v>1</v>
      </c>
      <c r="P98" s="16">
        <v>20</v>
      </c>
      <c r="Q98" s="16">
        <v>3</v>
      </c>
      <c r="R98" s="16">
        <f t="shared" si="2"/>
        <v>24</v>
      </c>
      <c r="S98" s="16">
        <v>8</v>
      </c>
      <c r="T98" s="16">
        <v>8</v>
      </c>
      <c r="U98" s="16">
        <v>8</v>
      </c>
      <c r="V98" s="16">
        <v>0</v>
      </c>
      <c r="W98" s="16">
        <v>20</v>
      </c>
      <c r="X98" s="16">
        <v>50</v>
      </c>
      <c r="Y98" s="16">
        <v>0.48</v>
      </c>
      <c r="Z98" s="16">
        <v>1.2</v>
      </c>
      <c r="AA98" s="16">
        <v>104671</v>
      </c>
      <c r="AC98" s="29" t="s">
        <v>153</v>
      </c>
    </row>
    <row r="99" spans="1:28">
      <c r="A99" s="50">
        <v>10468</v>
      </c>
      <c r="B99" s="16" t="s">
        <v>37</v>
      </c>
      <c r="C99" s="25" t="s">
        <v>154</v>
      </c>
      <c r="D99" s="27" t="s">
        <v>39</v>
      </c>
      <c r="E99" s="37">
        <v>56</v>
      </c>
      <c r="F99" s="31">
        <v>89</v>
      </c>
      <c r="G99" s="31">
        <v>0</v>
      </c>
      <c r="H99" s="31">
        <v>81</v>
      </c>
      <c r="I99" s="31">
        <v>45</v>
      </c>
      <c r="J99" s="31">
        <v>0</v>
      </c>
      <c r="K99" s="31">
        <v>96</v>
      </c>
      <c r="L99" s="31">
        <v>38</v>
      </c>
      <c r="M99" s="31">
        <v>39</v>
      </c>
      <c r="N99" s="37">
        <v>21</v>
      </c>
      <c r="O99" s="31">
        <v>3</v>
      </c>
      <c r="P99" s="31">
        <v>19</v>
      </c>
      <c r="Q99" s="31">
        <v>4</v>
      </c>
      <c r="R99" s="16">
        <f t="shared" si="2"/>
        <v>0</v>
      </c>
      <c r="S99" s="37">
        <v>0</v>
      </c>
      <c r="T99" s="37">
        <v>0</v>
      </c>
      <c r="U99" s="37">
        <v>0</v>
      </c>
      <c r="V99" s="37">
        <v>0</v>
      </c>
      <c r="W99" s="31">
        <v>55</v>
      </c>
      <c r="X99" s="31">
        <v>110</v>
      </c>
      <c r="Y99" s="31">
        <v>2.8</v>
      </c>
      <c r="Z99" s="31">
        <v>5</v>
      </c>
      <c r="AA99" s="31">
        <v>104681</v>
      </c>
      <c r="AB99" s="31"/>
    </row>
    <row r="100" s="16" customFormat="1" spans="1:29">
      <c r="A100" s="27">
        <v>10469</v>
      </c>
      <c r="B100" s="16" t="s">
        <v>29</v>
      </c>
      <c r="C100" s="25" t="s">
        <v>155</v>
      </c>
      <c r="D100" s="16" t="s">
        <v>34</v>
      </c>
      <c r="E100" s="16">
        <v>60</v>
      </c>
      <c r="F100" s="16">
        <v>40</v>
      </c>
      <c r="G100" s="16">
        <v>0</v>
      </c>
      <c r="H100" s="16">
        <v>60</v>
      </c>
      <c r="I100" s="16">
        <v>101</v>
      </c>
      <c r="J100" s="16">
        <v>0</v>
      </c>
      <c r="K100" s="16">
        <v>96</v>
      </c>
      <c r="L100" s="16">
        <v>52</v>
      </c>
      <c r="M100" s="16">
        <v>77</v>
      </c>
      <c r="N100" s="16">
        <v>33</v>
      </c>
      <c r="O100" s="16">
        <v>1</v>
      </c>
      <c r="P100" s="16">
        <v>18</v>
      </c>
      <c r="Q100" s="16">
        <v>4</v>
      </c>
      <c r="R100" s="16">
        <f t="shared" si="2"/>
        <v>91</v>
      </c>
      <c r="S100" s="16">
        <v>19</v>
      </c>
      <c r="T100" s="16">
        <v>20</v>
      </c>
      <c r="U100" s="16">
        <v>34</v>
      </c>
      <c r="V100" s="16">
        <v>18</v>
      </c>
      <c r="W100" s="31">
        <v>60</v>
      </c>
      <c r="X100" s="31">
        <v>65</v>
      </c>
      <c r="Y100" s="31">
        <v>2.4</v>
      </c>
      <c r="Z100" s="31">
        <v>4.6</v>
      </c>
      <c r="AA100" s="16">
        <v>104691</v>
      </c>
      <c r="AC100" s="29" t="s">
        <v>81</v>
      </c>
    </row>
    <row r="101" spans="1:27">
      <c r="A101" s="27">
        <v>10471</v>
      </c>
      <c r="B101" s="16" t="s">
        <v>29</v>
      </c>
      <c r="C101" s="25" t="s">
        <v>156</v>
      </c>
      <c r="D101" s="16" t="s">
        <v>47</v>
      </c>
      <c r="E101" s="16">
        <v>84</v>
      </c>
      <c r="F101" s="16">
        <v>40</v>
      </c>
      <c r="G101" s="16">
        <v>0</v>
      </c>
      <c r="H101" s="16">
        <v>45</v>
      </c>
      <c r="I101" s="16">
        <v>72</v>
      </c>
      <c r="J101" s="16">
        <v>0</v>
      </c>
      <c r="K101" s="26">
        <v>96</v>
      </c>
      <c r="L101" s="16">
        <v>44</v>
      </c>
      <c r="M101" s="16">
        <v>67</v>
      </c>
      <c r="N101" s="16">
        <v>27.5</v>
      </c>
      <c r="O101" s="16">
        <v>1</v>
      </c>
      <c r="P101" s="16">
        <v>9</v>
      </c>
      <c r="Q101" s="16">
        <v>4</v>
      </c>
      <c r="R101" s="16">
        <f t="shared" si="2"/>
        <v>51</v>
      </c>
      <c r="S101" s="16">
        <v>12</v>
      </c>
      <c r="T101" s="16">
        <v>18</v>
      </c>
      <c r="U101" s="16">
        <v>15</v>
      </c>
      <c r="V101" s="16">
        <v>6</v>
      </c>
      <c r="W101" s="31">
        <v>90</v>
      </c>
      <c r="X101" s="31">
        <v>65</v>
      </c>
      <c r="Y101" s="31">
        <v>4.7</v>
      </c>
      <c r="Z101" s="31">
        <v>5</v>
      </c>
      <c r="AA101" s="16">
        <v>104711</v>
      </c>
    </row>
    <row r="102" spans="1:26">
      <c r="A102" s="27">
        <v>10472</v>
      </c>
      <c r="B102" s="16" t="s">
        <v>29</v>
      </c>
      <c r="C102" s="25" t="s">
        <v>157</v>
      </c>
      <c r="D102" s="16" t="s">
        <v>43</v>
      </c>
      <c r="E102" s="16">
        <v>52</v>
      </c>
      <c r="F102" s="16">
        <v>40</v>
      </c>
      <c r="G102" s="16">
        <v>0</v>
      </c>
      <c r="H102" s="16">
        <v>53</v>
      </c>
      <c r="I102" s="16">
        <v>76</v>
      </c>
      <c r="J102" s="16">
        <v>0</v>
      </c>
      <c r="K102" s="16">
        <v>96</v>
      </c>
      <c r="L102" s="16">
        <v>53</v>
      </c>
      <c r="M102" s="16">
        <v>72</v>
      </c>
      <c r="N102" s="16">
        <v>33</v>
      </c>
      <c r="O102" s="16">
        <v>1</v>
      </c>
      <c r="P102" s="16">
        <v>6</v>
      </c>
      <c r="Q102" s="16">
        <v>4</v>
      </c>
      <c r="R102" s="16">
        <f t="shared" si="2"/>
        <v>48</v>
      </c>
      <c r="S102" s="16">
        <v>9</v>
      </c>
      <c r="T102" s="16">
        <v>16</v>
      </c>
      <c r="U102" s="16">
        <v>15</v>
      </c>
      <c r="V102" s="16">
        <v>8</v>
      </c>
      <c r="W102" s="31">
        <v>55</v>
      </c>
      <c r="X102" s="31">
        <v>60</v>
      </c>
      <c r="Y102" s="31">
        <v>2.3</v>
      </c>
      <c r="Z102" s="31">
        <v>4.3</v>
      </c>
    </row>
    <row r="103" spans="1:27">
      <c r="A103" s="27">
        <v>10474</v>
      </c>
      <c r="B103" s="16" t="s">
        <v>29</v>
      </c>
      <c r="C103" s="25" t="s">
        <v>158</v>
      </c>
      <c r="D103" s="16" t="s">
        <v>72</v>
      </c>
      <c r="E103" s="16">
        <v>64</v>
      </c>
      <c r="F103" s="16">
        <v>40</v>
      </c>
      <c r="G103" s="16">
        <v>0</v>
      </c>
      <c r="H103" s="16">
        <v>62</v>
      </c>
      <c r="I103" s="16">
        <v>82</v>
      </c>
      <c r="J103" s="16">
        <v>0</v>
      </c>
      <c r="K103" s="26">
        <v>95</v>
      </c>
      <c r="L103" s="16">
        <v>52</v>
      </c>
      <c r="M103" s="16">
        <v>67</v>
      </c>
      <c r="N103" s="16">
        <v>30</v>
      </c>
      <c r="O103" s="16">
        <v>1</v>
      </c>
      <c r="P103" s="16">
        <v>5</v>
      </c>
      <c r="Q103" s="16">
        <v>4</v>
      </c>
      <c r="R103" s="16">
        <f t="shared" si="2"/>
        <v>72</v>
      </c>
      <c r="S103" s="16">
        <v>15</v>
      </c>
      <c r="T103" s="16">
        <v>15</v>
      </c>
      <c r="U103" s="16">
        <v>24</v>
      </c>
      <c r="V103" s="16">
        <v>18</v>
      </c>
      <c r="W103" s="31">
        <v>65</v>
      </c>
      <c r="X103" s="31">
        <v>65</v>
      </c>
      <c r="Y103" s="31">
        <v>2.4</v>
      </c>
      <c r="Z103" s="31">
        <v>4.6</v>
      </c>
      <c r="AA103" s="16">
        <v>104741</v>
      </c>
    </row>
    <row r="104" spans="1:28">
      <c r="A104" s="27">
        <v>10482</v>
      </c>
      <c r="B104" s="16" t="s">
        <v>131</v>
      </c>
      <c r="C104" s="16" t="s">
        <v>159</v>
      </c>
      <c r="D104" s="27" t="s">
        <v>31</v>
      </c>
      <c r="E104" s="31">
        <v>28</v>
      </c>
      <c r="F104" s="31">
        <v>41</v>
      </c>
      <c r="G104" s="31">
        <v>0</v>
      </c>
      <c r="H104" s="31">
        <v>50</v>
      </c>
      <c r="I104" s="31">
        <v>69</v>
      </c>
      <c r="J104" s="31">
        <v>80</v>
      </c>
      <c r="K104" s="38">
        <v>92</v>
      </c>
      <c r="L104" s="31">
        <v>76</v>
      </c>
      <c r="M104" s="31">
        <v>35</v>
      </c>
      <c r="N104" s="31">
        <v>36</v>
      </c>
      <c r="O104" s="31">
        <v>2</v>
      </c>
      <c r="P104" s="31">
        <v>15</v>
      </c>
      <c r="Q104" s="31">
        <v>3</v>
      </c>
      <c r="R104" s="16">
        <f t="shared" si="2"/>
        <v>18</v>
      </c>
      <c r="S104" s="31">
        <v>6</v>
      </c>
      <c r="T104" s="31">
        <v>6</v>
      </c>
      <c r="U104" s="31">
        <v>6</v>
      </c>
      <c r="V104" s="31">
        <v>0</v>
      </c>
      <c r="W104" s="31">
        <v>20</v>
      </c>
      <c r="X104" s="31">
        <v>30</v>
      </c>
      <c r="Y104" s="31">
        <v>0.8</v>
      </c>
      <c r="Z104" s="31">
        <v>1.5</v>
      </c>
      <c r="AA104" s="31">
        <v>104821</v>
      </c>
      <c r="AB104" s="31"/>
    </row>
    <row r="105" spans="1:27">
      <c r="A105" s="27">
        <v>10483</v>
      </c>
      <c r="B105" s="16" t="s">
        <v>44</v>
      </c>
      <c r="C105" s="25" t="s">
        <v>160</v>
      </c>
      <c r="D105" s="16" t="s">
        <v>39</v>
      </c>
      <c r="E105" s="16">
        <v>66</v>
      </c>
      <c r="F105" s="16">
        <v>40</v>
      </c>
      <c r="G105" s="16">
        <v>0</v>
      </c>
      <c r="H105" s="16">
        <v>93</v>
      </c>
      <c r="I105" s="16">
        <v>85</v>
      </c>
      <c r="J105" s="16">
        <v>0</v>
      </c>
      <c r="K105" s="26">
        <v>87</v>
      </c>
      <c r="L105" s="16">
        <v>57</v>
      </c>
      <c r="M105" s="16">
        <v>67</v>
      </c>
      <c r="N105" s="16">
        <v>30.5</v>
      </c>
      <c r="O105" s="16">
        <v>1</v>
      </c>
      <c r="P105" s="16">
        <v>25</v>
      </c>
      <c r="Q105" s="16">
        <v>4</v>
      </c>
      <c r="R105" s="16">
        <f t="shared" si="2"/>
        <v>59</v>
      </c>
      <c r="S105" s="16">
        <v>12</v>
      </c>
      <c r="T105" s="16">
        <v>25</v>
      </c>
      <c r="U105" s="16">
        <v>12</v>
      </c>
      <c r="V105" s="16">
        <v>10</v>
      </c>
      <c r="W105" s="31">
        <v>70</v>
      </c>
      <c r="X105" s="31">
        <v>65</v>
      </c>
      <c r="Y105" s="31">
        <v>2.88</v>
      </c>
      <c r="Z105" s="31">
        <v>5.5</v>
      </c>
      <c r="AA105" s="16">
        <v>104831</v>
      </c>
    </row>
    <row r="106" spans="1:27">
      <c r="A106" s="27">
        <v>10484</v>
      </c>
      <c r="B106" s="16" t="s">
        <v>51</v>
      </c>
      <c r="C106" s="25" t="s">
        <v>161</v>
      </c>
      <c r="D106" s="27" t="s">
        <v>39</v>
      </c>
      <c r="E106" s="31">
        <v>76</v>
      </c>
      <c r="F106" s="31">
        <v>95</v>
      </c>
      <c r="G106" s="31">
        <v>0</v>
      </c>
      <c r="H106" s="31">
        <v>84</v>
      </c>
      <c r="I106" s="31">
        <v>60</v>
      </c>
      <c r="J106" s="31">
        <v>0</v>
      </c>
      <c r="K106" s="38">
        <v>96</v>
      </c>
      <c r="L106" s="31">
        <v>57</v>
      </c>
      <c r="M106" s="31">
        <v>38</v>
      </c>
      <c r="N106" s="31">
        <v>31</v>
      </c>
      <c r="O106" s="31">
        <v>3</v>
      </c>
      <c r="P106" s="31">
        <v>5</v>
      </c>
      <c r="Q106" s="31">
        <v>4</v>
      </c>
      <c r="R106" s="16">
        <f t="shared" si="2"/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75</v>
      </c>
      <c r="X106" s="31">
        <v>120</v>
      </c>
      <c r="Y106" s="31">
        <v>2.88</v>
      </c>
      <c r="Z106" s="31">
        <v>5.4</v>
      </c>
      <c r="AA106" s="31">
        <v>104841</v>
      </c>
    </row>
    <row r="107" spans="1:27">
      <c r="A107" s="27">
        <v>10486</v>
      </c>
      <c r="B107" s="16" t="s">
        <v>44</v>
      </c>
      <c r="C107" s="25" t="s">
        <v>162</v>
      </c>
      <c r="D107" s="16" t="s">
        <v>31</v>
      </c>
      <c r="E107" s="16">
        <v>68</v>
      </c>
      <c r="F107" s="16">
        <v>40</v>
      </c>
      <c r="G107" s="16">
        <v>0</v>
      </c>
      <c r="H107" s="16">
        <v>87</v>
      </c>
      <c r="I107" s="16">
        <v>80</v>
      </c>
      <c r="J107" s="16">
        <v>0</v>
      </c>
      <c r="K107" s="26">
        <v>85</v>
      </c>
      <c r="L107" s="16">
        <v>57</v>
      </c>
      <c r="M107" s="16">
        <v>72</v>
      </c>
      <c r="N107" s="16">
        <v>33.3</v>
      </c>
      <c r="O107" s="16">
        <v>1</v>
      </c>
      <c r="P107" s="16">
        <v>5</v>
      </c>
      <c r="Q107" s="16">
        <v>4</v>
      </c>
      <c r="R107" s="16">
        <f t="shared" si="2"/>
        <v>75</v>
      </c>
      <c r="S107" s="16">
        <v>18</v>
      </c>
      <c r="T107" s="16">
        <v>30</v>
      </c>
      <c r="U107" s="16">
        <v>17</v>
      </c>
      <c r="V107" s="16">
        <v>10</v>
      </c>
      <c r="W107" s="31">
        <v>75</v>
      </c>
      <c r="X107" s="31">
        <v>70</v>
      </c>
      <c r="Y107" s="31">
        <v>2.88</v>
      </c>
      <c r="Z107" s="31">
        <v>5.5</v>
      </c>
      <c r="AA107" s="16">
        <v>104861</v>
      </c>
    </row>
    <row r="108" spans="1:27">
      <c r="A108" s="27">
        <v>10490</v>
      </c>
      <c r="B108" s="16" t="s">
        <v>51</v>
      </c>
      <c r="C108" s="25" t="s">
        <v>163</v>
      </c>
      <c r="D108" s="27" t="s">
        <v>47</v>
      </c>
      <c r="E108" s="31">
        <v>66</v>
      </c>
      <c r="F108" s="31">
        <v>83</v>
      </c>
      <c r="G108" s="31">
        <v>45</v>
      </c>
      <c r="H108" s="31">
        <v>71</v>
      </c>
      <c r="I108" s="31">
        <v>65</v>
      </c>
      <c r="J108" s="31">
        <v>0</v>
      </c>
      <c r="K108" s="38">
        <v>88</v>
      </c>
      <c r="L108" s="31">
        <v>66</v>
      </c>
      <c r="M108" s="31">
        <v>41</v>
      </c>
      <c r="N108" s="31">
        <v>35</v>
      </c>
      <c r="O108" s="31">
        <v>3</v>
      </c>
      <c r="P108" s="31">
        <v>6</v>
      </c>
      <c r="Q108" s="31">
        <v>4</v>
      </c>
      <c r="R108" s="16">
        <f t="shared" si="2"/>
        <v>12</v>
      </c>
      <c r="S108" s="31">
        <v>3</v>
      </c>
      <c r="T108" s="31">
        <v>3</v>
      </c>
      <c r="U108" s="31">
        <v>3</v>
      </c>
      <c r="V108" s="31">
        <v>3</v>
      </c>
      <c r="W108" s="31">
        <v>60</v>
      </c>
      <c r="X108" s="31">
        <v>110</v>
      </c>
      <c r="Y108" s="31">
        <v>2.88</v>
      </c>
      <c r="Z108" s="31">
        <v>5.4</v>
      </c>
      <c r="AA108" s="31">
        <v>104901</v>
      </c>
    </row>
    <row r="109" spans="1:27">
      <c r="A109" s="27">
        <v>10494</v>
      </c>
      <c r="B109" s="16" t="s">
        <v>29</v>
      </c>
      <c r="C109" s="25" t="s">
        <v>164</v>
      </c>
      <c r="D109" s="16" t="s">
        <v>31</v>
      </c>
      <c r="E109" s="16">
        <v>56</v>
      </c>
      <c r="F109" s="16">
        <v>40</v>
      </c>
      <c r="G109" s="16">
        <v>0</v>
      </c>
      <c r="H109" s="16">
        <v>60</v>
      </c>
      <c r="I109" s="16">
        <v>73</v>
      </c>
      <c r="J109" s="16">
        <v>0</v>
      </c>
      <c r="K109" s="26">
        <v>95</v>
      </c>
      <c r="L109" s="16">
        <v>40</v>
      </c>
      <c r="M109" s="16">
        <v>48</v>
      </c>
      <c r="N109" s="16">
        <v>36</v>
      </c>
      <c r="O109" s="16">
        <v>1</v>
      </c>
      <c r="P109" s="16">
        <v>6</v>
      </c>
      <c r="Q109" s="16">
        <v>4</v>
      </c>
      <c r="R109" s="16">
        <f t="shared" si="2"/>
        <v>78</v>
      </c>
      <c r="S109" s="16">
        <v>19</v>
      </c>
      <c r="T109" s="16">
        <v>19</v>
      </c>
      <c r="U109" s="16">
        <v>22</v>
      </c>
      <c r="V109" s="16">
        <v>18</v>
      </c>
      <c r="W109" s="31">
        <v>65</v>
      </c>
      <c r="X109" s="31">
        <v>55</v>
      </c>
      <c r="Y109" s="31">
        <v>2.4</v>
      </c>
      <c r="Z109" s="31">
        <v>4.5</v>
      </c>
      <c r="AA109" s="16">
        <v>104941</v>
      </c>
    </row>
    <row r="110" s="16" customFormat="1" spans="1:29">
      <c r="A110" s="27">
        <v>10498</v>
      </c>
      <c r="B110" s="16" t="s">
        <v>29</v>
      </c>
      <c r="C110" s="25" t="s">
        <v>165</v>
      </c>
      <c r="D110" s="16" t="s">
        <v>34</v>
      </c>
      <c r="E110" s="16">
        <v>60</v>
      </c>
      <c r="F110" s="16">
        <v>40</v>
      </c>
      <c r="G110" s="16">
        <v>0</v>
      </c>
      <c r="H110" s="16">
        <v>60</v>
      </c>
      <c r="I110" s="16">
        <v>99</v>
      </c>
      <c r="J110" s="16">
        <v>0</v>
      </c>
      <c r="K110" s="26">
        <v>96</v>
      </c>
      <c r="L110" s="16">
        <v>52</v>
      </c>
      <c r="M110" s="16">
        <v>77</v>
      </c>
      <c r="N110" s="16">
        <v>33</v>
      </c>
      <c r="O110" s="16">
        <v>1</v>
      </c>
      <c r="P110" s="16">
        <v>6</v>
      </c>
      <c r="Q110" s="16">
        <v>4</v>
      </c>
      <c r="R110" s="16">
        <f t="shared" si="2"/>
        <v>90</v>
      </c>
      <c r="S110" s="16">
        <v>18</v>
      </c>
      <c r="T110" s="16">
        <v>18</v>
      </c>
      <c r="U110" s="16">
        <v>36</v>
      </c>
      <c r="V110" s="16">
        <v>18</v>
      </c>
      <c r="W110" s="31">
        <v>60</v>
      </c>
      <c r="X110" s="31">
        <v>60</v>
      </c>
      <c r="Y110" s="31">
        <v>2.4</v>
      </c>
      <c r="Z110" s="31">
        <v>4.6</v>
      </c>
      <c r="AA110" s="16">
        <v>104981</v>
      </c>
      <c r="AC110" s="29" t="s">
        <v>81</v>
      </c>
    </row>
    <row r="111" spans="1:28">
      <c r="A111" s="27">
        <v>10499</v>
      </c>
      <c r="B111" s="16" t="s">
        <v>37</v>
      </c>
      <c r="C111" s="25" t="s">
        <v>166</v>
      </c>
      <c r="D111" s="27" t="s">
        <v>43</v>
      </c>
      <c r="E111" s="31">
        <v>80</v>
      </c>
      <c r="F111" s="31">
        <v>98</v>
      </c>
      <c r="G111" s="31">
        <v>0</v>
      </c>
      <c r="H111" s="31">
        <v>102</v>
      </c>
      <c r="I111" s="31">
        <v>75</v>
      </c>
      <c r="J111" s="31">
        <v>0</v>
      </c>
      <c r="K111" s="38">
        <v>96</v>
      </c>
      <c r="L111" s="31">
        <v>52</v>
      </c>
      <c r="M111" s="31">
        <v>45</v>
      </c>
      <c r="N111" s="31">
        <v>32</v>
      </c>
      <c r="O111" s="31">
        <v>3</v>
      </c>
      <c r="P111" s="31">
        <v>7</v>
      </c>
      <c r="Q111" s="31">
        <v>4</v>
      </c>
      <c r="R111" s="16">
        <f t="shared" si="2"/>
        <v>12</v>
      </c>
      <c r="S111" s="31">
        <v>3</v>
      </c>
      <c r="T111" s="31">
        <v>3</v>
      </c>
      <c r="U111" s="31">
        <v>3</v>
      </c>
      <c r="V111" s="31">
        <v>3</v>
      </c>
      <c r="W111" s="31">
        <v>90</v>
      </c>
      <c r="X111" s="31">
        <v>130</v>
      </c>
      <c r="Y111" s="31">
        <v>4.2</v>
      </c>
      <c r="Z111" s="31">
        <v>8</v>
      </c>
      <c r="AA111" s="31">
        <v>104991</v>
      </c>
      <c r="AB111" s="31"/>
    </row>
    <row r="112" s="16" customFormat="1" spans="1:29">
      <c r="A112" s="41">
        <v>10502</v>
      </c>
      <c r="B112" s="16" t="s">
        <v>105</v>
      </c>
      <c r="C112" s="41" t="s">
        <v>167</v>
      </c>
      <c r="D112" s="16" t="s">
        <v>89</v>
      </c>
      <c r="E112" s="16">
        <v>28</v>
      </c>
      <c r="F112" s="16">
        <v>40</v>
      </c>
      <c r="G112" s="16">
        <v>1</v>
      </c>
      <c r="H112" s="16">
        <v>25</v>
      </c>
      <c r="I112" s="16">
        <v>75</v>
      </c>
      <c r="J112" s="16">
        <v>0</v>
      </c>
      <c r="K112" s="26">
        <v>101</v>
      </c>
      <c r="L112" s="16">
        <v>82</v>
      </c>
      <c r="M112" s="16">
        <v>47</v>
      </c>
      <c r="N112" s="16">
        <v>36</v>
      </c>
      <c r="O112" s="16">
        <v>1</v>
      </c>
      <c r="P112" s="16">
        <v>19</v>
      </c>
      <c r="Q112" s="16">
        <v>3</v>
      </c>
      <c r="R112" s="39">
        <f t="shared" si="2"/>
        <v>24</v>
      </c>
      <c r="S112" s="16">
        <v>8</v>
      </c>
      <c r="T112" s="16">
        <v>8</v>
      </c>
      <c r="U112" s="16">
        <v>8</v>
      </c>
      <c r="V112" s="16">
        <v>0</v>
      </c>
      <c r="W112" s="16">
        <v>25</v>
      </c>
      <c r="X112" s="16">
        <v>60</v>
      </c>
      <c r="Y112" s="16">
        <v>0.5</v>
      </c>
      <c r="Z112" s="16">
        <v>1.3</v>
      </c>
      <c r="AA112" s="16">
        <v>105021</v>
      </c>
      <c r="AC112" s="29" t="s">
        <v>168</v>
      </c>
    </row>
    <row r="113" spans="1:27">
      <c r="A113" s="41">
        <v>10506</v>
      </c>
      <c r="B113" s="16" t="s">
        <v>37</v>
      </c>
      <c r="C113" s="41" t="s">
        <v>169</v>
      </c>
      <c r="D113" s="27" t="s">
        <v>34</v>
      </c>
      <c r="E113" s="16">
        <v>84</v>
      </c>
      <c r="F113" s="16">
        <v>124</v>
      </c>
      <c r="G113" s="16">
        <v>0</v>
      </c>
      <c r="H113" s="16">
        <v>105</v>
      </c>
      <c r="I113" s="16">
        <v>87</v>
      </c>
      <c r="J113" s="16">
        <v>0</v>
      </c>
      <c r="K113" s="26">
        <v>94</v>
      </c>
      <c r="L113" s="16">
        <v>45</v>
      </c>
      <c r="M113" s="16">
        <v>48</v>
      </c>
      <c r="N113" s="16">
        <v>27</v>
      </c>
      <c r="O113" s="16">
        <v>3</v>
      </c>
      <c r="P113" s="16">
        <v>5</v>
      </c>
      <c r="Q113" s="16">
        <v>4</v>
      </c>
      <c r="R113" s="39">
        <f t="shared" si="2"/>
        <v>12</v>
      </c>
      <c r="S113" s="16">
        <v>3</v>
      </c>
      <c r="T113" s="16">
        <v>3</v>
      </c>
      <c r="U113" s="16">
        <v>3</v>
      </c>
      <c r="V113" s="16">
        <v>3</v>
      </c>
      <c r="W113" s="16">
        <v>125</v>
      </c>
      <c r="X113" s="16">
        <v>185</v>
      </c>
      <c r="Y113" s="16">
        <v>4.8</v>
      </c>
      <c r="Z113" s="16">
        <v>9</v>
      </c>
      <c r="AA113" s="16">
        <v>105061</v>
      </c>
    </row>
    <row r="114" spans="1:27">
      <c r="A114" s="27">
        <v>10510</v>
      </c>
      <c r="B114" s="16" t="s">
        <v>44</v>
      </c>
      <c r="C114" s="25" t="s">
        <v>170</v>
      </c>
      <c r="D114" s="16" t="s">
        <v>31</v>
      </c>
      <c r="E114" s="16">
        <v>84</v>
      </c>
      <c r="F114" s="16">
        <v>45</v>
      </c>
      <c r="G114" s="16">
        <v>0</v>
      </c>
      <c r="H114" s="16">
        <v>90</v>
      </c>
      <c r="I114" s="16">
        <v>85</v>
      </c>
      <c r="J114" s="16">
        <v>0</v>
      </c>
      <c r="K114" s="26">
        <v>85</v>
      </c>
      <c r="L114" s="16">
        <v>54</v>
      </c>
      <c r="M114" s="16">
        <v>67</v>
      </c>
      <c r="N114" s="16">
        <v>33</v>
      </c>
      <c r="O114" s="16">
        <v>1</v>
      </c>
      <c r="P114" s="16">
        <v>5</v>
      </c>
      <c r="Q114" s="16">
        <v>4</v>
      </c>
      <c r="R114" s="16">
        <f t="shared" si="2"/>
        <v>84</v>
      </c>
      <c r="S114" s="16">
        <v>25</v>
      </c>
      <c r="T114" s="16">
        <v>23</v>
      </c>
      <c r="U114" s="16">
        <v>18</v>
      </c>
      <c r="V114" s="16">
        <v>18</v>
      </c>
      <c r="W114" s="31">
        <v>100</v>
      </c>
      <c r="X114" s="31">
        <v>110</v>
      </c>
      <c r="Y114" s="31">
        <v>3.4</v>
      </c>
      <c r="Z114" s="31">
        <v>5.9</v>
      </c>
      <c r="AA114" s="16">
        <v>105101</v>
      </c>
    </row>
    <row r="115" s="16" customFormat="1" spans="1:29">
      <c r="A115" s="27">
        <v>10513</v>
      </c>
      <c r="B115" s="16" t="s">
        <v>29</v>
      </c>
      <c r="C115" s="25" t="s">
        <v>171</v>
      </c>
      <c r="D115" s="27" t="s">
        <v>34</v>
      </c>
      <c r="E115" s="31">
        <v>60</v>
      </c>
      <c r="F115" s="31">
        <v>40</v>
      </c>
      <c r="G115" s="31">
        <v>0</v>
      </c>
      <c r="H115" s="31">
        <v>60</v>
      </c>
      <c r="I115" s="31">
        <v>97</v>
      </c>
      <c r="J115" s="31">
        <v>0</v>
      </c>
      <c r="K115" s="38">
        <v>96</v>
      </c>
      <c r="L115" s="31">
        <v>51</v>
      </c>
      <c r="M115" s="31">
        <v>77</v>
      </c>
      <c r="N115" s="31">
        <v>33</v>
      </c>
      <c r="O115" s="31">
        <v>1</v>
      </c>
      <c r="P115" s="31">
        <v>20</v>
      </c>
      <c r="Q115" s="31">
        <v>4</v>
      </c>
      <c r="R115" s="16">
        <f t="shared" si="2"/>
        <v>90</v>
      </c>
      <c r="S115" s="31">
        <v>21</v>
      </c>
      <c r="T115" s="31">
        <v>21</v>
      </c>
      <c r="U115" s="31">
        <v>29</v>
      </c>
      <c r="V115" s="31">
        <v>19</v>
      </c>
      <c r="W115" s="31">
        <v>60</v>
      </c>
      <c r="X115" s="31">
        <v>60</v>
      </c>
      <c r="Y115" s="47">
        <v>2.4</v>
      </c>
      <c r="Z115" s="47">
        <v>4.5</v>
      </c>
      <c r="AA115" s="31">
        <v>105131</v>
      </c>
      <c r="AB115" s="31"/>
      <c r="AC115" s="29" t="s">
        <v>81</v>
      </c>
    </row>
    <row r="116" spans="1:27">
      <c r="A116" s="41">
        <v>10514</v>
      </c>
      <c r="B116" s="16" t="s">
        <v>37</v>
      </c>
      <c r="C116" s="41" t="s">
        <v>172</v>
      </c>
      <c r="D116" s="27" t="s">
        <v>31</v>
      </c>
      <c r="E116" s="16">
        <v>80</v>
      </c>
      <c r="F116" s="16">
        <v>127</v>
      </c>
      <c r="G116" s="16">
        <v>0</v>
      </c>
      <c r="H116" s="16">
        <v>96</v>
      </c>
      <c r="I116" s="16">
        <v>51</v>
      </c>
      <c r="J116" s="16">
        <v>0</v>
      </c>
      <c r="K116" s="26">
        <v>96</v>
      </c>
      <c r="L116" s="16">
        <v>59</v>
      </c>
      <c r="M116" s="16">
        <v>42</v>
      </c>
      <c r="N116" s="16">
        <v>30</v>
      </c>
      <c r="O116" s="16">
        <v>3</v>
      </c>
      <c r="P116" s="16">
        <v>5</v>
      </c>
      <c r="Q116" s="16">
        <v>4</v>
      </c>
      <c r="R116" s="39">
        <f t="shared" si="2"/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100</v>
      </c>
      <c r="X116" s="16">
        <v>185</v>
      </c>
      <c r="Y116" s="16">
        <v>3.3</v>
      </c>
      <c r="Z116" s="16">
        <v>6</v>
      </c>
      <c r="AA116" s="16">
        <v>105141</v>
      </c>
    </row>
    <row r="117" s="16" customFormat="1" spans="1:29">
      <c r="A117" s="41">
        <v>10520</v>
      </c>
      <c r="B117" s="16" t="s">
        <v>37</v>
      </c>
      <c r="C117" s="41" t="s">
        <v>173</v>
      </c>
      <c r="D117" s="16" t="s">
        <v>34</v>
      </c>
      <c r="E117" s="16">
        <v>104</v>
      </c>
      <c r="F117" s="16">
        <v>131</v>
      </c>
      <c r="G117" s="16">
        <v>0</v>
      </c>
      <c r="H117" s="16">
        <v>121</v>
      </c>
      <c r="I117" s="16">
        <v>109</v>
      </c>
      <c r="J117" s="16">
        <v>0</v>
      </c>
      <c r="K117" s="26">
        <v>103</v>
      </c>
      <c r="L117" s="16">
        <v>43</v>
      </c>
      <c r="M117" s="16">
        <v>48</v>
      </c>
      <c r="N117" s="16">
        <v>28</v>
      </c>
      <c r="O117" s="16">
        <v>3</v>
      </c>
      <c r="P117" s="16">
        <v>5</v>
      </c>
      <c r="Q117" s="16">
        <v>4</v>
      </c>
      <c r="R117" s="39">
        <f t="shared" si="2"/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165</v>
      </c>
      <c r="X117" s="16">
        <v>200</v>
      </c>
      <c r="Y117" s="16">
        <v>4.9</v>
      </c>
      <c r="Z117" s="16">
        <v>9.1</v>
      </c>
      <c r="AA117" s="16">
        <v>105201</v>
      </c>
      <c r="AC117" s="29" t="s">
        <v>174</v>
      </c>
    </row>
    <row r="118" spans="1:27">
      <c r="A118" s="27">
        <v>10521</v>
      </c>
      <c r="B118" s="16" t="s">
        <v>51</v>
      </c>
      <c r="C118" s="41" t="s">
        <v>175</v>
      </c>
      <c r="D118" s="16" t="s">
        <v>89</v>
      </c>
      <c r="E118" s="16">
        <v>60</v>
      </c>
      <c r="F118" s="16">
        <v>89</v>
      </c>
      <c r="G118" s="16">
        <v>0</v>
      </c>
      <c r="H118" s="16">
        <v>69</v>
      </c>
      <c r="I118" s="16">
        <v>46</v>
      </c>
      <c r="J118" s="16">
        <v>0</v>
      </c>
      <c r="K118" s="26">
        <v>94</v>
      </c>
      <c r="L118" s="16">
        <v>65</v>
      </c>
      <c r="M118" s="16">
        <v>40</v>
      </c>
      <c r="N118" s="16">
        <v>29</v>
      </c>
      <c r="O118" s="16">
        <v>3</v>
      </c>
      <c r="P118" s="16">
        <v>5</v>
      </c>
      <c r="Q118" s="16">
        <v>4</v>
      </c>
      <c r="R118" s="39">
        <f t="shared" si="2"/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60</v>
      </c>
      <c r="X118" s="16">
        <v>115</v>
      </c>
      <c r="Y118" s="16">
        <v>2.8</v>
      </c>
      <c r="Z118" s="16">
        <v>5.1</v>
      </c>
      <c r="AA118" s="16">
        <v>105211</v>
      </c>
    </row>
    <row r="119" spans="1:27">
      <c r="A119" s="27">
        <v>10522</v>
      </c>
      <c r="B119" s="16" t="s">
        <v>131</v>
      </c>
      <c r="C119" s="16" t="s">
        <v>176</v>
      </c>
      <c r="D119" s="16" t="s">
        <v>34</v>
      </c>
      <c r="E119" s="16">
        <v>36</v>
      </c>
      <c r="F119" s="16">
        <v>61</v>
      </c>
      <c r="G119" s="16">
        <v>0</v>
      </c>
      <c r="H119" s="16">
        <v>56</v>
      </c>
      <c r="I119" s="16">
        <v>109</v>
      </c>
      <c r="J119" s="16">
        <v>79</v>
      </c>
      <c r="K119" s="26">
        <v>91</v>
      </c>
      <c r="L119" s="16">
        <v>64</v>
      </c>
      <c r="M119" s="16">
        <v>58</v>
      </c>
      <c r="N119" s="16">
        <v>32.5</v>
      </c>
      <c r="O119" s="16">
        <v>2</v>
      </c>
      <c r="P119" s="16">
        <v>10</v>
      </c>
      <c r="Q119" s="16">
        <v>3</v>
      </c>
      <c r="R119" s="39">
        <f t="shared" si="2"/>
        <v>9</v>
      </c>
      <c r="S119" s="16">
        <v>3</v>
      </c>
      <c r="T119" s="16">
        <v>3</v>
      </c>
      <c r="U119" s="16">
        <v>3</v>
      </c>
      <c r="V119" s="16">
        <v>0</v>
      </c>
      <c r="W119" s="16">
        <v>25</v>
      </c>
      <c r="X119" s="16">
        <v>30</v>
      </c>
      <c r="Y119" s="16">
        <v>0.8</v>
      </c>
      <c r="Z119" s="16">
        <v>1.5</v>
      </c>
      <c r="AA119" s="16">
        <v>105221</v>
      </c>
    </row>
    <row r="120" s="16" customFormat="1" spans="1:29">
      <c r="A120" s="27">
        <v>10523</v>
      </c>
      <c r="B120" s="16" t="s">
        <v>37</v>
      </c>
      <c r="C120" s="16" t="s">
        <v>177</v>
      </c>
      <c r="D120" s="16" t="s">
        <v>34</v>
      </c>
      <c r="E120" s="16">
        <v>75</v>
      </c>
      <c r="F120" s="16">
        <v>108</v>
      </c>
      <c r="G120" s="16">
        <v>0</v>
      </c>
      <c r="H120" s="16">
        <v>100</v>
      </c>
      <c r="I120" s="16">
        <v>97</v>
      </c>
      <c r="J120" s="16">
        <v>0</v>
      </c>
      <c r="K120" s="26">
        <v>94</v>
      </c>
      <c r="L120" s="16">
        <v>46</v>
      </c>
      <c r="M120" s="16">
        <v>44</v>
      </c>
      <c r="N120" s="16">
        <v>27.5</v>
      </c>
      <c r="O120" s="16">
        <v>3</v>
      </c>
      <c r="P120" s="16">
        <v>16</v>
      </c>
      <c r="Q120" s="16">
        <v>4</v>
      </c>
      <c r="R120" s="39">
        <f t="shared" si="2"/>
        <v>12</v>
      </c>
      <c r="S120" s="16">
        <v>3</v>
      </c>
      <c r="T120" s="16">
        <v>3</v>
      </c>
      <c r="U120" s="16">
        <v>3</v>
      </c>
      <c r="V120" s="16">
        <v>3</v>
      </c>
      <c r="W120" s="16">
        <v>95</v>
      </c>
      <c r="X120" s="16">
        <v>140</v>
      </c>
      <c r="Y120" s="16">
        <v>4.2</v>
      </c>
      <c r="Z120" s="16">
        <v>8</v>
      </c>
      <c r="AA120" s="16">
        <v>105231</v>
      </c>
      <c r="AC120" s="29" t="s">
        <v>63</v>
      </c>
    </row>
    <row r="121" spans="1:27">
      <c r="A121" s="41">
        <v>10524</v>
      </c>
      <c r="B121" s="16" t="s">
        <v>51</v>
      </c>
      <c r="C121" s="41" t="s">
        <v>178</v>
      </c>
      <c r="D121" s="27" t="s">
        <v>34</v>
      </c>
      <c r="E121" s="16">
        <v>58</v>
      </c>
      <c r="F121" s="16">
        <v>85</v>
      </c>
      <c r="G121" s="16">
        <v>0</v>
      </c>
      <c r="H121" s="16">
        <v>69</v>
      </c>
      <c r="I121" s="16">
        <v>109</v>
      </c>
      <c r="J121" s="16">
        <v>0</v>
      </c>
      <c r="K121" s="26">
        <v>96</v>
      </c>
      <c r="L121" s="16">
        <v>64</v>
      </c>
      <c r="M121" s="16">
        <v>47</v>
      </c>
      <c r="N121" s="16">
        <v>33</v>
      </c>
      <c r="O121" s="16">
        <v>3</v>
      </c>
      <c r="P121" s="16">
        <v>6</v>
      </c>
      <c r="Q121" s="16">
        <v>4</v>
      </c>
      <c r="R121" s="39">
        <f t="shared" si="2"/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80</v>
      </c>
      <c r="X121" s="16">
        <v>120</v>
      </c>
      <c r="Y121" s="16">
        <v>2.88</v>
      </c>
      <c r="Z121" s="16">
        <v>5.4</v>
      </c>
      <c r="AA121" s="16">
        <v>105241</v>
      </c>
    </row>
    <row r="122" spans="1:27">
      <c r="A122" s="41">
        <v>10532</v>
      </c>
      <c r="B122" s="16" t="s">
        <v>37</v>
      </c>
      <c r="C122" s="41" t="s">
        <v>179</v>
      </c>
      <c r="D122" s="16" t="s">
        <v>68</v>
      </c>
      <c r="E122" s="16">
        <v>52</v>
      </c>
      <c r="F122" s="16">
        <v>78</v>
      </c>
      <c r="G122" s="16">
        <v>0</v>
      </c>
      <c r="H122" s="16">
        <v>79</v>
      </c>
      <c r="I122" s="16">
        <v>48</v>
      </c>
      <c r="J122" s="16">
        <v>0</v>
      </c>
      <c r="K122" s="26">
        <v>94</v>
      </c>
      <c r="L122" s="16">
        <v>44</v>
      </c>
      <c r="M122" s="16">
        <v>37</v>
      </c>
      <c r="N122" s="16">
        <v>22</v>
      </c>
      <c r="O122" s="16">
        <v>3</v>
      </c>
      <c r="P122" s="16">
        <v>16</v>
      </c>
      <c r="Q122" s="16">
        <v>4</v>
      </c>
      <c r="R122" s="39">
        <f t="shared" si="2"/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70</v>
      </c>
      <c r="X122" s="16">
        <v>105</v>
      </c>
      <c r="Y122" s="16">
        <v>2.25</v>
      </c>
      <c r="Z122" s="16">
        <v>4.55</v>
      </c>
      <c r="AA122" s="16">
        <v>105321</v>
      </c>
    </row>
    <row r="123" spans="1:27">
      <c r="A123" s="27">
        <v>10533</v>
      </c>
      <c r="B123" s="16" t="s">
        <v>180</v>
      </c>
      <c r="C123" s="41" t="s">
        <v>181</v>
      </c>
      <c r="D123" s="16" t="s">
        <v>72</v>
      </c>
      <c r="E123" s="16">
        <v>40</v>
      </c>
      <c r="F123" s="16">
        <v>62</v>
      </c>
      <c r="G123" s="16">
        <v>0</v>
      </c>
      <c r="H123" s="16">
        <v>40</v>
      </c>
      <c r="I123" s="16">
        <v>100</v>
      </c>
      <c r="J123" s="16">
        <v>0</v>
      </c>
      <c r="K123" s="26">
        <v>95</v>
      </c>
      <c r="L123" s="16">
        <v>74</v>
      </c>
      <c r="M123" s="16">
        <v>62</v>
      </c>
      <c r="N123" s="16">
        <v>34.5</v>
      </c>
      <c r="O123" s="16">
        <v>2</v>
      </c>
      <c r="P123" s="16">
        <v>19</v>
      </c>
      <c r="Q123" s="16">
        <v>3</v>
      </c>
      <c r="R123" s="39">
        <f t="shared" si="2"/>
        <v>30</v>
      </c>
      <c r="S123" s="16">
        <v>10</v>
      </c>
      <c r="T123" s="16">
        <v>10</v>
      </c>
      <c r="U123" s="16">
        <v>10</v>
      </c>
      <c r="V123" s="16">
        <v>0</v>
      </c>
      <c r="W123" s="16">
        <v>40</v>
      </c>
      <c r="X123" s="16">
        <v>120</v>
      </c>
      <c r="Y123" s="16">
        <v>1.28</v>
      </c>
      <c r="Z123" s="16">
        <v>2.1</v>
      </c>
      <c r="AA123" s="16">
        <v>105331</v>
      </c>
    </row>
    <row r="124" spans="1:27">
      <c r="A124" s="27">
        <v>10534</v>
      </c>
      <c r="B124" s="16" t="s">
        <v>37</v>
      </c>
      <c r="C124" s="16" t="s">
        <v>182</v>
      </c>
      <c r="D124" s="16" t="s">
        <v>72</v>
      </c>
      <c r="E124" s="16">
        <v>112</v>
      </c>
      <c r="F124" s="16">
        <v>114</v>
      </c>
      <c r="G124" s="16">
        <v>0</v>
      </c>
      <c r="H124" s="16">
        <v>122</v>
      </c>
      <c r="I124" s="16">
        <v>111</v>
      </c>
      <c r="J124" s="16">
        <v>0</v>
      </c>
      <c r="K124" s="26">
        <v>100</v>
      </c>
      <c r="L124" s="16">
        <v>51</v>
      </c>
      <c r="M124" s="16">
        <v>48</v>
      </c>
      <c r="N124" s="16">
        <v>30</v>
      </c>
      <c r="O124" s="16">
        <v>3</v>
      </c>
      <c r="P124" s="16">
        <v>5</v>
      </c>
      <c r="Q124" s="16">
        <v>4</v>
      </c>
      <c r="R124" s="39">
        <f t="shared" si="2"/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170</v>
      </c>
      <c r="X124" s="16">
        <v>190</v>
      </c>
      <c r="Y124" s="16">
        <v>5</v>
      </c>
      <c r="Z124" s="16">
        <v>9.2</v>
      </c>
      <c r="AA124" s="16">
        <v>105341</v>
      </c>
    </row>
    <row r="125" spans="1:27">
      <c r="A125" s="27">
        <v>10540</v>
      </c>
      <c r="B125" s="16" t="s">
        <v>51</v>
      </c>
      <c r="C125" s="16" t="s">
        <v>183</v>
      </c>
      <c r="D125" s="16" t="s">
        <v>72</v>
      </c>
      <c r="E125" s="16">
        <v>72</v>
      </c>
      <c r="F125" s="16">
        <v>107</v>
      </c>
      <c r="G125" s="16">
        <v>0</v>
      </c>
      <c r="H125" s="16">
        <v>83</v>
      </c>
      <c r="I125" s="16">
        <v>50</v>
      </c>
      <c r="J125" s="16">
        <v>0</v>
      </c>
      <c r="K125" s="26">
        <v>94</v>
      </c>
      <c r="L125" s="16">
        <v>64</v>
      </c>
      <c r="M125" s="16">
        <v>40</v>
      </c>
      <c r="N125" s="16">
        <v>28.5</v>
      </c>
      <c r="O125" s="16">
        <v>3</v>
      </c>
      <c r="P125" s="16">
        <v>8</v>
      </c>
      <c r="Q125" s="16">
        <v>4</v>
      </c>
      <c r="R125" s="39">
        <f t="shared" si="2"/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75</v>
      </c>
      <c r="X125" s="16">
        <v>115</v>
      </c>
      <c r="Y125" s="16">
        <v>2.6</v>
      </c>
      <c r="Z125" s="16">
        <v>4.8</v>
      </c>
      <c r="AA125" s="16">
        <v>105401</v>
      </c>
    </row>
    <row r="126" spans="1:27">
      <c r="A126" s="27">
        <v>10547</v>
      </c>
      <c r="B126" s="16" t="s">
        <v>37</v>
      </c>
      <c r="C126" s="16" t="s">
        <v>184</v>
      </c>
      <c r="D126" s="16" t="s">
        <v>43</v>
      </c>
      <c r="E126" s="16">
        <v>84</v>
      </c>
      <c r="F126" s="16">
        <v>115</v>
      </c>
      <c r="G126" s="16">
        <v>0</v>
      </c>
      <c r="H126" s="16">
        <v>104</v>
      </c>
      <c r="I126" s="16">
        <v>80</v>
      </c>
      <c r="J126" s="16">
        <v>0</v>
      </c>
      <c r="K126" s="26">
        <v>96</v>
      </c>
      <c r="L126" s="16">
        <v>51</v>
      </c>
      <c r="M126" s="16">
        <v>40</v>
      </c>
      <c r="N126" s="16">
        <v>31</v>
      </c>
      <c r="O126" s="16">
        <v>3</v>
      </c>
      <c r="P126" s="16">
        <v>5</v>
      </c>
      <c r="Q126" s="16">
        <v>4</v>
      </c>
      <c r="R126" s="39">
        <f t="shared" si="2"/>
        <v>9</v>
      </c>
      <c r="S126" s="16">
        <v>3</v>
      </c>
      <c r="T126" s="16">
        <v>3</v>
      </c>
      <c r="U126" s="16">
        <v>3</v>
      </c>
      <c r="V126" s="16">
        <v>0</v>
      </c>
      <c r="W126" s="16">
        <v>95</v>
      </c>
      <c r="X126" s="16">
        <v>140</v>
      </c>
      <c r="Y126" s="16">
        <v>4.2</v>
      </c>
      <c r="Z126" s="16">
        <v>8.2</v>
      </c>
      <c r="AA126" s="16">
        <v>105471</v>
      </c>
    </row>
    <row r="127" spans="1:27">
      <c r="A127" s="27">
        <v>10552</v>
      </c>
      <c r="B127" s="16" t="s">
        <v>92</v>
      </c>
      <c r="C127" s="16" t="s">
        <v>185</v>
      </c>
      <c r="D127" s="16" t="s">
        <v>43</v>
      </c>
      <c r="E127" s="16">
        <v>32</v>
      </c>
      <c r="F127" s="16">
        <v>35</v>
      </c>
      <c r="G127" s="16">
        <v>0</v>
      </c>
      <c r="H127" s="16">
        <v>35</v>
      </c>
      <c r="I127" s="16">
        <v>92</v>
      </c>
      <c r="J127" s="16">
        <v>84</v>
      </c>
      <c r="K127" s="26">
        <v>99</v>
      </c>
      <c r="L127" s="16">
        <v>80</v>
      </c>
      <c r="M127" s="16">
        <v>41</v>
      </c>
      <c r="N127" s="16">
        <v>34</v>
      </c>
      <c r="O127" s="16">
        <v>1</v>
      </c>
      <c r="P127" s="16">
        <v>15</v>
      </c>
      <c r="Q127" s="16">
        <v>3</v>
      </c>
      <c r="R127" s="39">
        <f t="shared" si="2"/>
        <v>48</v>
      </c>
      <c r="S127" s="16">
        <v>16</v>
      </c>
      <c r="T127" s="16">
        <v>16</v>
      </c>
      <c r="U127" s="16">
        <v>16</v>
      </c>
      <c r="V127" s="16">
        <v>0</v>
      </c>
      <c r="W127" s="16">
        <v>25</v>
      </c>
      <c r="X127" s="16">
        <v>45</v>
      </c>
      <c r="Y127" s="16">
        <v>0.7</v>
      </c>
      <c r="Z127" s="16">
        <v>1.1</v>
      </c>
      <c r="AA127" s="16">
        <v>105521</v>
      </c>
    </row>
    <row r="128" spans="1:27">
      <c r="A128" s="27">
        <v>10559</v>
      </c>
      <c r="B128" s="16" t="s">
        <v>92</v>
      </c>
      <c r="C128" s="16" t="s">
        <v>186</v>
      </c>
      <c r="D128" s="16" t="s">
        <v>68</v>
      </c>
      <c r="E128" s="16">
        <v>24</v>
      </c>
      <c r="F128" s="16">
        <v>42</v>
      </c>
      <c r="G128" s="16">
        <v>0</v>
      </c>
      <c r="H128" s="16">
        <v>35</v>
      </c>
      <c r="I128" s="16">
        <v>85</v>
      </c>
      <c r="J128" s="16">
        <v>91</v>
      </c>
      <c r="K128" s="26">
        <v>99</v>
      </c>
      <c r="L128" s="16">
        <v>73</v>
      </c>
      <c r="M128" s="16">
        <v>40</v>
      </c>
      <c r="N128" s="16">
        <v>34</v>
      </c>
      <c r="O128" s="16">
        <v>1</v>
      </c>
      <c r="P128" s="16">
        <v>15</v>
      </c>
      <c r="Q128" s="16">
        <v>3</v>
      </c>
      <c r="R128" s="39">
        <f t="shared" si="2"/>
        <v>60</v>
      </c>
      <c r="S128" s="16">
        <v>20</v>
      </c>
      <c r="T128" s="16">
        <v>20</v>
      </c>
      <c r="U128" s="16">
        <v>20</v>
      </c>
      <c r="V128" s="16">
        <v>0</v>
      </c>
      <c r="W128" s="16">
        <v>15</v>
      </c>
      <c r="X128" s="16">
        <v>35</v>
      </c>
      <c r="Y128" s="16">
        <v>0.9</v>
      </c>
      <c r="Z128" s="16">
        <v>1.8</v>
      </c>
      <c r="AA128" s="16">
        <v>105591</v>
      </c>
    </row>
    <row r="129" spans="1:27">
      <c r="A129" s="27">
        <v>10565</v>
      </c>
      <c r="B129" s="16" t="s">
        <v>51</v>
      </c>
      <c r="C129" s="16" t="s">
        <v>187</v>
      </c>
      <c r="D129" s="16" t="s">
        <v>72</v>
      </c>
      <c r="E129" s="16">
        <v>68</v>
      </c>
      <c r="F129" s="16">
        <v>84</v>
      </c>
      <c r="G129" s="16">
        <v>0</v>
      </c>
      <c r="H129" s="16">
        <v>76</v>
      </c>
      <c r="I129" s="16">
        <v>64</v>
      </c>
      <c r="J129" s="16">
        <v>0</v>
      </c>
      <c r="K129" s="26">
        <v>96</v>
      </c>
      <c r="L129" s="16">
        <v>65</v>
      </c>
      <c r="M129" s="16">
        <v>40</v>
      </c>
      <c r="N129" s="16">
        <v>33</v>
      </c>
      <c r="O129" s="16">
        <v>3</v>
      </c>
      <c r="P129" s="16">
        <v>6</v>
      </c>
      <c r="Q129" s="16">
        <v>4</v>
      </c>
      <c r="R129" s="39">
        <f t="shared" si="2"/>
        <v>8</v>
      </c>
      <c r="S129" s="16">
        <v>2</v>
      </c>
      <c r="T129" s="16">
        <v>2</v>
      </c>
      <c r="U129" s="16">
        <v>2</v>
      </c>
      <c r="V129" s="16">
        <v>2</v>
      </c>
      <c r="W129" s="16">
        <v>60</v>
      </c>
      <c r="X129" s="16">
        <v>110</v>
      </c>
      <c r="Y129" s="16">
        <v>2.8</v>
      </c>
      <c r="Z129" s="16">
        <v>5.8</v>
      </c>
      <c r="AA129" s="16">
        <v>105651</v>
      </c>
    </row>
    <row r="130" spans="1:27">
      <c r="A130" s="27">
        <v>10569</v>
      </c>
      <c r="B130" s="16" t="s">
        <v>37</v>
      </c>
      <c r="C130" s="16" t="s">
        <v>188</v>
      </c>
      <c r="D130" s="16" t="s">
        <v>72</v>
      </c>
      <c r="E130" s="16">
        <v>72</v>
      </c>
      <c r="F130" s="16">
        <v>122</v>
      </c>
      <c r="G130" s="16">
        <v>0</v>
      </c>
      <c r="H130" s="16">
        <v>90</v>
      </c>
      <c r="I130" s="16">
        <v>40</v>
      </c>
      <c r="J130" s="16">
        <v>0</v>
      </c>
      <c r="K130" s="26">
        <v>96</v>
      </c>
      <c r="L130" s="16">
        <v>47</v>
      </c>
      <c r="M130" s="16">
        <v>40</v>
      </c>
      <c r="N130" s="16">
        <v>25</v>
      </c>
      <c r="O130" s="16">
        <v>3</v>
      </c>
      <c r="P130" s="16">
        <v>5</v>
      </c>
      <c r="Q130" s="16">
        <v>4</v>
      </c>
      <c r="R130" s="39">
        <f t="shared" si="2"/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100</v>
      </c>
      <c r="X130" s="16">
        <v>180</v>
      </c>
      <c r="Y130" s="16">
        <v>3.2</v>
      </c>
      <c r="Z130" s="16">
        <v>6</v>
      </c>
      <c r="AA130" s="16">
        <v>105691</v>
      </c>
    </row>
    <row r="131" spans="1:27">
      <c r="A131" s="27">
        <v>10572</v>
      </c>
      <c r="B131" s="16" t="s">
        <v>37</v>
      </c>
      <c r="C131" s="16" t="s">
        <v>189</v>
      </c>
      <c r="D131" s="16" t="s">
        <v>31</v>
      </c>
      <c r="E131" s="16">
        <v>80</v>
      </c>
      <c r="F131" s="16">
        <v>128</v>
      </c>
      <c r="G131" s="16">
        <v>0</v>
      </c>
      <c r="H131" s="16">
        <v>96</v>
      </c>
      <c r="I131" s="16">
        <v>50</v>
      </c>
      <c r="J131" s="16">
        <v>0</v>
      </c>
      <c r="K131" s="26">
        <v>96</v>
      </c>
      <c r="L131" s="16">
        <v>59</v>
      </c>
      <c r="M131" s="16">
        <v>42</v>
      </c>
      <c r="N131" s="16">
        <v>30</v>
      </c>
      <c r="O131" s="16">
        <v>3</v>
      </c>
      <c r="P131" s="16">
        <v>5</v>
      </c>
      <c r="Q131" s="16">
        <v>4</v>
      </c>
      <c r="R131" s="39">
        <f t="shared" si="2"/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100</v>
      </c>
      <c r="X131" s="16">
        <v>185</v>
      </c>
      <c r="Y131" s="16">
        <v>3.3</v>
      </c>
      <c r="Z131" s="16">
        <v>6</v>
      </c>
      <c r="AA131" s="16">
        <v>105721</v>
      </c>
    </row>
    <row r="132" s="16" customFormat="1" spans="1:29">
      <c r="A132" s="27">
        <v>10576</v>
      </c>
      <c r="B132" s="16" t="s">
        <v>44</v>
      </c>
      <c r="C132" s="16" t="s">
        <v>190</v>
      </c>
      <c r="D132" s="16" t="s">
        <v>34</v>
      </c>
      <c r="E132" s="16">
        <v>92</v>
      </c>
      <c r="F132" s="16">
        <v>45</v>
      </c>
      <c r="G132" s="16">
        <v>0</v>
      </c>
      <c r="H132" s="16">
        <v>83</v>
      </c>
      <c r="I132" s="16">
        <v>106</v>
      </c>
      <c r="J132" s="16">
        <v>0</v>
      </c>
      <c r="K132" s="26">
        <v>90</v>
      </c>
      <c r="L132" s="16">
        <v>50</v>
      </c>
      <c r="M132" s="16">
        <v>85</v>
      </c>
      <c r="N132" s="16">
        <v>30</v>
      </c>
      <c r="O132" s="16">
        <v>1</v>
      </c>
      <c r="P132" s="16">
        <v>20</v>
      </c>
      <c r="Q132" s="16">
        <v>4</v>
      </c>
      <c r="R132" s="39">
        <f t="shared" si="2"/>
        <v>100</v>
      </c>
      <c r="S132" s="16">
        <v>25</v>
      </c>
      <c r="T132" s="16">
        <v>25</v>
      </c>
      <c r="U132" s="16">
        <v>25</v>
      </c>
      <c r="V132" s="16">
        <v>25</v>
      </c>
      <c r="W132" s="16">
        <v>100</v>
      </c>
      <c r="X132" s="16">
        <v>150</v>
      </c>
      <c r="Y132" s="16">
        <v>2.7</v>
      </c>
      <c r="Z132" s="16">
        <v>4.9</v>
      </c>
      <c r="AA132" s="16">
        <v>105761</v>
      </c>
      <c r="AC132" s="29" t="s">
        <v>191</v>
      </c>
    </row>
    <row r="133" spans="1:27">
      <c r="A133" s="27">
        <v>10581</v>
      </c>
      <c r="B133" s="16" t="s">
        <v>180</v>
      </c>
      <c r="C133" s="16" t="s">
        <v>192</v>
      </c>
      <c r="D133" s="16" t="s">
        <v>72</v>
      </c>
      <c r="E133" s="16">
        <v>48</v>
      </c>
      <c r="F133" s="16">
        <v>57</v>
      </c>
      <c r="G133" s="16">
        <v>0</v>
      </c>
      <c r="H133" s="16">
        <v>43</v>
      </c>
      <c r="I133" s="16">
        <v>108</v>
      </c>
      <c r="J133" s="16">
        <v>0</v>
      </c>
      <c r="K133" s="26">
        <v>95</v>
      </c>
      <c r="L133" s="16">
        <v>74</v>
      </c>
      <c r="M133" s="16">
        <v>67</v>
      </c>
      <c r="N133" s="16">
        <v>34.5</v>
      </c>
      <c r="O133" s="16">
        <v>2</v>
      </c>
      <c r="P133" s="16">
        <v>19</v>
      </c>
      <c r="Q133" s="16">
        <v>3</v>
      </c>
      <c r="R133" s="39">
        <f t="shared" si="2"/>
        <v>24</v>
      </c>
      <c r="S133" s="16">
        <v>8</v>
      </c>
      <c r="T133" s="16">
        <v>8</v>
      </c>
      <c r="U133" s="16">
        <v>8</v>
      </c>
      <c r="V133" s="16">
        <v>0</v>
      </c>
      <c r="W133" s="16">
        <v>45</v>
      </c>
      <c r="X133" s="16">
        <v>120</v>
      </c>
      <c r="Y133" s="16">
        <v>1.3</v>
      </c>
      <c r="Z133" s="16">
        <v>2.2</v>
      </c>
      <c r="AA133" s="16">
        <v>105811</v>
      </c>
    </row>
    <row r="134" spans="1:27">
      <c r="A134" s="27">
        <v>10582</v>
      </c>
      <c r="B134" s="16" t="s">
        <v>37</v>
      </c>
      <c r="C134" s="16" t="s">
        <v>193</v>
      </c>
      <c r="D134" s="16" t="s">
        <v>47</v>
      </c>
      <c r="E134" s="16">
        <v>136</v>
      </c>
      <c r="F134" s="16">
        <v>125</v>
      </c>
      <c r="G134" s="16">
        <v>0</v>
      </c>
      <c r="H134" s="16">
        <v>115</v>
      </c>
      <c r="I134" s="16">
        <v>75</v>
      </c>
      <c r="J134" s="16">
        <v>0</v>
      </c>
      <c r="K134" s="26">
        <v>97</v>
      </c>
      <c r="L134" s="16">
        <v>43</v>
      </c>
      <c r="M134" s="16">
        <v>44</v>
      </c>
      <c r="N134" s="16">
        <v>30.9</v>
      </c>
      <c r="O134" s="16">
        <v>3</v>
      </c>
      <c r="P134" s="16">
        <v>5</v>
      </c>
      <c r="Q134" s="16">
        <v>4</v>
      </c>
      <c r="R134" s="39">
        <f t="shared" si="2"/>
        <v>16</v>
      </c>
      <c r="S134" s="16">
        <v>4</v>
      </c>
      <c r="T134" s="16">
        <v>4</v>
      </c>
      <c r="U134" s="16">
        <v>4</v>
      </c>
      <c r="V134" s="16">
        <v>4</v>
      </c>
      <c r="W134" s="16">
        <v>195</v>
      </c>
      <c r="X134" s="16">
        <v>230</v>
      </c>
      <c r="Y134" s="16">
        <v>6</v>
      </c>
      <c r="Z134" s="16">
        <v>11</v>
      </c>
      <c r="AA134" s="16">
        <v>105821</v>
      </c>
    </row>
    <row r="135" spans="1:27">
      <c r="A135" s="27">
        <v>10586</v>
      </c>
      <c r="B135" s="16" t="s">
        <v>194</v>
      </c>
      <c r="C135" s="16" t="s">
        <v>195</v>
      </c>
      <c r="D135" s="16" t="s">
        <v>47</v>
      </c>
      <c r="E135" s="16">
        <v>120</v>
      </c>
      <c r="F135" s="16">
        <v>78</v>
      </c>
      <c r="G135" s="16">
        <v>45</v>
      </c>
      <c r="H135" s="16">
        <v>82</v>
      </c>
      <c r="I135" s="16">
        <v>66</v>
      </c>
      <c r="J135" s="16">
        <v>0</v>
      </c>
      <c r="K135" s="26">
        <v>100</v>
      </c>
      <c r="L135" s="16">
        <v>50</v>
      </c>
      <c r="M135" s="16">
        <v>65</v>
      </c>
      <c r="N135" s="16">
        <v>34</v>
      </c>
      <c r="O135" s="16">
        <v>3</v>
      </c>
      <c r="P135" s="16">
        <v>5</v>
      </c>
      <c r="Q135" s="16">
        <v>4</v>
      </c>
      <c r="R135" s="39">
        <f t="shared" si="2"/>
        <v>32</v>
      </c>
      <c r="S135" s="16">
        <v>8</v>
      </c>
      <c r="T135" s="16">
        <v>8</v>
      </c>
      <c r="U135" s="16">
        <v>8</v>
      </c>
      <c r="V135" s="16">
        <v>8</v>
      </c>
      <c r="W135" s="16">
        <v>180</v>
      </c>
      <c r="X135" s="16">
        <v>190</v>
      </c>
      <c r="Y135" s="16">
        <v>5.5</v>
      </c>
      <c r="Z135" s="16">
        <v>10</v>
      </c>
      <c r="AA135" s="16">
        <v>105861</v>
      </c>
    </row>
    <row r="136" spans="1:27">
      <c r="A136" s="27">
        <v>10590</v>
      </c>
      <c r="B136" s="16" t="s">
        <v>51</v>
      </c>
      <c r="C136" s="16" t="s">
        <v>196</v>
      </c>
      <c r="D136" s="16" t="s">
        <v>72</v>
      </c>
      <c r="E136" s="16">
        <v>72</v>
      </c>
      <c r="F136" s="16">
        <v>105</v>
      </c>
      <c r="G136" s="16">
        <v>0</v>
      </c>
      <c r="H136" s="16">
        <v>87</v>
      </c>
      <c r="I136" s="16">
        <v>52</v>
      </c>
      <c r="J136" s="16">
        <v>0</v>
      </c>
      <c r="K136" s="26">
        <v>94</v>
      </c>
      <c r="L136" s="16">
        <v>64</v>
      </c>
      <c r="M136" s="16">
        <v>40</v>
      </c>
      <c r="N136" s="16">
        <v>28.5</v>
      </c>
      <c r="O136" s="16">
        <v>3</v>
      </c>
      <c r="P136" s="16">
        <v>8</v>
      </c>
      <c r="Q136" s="16">
        <v>4</v>
      </c>
      <c r="R136" s="39">
        <f t="shared" si="2"/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75</v>
      </c>
      <c r="X136" s="16">
        <v>115</v>
      </c>
      <c r="Y136" s="16">
        <v>2.6</v>
      </c>
      <c r="Z136" s="16">
        <v>4.8</v>
      </c>
      <c r="AA136" s="16">
        <v>105901</v>
      </c>
    </row>
    <row r="137" s="16" customFormat="1" spans="1:29">
      <c r="A137" s="27">
        <v>10594</v>
      </c>
      <c r="B137" s="16" t="s">
        <v>29</v>
      </c>
      <c r="C137" s="16" t="s">
        <v>197</v>
      </c>
      <c r="D137" s="16" t="s">
        <v>34</v>
      </c>
      <c r="E137" s="16">
        <v>60</v>
      </c>
      <c r="F137" s="16">
        <v>40</v>
      </c>
      <c r="G137" s="16">
        <v>0</v>
      </c>
      <c r="H137" s="16">
        <v>60</v>
      </c>
      <c r="I137" s="16">
        <v>90</v>
      </c>
      <c r="J137" s="16">
        <v>0</v>
      </c>
      <c r="K137" s="26">
        <v>96</v>
      </c>
      <c r="L137" s="16">
        <v>52</v>
      </c>
      <c r="M137" s="16">
        <v>77</v>
      </c>
      <c r="N137" s="16">
        <v>33</v>
      </c>
      <c r="O137" s="16">
        <v>1</v>
      </c>
      <c r="P137" s="16">
        <v>20</v>
      </c>
      <c r="Q137" s="16">
        <v>4</v>
      </c>
      <c r="R137" s="39">
        <f t="shared" si="2"/>
        <v>90</v>
      </c>
      <c r="S137" s="16">
        <v>18</v>
      </c>
      <c r="T137" s="16">
        <v>18</v>
      </c>
      <c r="U137" s="16">
        <v>36</v>
      </c>
      <c r="V137" s="16">
        <v>18</v>
      </c>
      <c r="W137" s="16">
        <v>60</v>
      </c>
      <c r="X137" s="16">
        <v>60</v>
      </c>
      <c r="Y137" s="16">
        <v>2.4</v>
      </c>
      <c r="Z137" s="16">
        <v>4.5</v>
      </c>
      <c r="AA137" s="16">
        <v>105941</v>
      </c>
      <c r="AC137" s="29" t="s">
        <v>81</v>
      </c>
    </row>
    <row r="138" spans="1:26">
      <c r="A138" s="27">
        <v>10596</v>
      </c>
      <c r="B138" s="16" t="s">
        <v>105</v>
      </c>
      <c r="C138" s="16" t="s">
        <v>198</v>
      </c>
      <c r="D138" s="16" t="s">
        <v>89</v>
      </c>
      <c r="E138" s="16">
        <v>16</v>
      </c>
      <c r="F138" s="16">
        <v>37</v>
      </c>
      <c r="G138" s="16">
        <v>0</v>
      </c>
      <c r="H138" s="16">
        <v>22</v>
      </c>
      <c r="I138" s="16">
        <v>65</v>
      </c>
      <c r="J138" s="16">
        <v>0</v>
      </c>
      <c r="K138" s="26">
        <v>95</v>
      </c>
      <c r="L138" s="16">
        <v>85</v>
      </c>
      <c r="M138" s="16">
        <v>31</v>
      </c>
      <c r="N138" s="16">
        <v>26</v>
      </c>
      <c r="O138" s="16">
        <v>1</v>
      </c>
      <c r="P138" s="16">
        <v>25</v>
      </c>
      <c r="Q138" s="16">
        <v>3</v>
      </c>
      <c r="R138" s="39">
        <f t="shared" si="2"/>
        <v>24</v>
      </c>
      <c r="S138" s="16">
        <v>8</v>
      </c>
      <c r="T138" s="16">
        <v>8</v>
      </c>
      <c r="U138" s="16">
        <v>8</v>
      </c>
      <c r="V138" s="16">
        <v>0</v>
      </c>
      <c r="W138" s="16">
        <v>15</v>
      </c>
      <c r="X138" s="16">
        <v>25</v>
      </c>
      <c r="Y138" s="16">
        <v>0.5</v>
      </c>
      <c r="Z138" s="16">
        <v>0.9</v>
      </c>
    </row>
    <row r="139" spans="1:27">
      <c r="A139" s="27">
        <v>10601</v>
      </c>
      <c r="B139" s="16" t="s">
        <v>199</v>
      </c>
      <c r="C139" s="24">
        <v>351</v>
      </c>
      <c r="D139" s="16" t="s">
        <v>89</v>
      </c>
      <c r="E139" s="16">
        <v>16</v>
      </c>
      <c r="F139" s="16">
        <v>28</v>
      </c>
      <c r="G139" s="16">
        <v>82</v>
      </c>
      <c r="H139" s="16">
        <v>30</v>
      </c>
      <c r="I139" s="16">
        <v>0</v>
      </c>
      <c r="J139" s="16">
        <v>0</v>
      </c>
      <c r="K139" s="26">
        <v>96</v>
      </c>
      <c r="L139" s="16">
        <v>55</v>
      </c>
      <c r="M139" s="16">
        <v>51</v>
      </c>
      <c r="N139" s="16">
        <v>15</v>
      </c>
      <c r="O139" s="16">
        <v>1</v>
      </c>
      <c r="P139" s="16">
        <v>16</v>
      </c>
      <c r="Q139" s="16">
        <v>3</v>
      </c>
      <c r="R139" s="39">
        <f t="shared" si="2"/>
        <v>18</v>
      </c>
      <c r="S139" s="16">
        <v>6</v>
      </c>
      <c r="T139" s="16">
        <v>6</v>
      </c>
      <c r="U139" s="16">
        <v>6</v>
      </c>
      <c r="V139" s="16">
        <v>0</v>
      </c>
      <c r="W139" s="16">
        <v>30</v>
      </c>
      <c r="X139" s="16">
        <v>50</v>
      </c>
      <c r="Y139" s="16">
        <v>0.6</v>
      </c>
      <c r="Z139" s="16">
        <v>0.6</v>
      </c>
      <c r="AA139" s="16">
        <v>106011</v>
      </c>
    </row>
    <row r="140" spans="1:27">
      <c r="A140" s="27">
        <v>10602</v>
      </c>
      <c r="B140" s="16" t="s">
        <v>37</v>
      </c>
      <c r="C140" s="16" t="s">
        <v>200</v>
      </c>
      <c r="D140" s="16" t="s">
        <v>34</v>
      </c>
      <c r="E140" s="16">
        <v>72</v>
      </c>
      <c r="F140" s="16">
        <v>99</v>
      </c>
      <c r="G140" s="16">
        <v>0</v>
      </c>
      <c r="H140" s="16">
        <v>95</v>
      </c>
      <c r="I140" s="16">
        <v>89</v>
      </c>
      <c r="J140" s="16">
        <v>0</v>
      </c>
      <c r="K140" s="26">
        <v>94</v>
      </c>
      <c r="L140" s="16">
        <v>37</v>
      </c>
      <c r="M140" s="16">
        <v>45</v>
      </c>
      <c r="N140" s="16">
        <v>21</v>
      </c>
      <c r="O140" s="16">
        <v>3</v>
      </c>
      <c r="P140" s="16">
        <v>20</v>
      </c>
      <c r="Q140" s="16">
        <v>4</v>
      </c>
      <c r="R140" s="39">
        <f t="shared" si="2"/>
        <v>12</v>
      </c>
      <c r="S140" s="16">
        <v>3</v>
      </c>
      <c r="T140" s="16">
        <v>3</v>
      </c>
      <c r="U140" s="16">
        <v>3</v>
      </c>
      <c r="V140" s="16">
        <v>3</v>
      </c>
      <c r="W140" s="16">
        <v>85</v>
      </c>
      <c r="X140" s="16">
        <v>120</v>
      </c>
      <c r="Y140" s="16">
        <v>2.5</v>
      </c>
      <c r="Z140" s="16">
        <v>5.1</v>
      </c>
      <c r="AA140" s="16">
        <v>106021</v>
      </c>
    </row>
    <row r="141" spans="1:27">
      <c r="A141" s="27">
        <v>10605</v>
      </c>
      <c r="B141" s="16" t="s">
        <v>51</v>
      </c>
      <c r="C141" s="16" t="s">
        <v>201</v>
      </c>
      <c r="D141" s="16" t="s">
        <v>68</v>
      </c>
      <c r="E141" s="16">
        <v>80</v>
      </c>
      <c r="F141" s="16">
        <v>116</v>
      </c>
      <c r="G141" s="16">
        <v>40</v>
      </c>
      <c r="H141" s="16">
        <v>111</v>
      </c>
      <c r="I141" s="16">
        <v>47</v>
      </c>
      <c r="J141" s="16">
        <v>0</v>
      </c>
      <c r="K141" s="26">
        <v>96</v>
      </c>
      <c r="L141" s="16">
        <v>55</v>
      </c>
      <c r="M141" s="16">
        <v>40</v>
      </c>
      <c r="N141" s="16">
        <v>35</v>
      </c>
      <c r="O141" s="16">
        <v>3</v>
      </c>
      <c r="P141" s="16">
        <v>5</v>
      </c>
      <c r="Q141" s="16">
        <v>4</v>
      </c>
      <c r="R141" s="39">
        <f t="shared" si="2"/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115</v>
      </c>
      <c r="X141" s="16">
        <v>140</v>
      </c>
      <c r="Y141" s="16">
        <v>3.3</v>
      </c>
      <c r="Z141" s="16">
        <v>6.1</v>
      </c>
      <c r="AA141" s="16">
        <v>106051</v>
      </c>
    </row>
    <row r="142" s="16" customFormat="1" spans="1:29">
      <c r="A142" s="27">
        <v>10609</v>
      </c>
      <c r="B142" s="16" t="s">
        <v>29</v>
      </c>
      <c r="C142" s="16" t="s">
        <v>202</v>
      </c>
      <c r="D142" s="16" t="s">
        <v>34</v>
      </c>
      <c r="E142" s="16">
        <v>60</v>
      </c>
      <c r="F142" s="16">
        <v>40</v>
      </c>
      <c r="G142" s="16">
        <v>0</v>
      </c>
      <c r="H142" s="16">
        <v>60</v>
      </c>
      <c r="I142" s="16">
        <v>90</v>
      </c>
      <c r="J142" s="16">
        <v>0</v>
      </c>
      <c r="K142" s="26">
        <v>96</v>
      </c>
      <c r="L142" s="16">
        <v>52</v>
      </c>
      <c r="M142" s="16">
        <v>77</v>
      </c>
      <c r="N142" s="16">
        <v>33</v>
      </c>
      <c r="O142" s="16">
        <v>1</v>
      </c>
      <c r="P142" s="16">
        <v>20</v>
      </c>
      <c r="Q142" s="16">
        <v>4</v>
      </c>
      <c r="R142" s="39">
        <f t="shared" si="2"/>
        <v>90</v>
      </c>
      <c r="S142" s="16">
        <v>18</v>
      </c>
      <c r="T142" s="16">
        <v>18</v>
      </c>
      <c r="U142" s="16">
        <v>36</v>
      </c>
      <c r="V142" s="16">
        <v>18</v>
      </c>
      <c r="W142" s="16">
        <v>60</v>
      </c>
      <c r="X142" s="16">
        <v>60</v>
      </c>
      <c r="Y142" s="16">
        <v>2.4</v>
      </c>
      <c r="Z142" s="16">
        <v>4.5</v>
      </c>
      <c r="AA142" s="16">
        <v>106091</v>
      </c>
      <c r="AC142" s="29" t="s">
        <v>81</v>
      </c>
    </row>
    <row r="143" spans="1:27">
      <c r="A143" s="27">
        <v>10613</v>
      </c>
      <c r="B143" s="16" t="s">
        <v>37</v>
      </c>
      <c r="C143" s="16" t="s">
        <v>203</v>
      </c>
      <c r="D143" s="16" t="s">
        <v>31</v>
      </c>
      <c r="E143" s="16">
        <v>104</v>
      </c>
      <c r="F143" s="16">
        <v>126</v>
      </c>
      <c r="G143" s="16">
        <v>0</v>
      </c>
      <c r="H143" s="16">
        <v>120</v>
      </c>
      <c r="I143" s="16">
        <v>68</v>
      </c>
      <c r="J143" s="16">
        <v>0</v>
      </c>
      <c r="K143" s="26">
        <v>100</v>
      </c>
      <c r="L143" s="16">
        <v>44</v>
      </c>
      <c r="M143" s="16">
        <v>45</v>
      </c>
      <c r="N143" s="16">
        <v>27.5</v>
      </c>
      <c r="O143" s="16">
        <v>3</v>
      </c>
      <c r="P143" s="16">
        <v>10</v>
      </c>
      <c r="Q143" s="16">
        <v>4</v>
      </c>
      <c r="R143" s="39">
        <f t="shared" si="2"/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170</v>
      </c>
      <c r="X143" s="16">
        <v>195</v>
      </c>
      <c r="Y143" s="16">
        <v>6</v>
      </c>
      <c r="Z143" s="16">
        <v>11</v>
      </c>
      <c r="AA143" s="16">
        <v>106131</v>
      </c>
    </row>
    <row r="144" s="16" customFormat="1" spans="1:29">
      <c r="A144" s="27">
        <v>10617</v>
      </c>
      <c r="B144" s="16" t="s">
        <v>105</v>
      </c>
      <c r="C144" s="16" t="s">
        <v>204</v>
      </c>
      <c r="D144" s="16" t="s">
        <v>89</v>
      </c>
      <c r="E144" s="16">
        <v>28</v>
      </c>
      <c r="F144" s="16">
        <v>40</v>
      </c>
      <c r="G144" s="16">
        <v>0</v>
      </c>
      <c r="H144" s="16">
        <v>25</v>
      </c>
      <c r="I144" s="16">
        <v>76</v>
      </c>
      <c r="J144" s="16">
        <v>0</v>
      </c>
      <c r="K144" s="26">
        <v>101</v>
      </c>
      <c r="L144" s="16">
        <v>86</v>
      </c>
      <c r="M144" s="16">
        <v>47</v>
      </c>
      <c r="N144" s="16">
        <v>37.95</v>
      </c>
      <c r="O144" s="16">
        <v>1</v>
      </c>
      <c r="P144" s="16">
        <v>19</v>
      </c>
      <c r="Q144" s="16">
        <v>3</v>
      </c>
      <c r="R144" s="39">
        <f t="shared" si="2"/>
        <v>24</v>
      </c>
      <c r="S144" s="16">
        <v>8</v>
      </c>
      <c r="T144" s="16">
        <v>8</v>
      </c>
      <c r="U144" s="16">
        <v>8</v>
      </c>
      <c r="V144" s="16">
        <v>0</v>
      </c>
      <c r="W144" s="16">
        <v>25</v>
      </c>
      <c r="X144" s="16">
        <v>60</v>
      </c>
      <c r="Y144" s="16">
        <v>0.5</v>
      </c>
      <c r="Z144" s="16">
        <v>1.3</v>
      </c>
      <c r="AA144" s="16">
        <v>106171</v>
      </c>
      <c r="AC144" s="29" t="s">
        <v>168</v>
      </c>
    </row>
    <row r="145" s="16" customFormat="1" spans="1:29">
      <c r="A145" s="27">
        <v>10619</v>
      </c>
      <c r="B145" s="16" t="s">
        <v>44</v>
      </c>
      <c r="C145" s="16" t="s">
        <v>205</v>
      </c>
      <c r="D145" s="16" t="s">
        <v>34</v>
      </c>
      <c r="E145" s="16">
        <v>92</v>
      </c>
      <c r="F145" s="16">
        <v>45</v>
      </c>
      <c r="G145" s="16">
        <v>0</v>
      </c>
      <c r="H145" s="16">
        <v>83</v>
      </c>
      <c r="I145" s="16">
        <v>106</v>
      </c>
      <c r="J145" s="16">
        <v>0</v>
      </c>
      <c r="K145" s="26">
        <v>90</v>
      </c>
      <c r="L145" s="16">
        <v>50</v>
      </c>
      <c r="M145" s="16">
        <v>85</v>
      </c>
      <c r="N145" s="16">
        <v>30</v>
      </c>
      <c r="O145" s="16">
        <v>1</v>
      </c>
      <c r="P145" s="16">
        <v>20</v>
      </c>
      <c r="Q145" s="16">
        <v>4</v>
      </c>
      <c r="R145" s="39">
        <f t="shared" si="2"/>
        <v>100</v>
      </c>
      <c r="S145" s="16">
        <v>25</v>
      </c>
      <c r="T145" s="16">
        <v>25</v>
      </c>
      <c r="U145" s="16">
        <v>25</v>
      </c>
      <c r="V145" s="16">
        <v>25</v>
      </c>
      <c r="W145" s="16">
        <v>100</v>
      </c>
      <c r="X145" s="16">
        <v>150</v>
      </c>
      <c r="Y145" s="16">
        <v>2.7</v>
      </c>
      <c r="Z145" s="16">
        <v>4.9</v>
      </c>
      <c r="AA145" s="16">
        <v>106191</v>
      </c>
      <c r="AC145" s="29" t="s">
        <v>191</v>
      </c>
    </row>
    <row r="146" spans="1:26">
      <c r="A146" s="27">
        <v>10620</v>
      </c>
      <c r="B146" s="16" t="s">
        <v>37</v>
      </c>
      <c r="C146" s="16" t="s">
        <v>206</v>
      </c>
      <c r="D146" s="16" t="s">
        <v>39</v>
      </c>
      <c r="E146" s="16">
        <v>60</v>
      </c>
      <c r="F146" s="16">
        <v>90</v>
      </c>
      <c r="G146" s="16">
        <v>0</v>
      </c>
      <c r="H146" s="16">
        <v>89</v>
      </c>
      <c r="I146" s="16">
        <v>45</v>
      </c>
      <c r="J146" s="16">
        <v>0</v>
      </c>
      <c r="K146" s="26">
        <v>94</v>
      </c>
      <c r="L146" s="16">
        <v>40</v>
      </c>
      <c r="M146" s="16">
        <v>38</v>
      </c>
      <c r="N146" s="16">
        <v>21</v>
      </c>
      <c r="O146" s="16">
        <v>3</v>
      </c>
      <c r="P146" s="16">
        <v>15</v>
      </c>
      <c r="Q146" s="16">
        <v>4</v>
      </c>
      <c r="R146" s="39">
        <f t="shared" si="2"/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50</v>
      </c>
      <c r="X146" s="16">
        <v>60</v>
      </c>
      <c r="Y146" s="16">
        <v>2.5</v>
      </c>
      <c r="Z146" s="16">
        <v>5.1</v>
      </c>
    </row>
    <row r="147" s="16" customFormat="1" spans="1:29">
      <c r="A147" s="27">
        <v>10623</v>
      </c>
      <c r="B147" s="16" t="s">
        <v>37</v>
      </c>
      <c r="C147" s="16" t="s">
        <v>207</v>
      </c>
      <c r="D147" s="16" t="s">
        <v>39</v>
      </c>
      <c r="E147" s="16">
        <v>81</v>
      </c>
      <c r="F147" s="16">
        <v>110</v>
      </c>
      <c r="G147" s="16">
        <v>0</v>
      </c>
      <c r="H147" s="16">
        <v>105</v>
      </c>
      <c r="I147" s="16">
        <v>100</v>
      </c>
      <c r="J147" s="16">
        <v>0</v>
      </c>
      <c r="K147" s="26">
        <v>97</v>
      </c>
      <c r="L147" s="16">
        <v>50</v>
      </c>
      <c r="M147" s="16">
        <v>42</v>
      </c>
      <c r="N147" s="16">
        <v>28.3</v>
      </c>
      <c r="O147" s="16">
        <v>3</v>
      </c>
      <c r="P147" s="16">
        <v>6</v>
      </c>
      <c r="Q147" s="16">
        <v>4</v>
      </c>
      <c r="R147" s="39">
        <f t="shared" si="2"/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125</v>
      </c>
      <c r="X147" s="16">
        <v>175</v>
      </c>
      <c r="Y147" s="16">
        <v>4.8</v>
      </c>
      <c r="Z147" s="16">
        <v>9</v>
      </c>
      <c r="AA147" s="16">
        <v>106231</v>
      </c>
      <c r="AC147" s="29" t="s">
        <v>40</v>
      </c>
    </row>
    <row r="148" s="16" customFormat="1" spans="1:29">
      <c r="A148" s="27">
        <v>10627</v>
      </c>
      <c r="B148" s="16" t="s">
        <v>29</v>
      </c>
      <c r="C148" s="16" t="s">
        <v>208</v>
      </c>
      <c r="D148" s="16" t="s">
        <v>34</v>
      </c>
      <c r="E148" s="16">
        <v>64</v>
      </c>
      <c r="F148" s="16">
        <v>45</v>
      </c>
      <c r="G148" s="16">
        <v>0</v>
      </c>
      <c r="H148" s="16">
        <v>63</v>
      </c>
      <c r="I148" s="16">
        <v>95</v>
      </c>
      <c r="J148" s="16">
        <v>0</v>
      </c>
      <c r="K148" s="26">
        <v>96</v>
      </c>
      <c r="L148" s="16">
        <v>52</v>
      </c>
      <c r="M148" s="16">
        <v>82</v>
      </c>
      <c r="N148" s="16">
        <v>33</v>
      </c>
      <c r="O148" s="16">
        <v>1</v>
      </c>
      <c r="P148" s="16">
        <v>22</v>
      </c>
      <c r="Q148" s="16">
        <v>4</v>
      </c>
      <c r="R148" s="39">
        <f t="shared" si="2"/>
        <v>80</v>
      </c>
      <c r="S148" s="16">
        <v>24</v>
      </c>
      <c r="T148" s="16">
        <v>20</v>
      </c>
      <c r="U148" s="16">
        <v>18</v>
      </c>
      <c r="V148" s="16">
        <v>18</v>
      </c>
      <c r="W148" s="16">
        <v>60</v>
      </c>
      <c r="X148" s="16">
        <v>65</v>
      </c>
      <c r="Y148" s="16">
        <v>2.4</v>
      </c>
      <c r="Z148" s="16">
        <v>4.5</v>
      </c>
      <c r="AA148" s="16">
        <v>106271</v>
      </c>
      <c r="AC148" s="29" t="s">
        <v>81</v>
      </c>
    </row>
    <row r="149" spans="1:27">
      <c r="A149" s="27">
        <v>10631</v>
      </c>
      <c r="B149" s="16" t="s">
        <v>51</v>
      </c>
      <c r="C149" s="16" t="s">
        <v>209</v>
      </c>
      <c r="D149" s="16" t="s">
        <v>47</v>
      </c>
      <c r="E149" s="16">
        <v>100</v>
      </c>
      <c r="F149" s="16">
        <v>94</v>
      </c>
      <c r="G149" s="16">
        <v>47</v>
      </c>
      <c r="H149" s="16">
        <v>82</v>
      </c>
      <c r="I149" s="16">
        <v>57</v>
      </c>
      <c r="J149" s="16">
        <v>0</v>
      </c>
      <c r="K149" s="26">
        <v>96</v>
      </c>
      <c r="L149" s="16">
        <v>73</v>
      </c>
      <c r="M149" s="16">
        <v>43</v>
      </c>
      <c r="N149" s="16">
        <v>37.1</v>
      </c>
      <c r="O149" s="16">
        <v>3</v>
      </c>
      <c r="P149" s="16">
        <v>3</v>
      </c>
      <c r="Q149" s="16">
        <v>4</v>
      </c>
      <c r="R149" s="39">
        <f t="shared" si="2"/>
        <v>16</v>
      </c>
      <c r="S149" s="16">
        <v>4</v>
      </c>
      <c r="T149" s="16">
        <v>4</v>
      </c>
      <c r="U149" s="16">
        <v>4</v>
      </c>
      <c r="V149" s="16">
        <v>4</v>
      </c>
      <c r="W149" s="16">
        <v>125</v>
      </c>
      <c r="X149" s="16">
        <v>130</v>
      </c>
      <c r="Y149" s="16">
        <v>4.2</v>
      </c>
      <c r="Z149" s="16">
        <v>8.8</v>
      </c>
      <c r="AA149" s="16">
        <v>106311</v>
      </c>
    </row>
    <row r="150" spans="1:27">
      <c r="A150" s="27">
        <v>10635</v>
      </c>
      <c r="B150" s="16" t="s">
        <v>194</v>
      </c>
      <c r="C150" s="16" t="s">
        <v>210</v>
      </c>
      <c r="D150" s="16" t="s">
        <v>72</v>
      </c>
      <c r="E150" s="16">
        <v>104</v>
      </c>
      <c r="F150" s="16">
        <v>123</v>
      </c>
      <c r="G150" s="16">
        <v>0</v>
      </c>
      <c r="H150" s="16">
        <v>95</v>
      </c>
      <c r="I150" s="16">
        <v>75</v>
      </c>
      <c r="J150" s="16">
        <v>0</v>
      </c>
      <c r="K150" s="26">
        <v>97</v>
      </c>
      <c r="L150" s="16">
        <v>51</v>
      </c>
      <c r="M150" s="16">
        <v>62</v>
      </c>
      <c r="N150" s="16">
        <v>34</v>
      </c>
      <c r="O150" s="16">
        <v>3</v>
      </c>
      <c r="P150" s="16">
        <v>5</v>
      </c>
      <c r="Q150" s="16">
        <v>4</v>
      </c>
      <c r="R150" s="39">
        <f t="shared" si="2"/>
        <v>36</v>
      </c>
      <c r="S150" s="16">
        <v>9</v>
      </c>
      <c r="T150" s="16">
        <v>9</v>
      </c>
      <c r="U150" s="16">
        <v>9</v>
      </c>
      <c r="V150" s="16">
        <v>9</v>
      </c>
      <c r="W150" s="16">
        <v>170</v>
      </c>
      <c r="X150" s="16">
        <v>185</v>
      </c>
      <c r="Y150" s="16">
        <v>4.8</v>
      </c>
      <c r="Z150" s="16">
        <v>9.2</v>
      </c>
      <c r="AA150" s="16">
        <v>106351</v>
      </c>
    </row>
    <row r="151" spans="1:27">
      <c r="A151" s="27">
        <v>10640</v>
      </c>
      <c r="B151" s="16" t="s">
        <v>92</v>
      </c>
      <c r="C151" s="16" t="s">
        <v>211</v>
      </c>
      <c r="D151" s="16" t="s">
        <v>39</v>
      </c>
      <c r="E151" s="16">
        <v>28</v>
      </c>
      <c r="F151" s="16">
        <v>31</v>
      </c>
      <c r="G151" s="16">
        <v>0</v>
      </c>
      <c r="H151" s="16">
        <v>25</v>
      </c>
      <c r="I151" s="16">
        <v>89</v>
      </c>
      <c r="J151" s="16">
        <v>94</v>
      </c>
      <c r="K151" s="26">
        <v>99</v>
      </c>
      <c r="L151" s="16">
        <v>69</v>
      </c>
      <c r="M151" s="16">
        <v>41</v>
      </c>
      <c r="N151" s="16">
        <v>30</v>
      </c>
      <c r="O151" s="16">
        <v>1</v>
      </c>
      <c r="P151" s="16">
        <v>6</v>
      </c>
      <c r="Q151" s="16">
        <v>3</v>
      </c>
      <c r="R151" s="39">
        <f t="shared" si="2"/>
        <v>60</v>
      </c>
      <c r="S151" s="16">
        <v>20</v>
      </c>
      <c r="T151" s="16">
        <v>20</v>
      </c>
      <c r="U151" s="16">
        <v>20</v>
      </c>
      <c r="V151" s="16">
        <v>0</v>
      </c>
      <c r="W151" s="16">
        <v>20</v>
      </c>
      <c r="X151" s="16">
        <v>40</v>
      </c>
      <c r="Y151" s="16">
        <v>0.5</v>
      </c>
      <c r="Z151" s="16">
        <v>1.1</v>
      </c>
      <c r="AA151" s="16">
        <v>106401</v>
      </c>
    </row>
    <row r="152" spans="1:27">
      <c r="A152" s="27">
        <v>10641</v>
      </c>
      <c r="B152" s="16" t="s">
        <v>37</v>
      </c>
      <c r="C152" s="16" t="s">
        <v>212</v>
      </c>
      <c r="D152" s="16" t="s">
        <v>72</v>
      </c>
      <c r="E152" s="16">
        <v>80</v>
      </c>
      <c r="F152" s="16">
        <v>111</v>
      </c>
      <c r="G152" s="16">
        <v>0</v>
      </c>
      <c r="H152" s="16">
        <v>92</v>
      </c>
      <c r="I152" s="16">
        <v>69</v>
      </c>
      <c r="J152" s="16">
        <v>0</v>
      </c>
      <c r="K152" s="26">
        <v>96</v>
      </c>
      <c r="L152" s="16">
        <v>52</v>
      </c>
      <c r="M152" s="16">
        <v>40</v>
      </c>
      <c r="N152" s="16">
        <v>30</v>
      </c>
      <c r="O152" s="16">
        <v>3</v>
      </c>
      <c r="P152" s="16">
        <v>8</v>
      </c>
      <c r="Q152" s="16">
        <v>4</v>
      </c>
      <c r="R152" s="39">
        <f t="shared" si="2"/>
        <v>16</v>
      </c>
      <c r="S152" s="16">
        <v>4</v>
      </c>
      <c r="T152" s="16">
        <v>4</v>
      </c>
      <c r="U152" s="16">
        <v>4</v>
      </c>
      <c r="V152" s="16">
        <v>4</v>
      </c>
      <c r="W152" s="16">
        <v>115</v>
      </c>
      <c r="X152" s="16">
        <v>165</v>
      </c>
      <c r="Y152" s="16">
        <v>4.8</v>
      </c>
      <c r="Z152" s="16">
        <v>9</v>
      </c>
      <c r="AA152" s="16">
        <v>106411</v>
      </c>
    </row>
    <row r="153" spans="1:27">
      <c r="A153" s="27">
        <v>10644</v>
      </c>
      <c r="B153" s="16" t="s">
        <v>29</v>
      </c>
      <c r="C153" s="16" t="s">
        <v>213</v>
      </c>
      <c r="D153" s="16" t="s">
        <v>39</v>
      </c>
      <c r="E153" s="16">
        <v>88</v>
      </c>
      <c r="F153" s="16">
        <v>50</v>
      </c>
      <c r="G153" s="16">
        <v>0</v>
      </c>
      <c r="H153" s="16">
        <v>67</v>
      </c>
      <c r="I153" s="16">
        <v>110</v>
      </c>
      <c r="J153" s="16">
        <v>0</v>
      </c>
      <c r="K153" s="26">
        <v>89</v>
      </c>
      <c r="L153" s="16">
        <v>51</v>
      </c>
      <c r="M153" s="16">
        <v>77</v>
      </c>
      <c r="N153" s="16">
        <v>30</v>
      </c>
      <c r="O153" s="16">
        <v>1</v>
      </c>
      <c r="P153" s="16">
        <v>6</v>
      </c>
      <c r="Q153" s="16">
        <v>4</v>
      </c>
      <c r="R153" s="39">
        <f t="shared" si="2"/>
        <v>75</v>
      </c>
      <c r="S153" s="16">
        <v>20</v>
      </c>
      <c r="T153" s="16">
        <v>20</v>
      </c>
      <c r="U153" s="16">
        <v>18</v>
      </c>
      <c r="V153" s="16">
        <v>17</v>
      </c>
      <c r="W153" s="16">
        <v>80</v>
      </c>
      <c r="X153" s="16">
        <v>75</v>
      </c>
      <c r="Y153" s="16">
        <v>2.7</v>
      </c>
      <c r="Z153" s="16">
        <v>4.8</v>
      </c>
      <c r="AA153" s="16">
        <v>106441</v>
      </c>
    </row>
    <row r="154" spans="1:27">
      <c r="A154" s="27">
        <v>10648</v>
      </c>
      <c r="B154" s="16" t="s">
        <v>37</v>
      </c>
      <c r="C154" s="16" t="s">
        <v>214</v>
      </c>
      <c r="D154" s="16" t="s">
        <v>72</v>
      </c>
      <c r="E154" s="16">
        <v>68</v>
      </c>
      <c r="F154" s="16">
        <v>92</v>
      </c>
      <c r="G154" s="16">
        <v>0</v>
      </c>
      <c r="H154" s="16">
        <v>88</v>
      </c>
      <c r="I154" s="16">
        <v>89</v>
      </c>
      <c r="J154" s="16">
        <v>0</v>
      </c>
      <c r="K154" s="26">
        <v>94</v>
      </c>
      <c r="L154" s="16">
        <v>37</v>
      </c>
      <c r="M154" s="16">
        <v>39</v>
      </c>
      <c r="N154" s="16">
        <v>21</v>
      </c>
      <c r="O154" s="16">
        <v>3</v>
      </c>
      <c r="P154" s="16">
        <v>15</v>
      </c>
      <c r="Q154" s="16">
        <v>4</v>
      </c>
      <c r="R154" s="39">
        <f t="shared" si="2"/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80</v>
      </c>
      <c r="X154" s="16">
        <v>125</v>
      </c>
      <c r="Y154" s="16">
        <v>2.5</v>
      </c>
      <c r="Z154" s="16">
        <v>5.1</v>
      </c>
      <c r="AA154" s="16">
        <v>106481</v>
      </c>
    </row>
    <row r="155" s="16" customFormat="1" spans="1:29">
      <c r="A155" s="27">
        <v>10652</v>
      </c>
      <c r="B155" s="16" t="s">
        <v>37</v>
      </c>
      <c r="C155" s="16" t="s">
        <v>215</v>
      </c>
      <c r="D155" s="16" t="s">
        <v>34</v>
      </c>
      <c r="E155" s="16">
        <v>104</v>
      </c>
      <c r="F155" s="16">
        <v>131</v>
      </c>
      <c r="G155" s="16">
        <v>0</v>
      </c>
      <c r="H155" s="16">
        <v>121</v>
      </c>
      <c r="I155" s="16">
        <v>109</v>
      </c>
      <c r="J155" s="16">
        <v>0</v>
      </c>
      <c r="K155" s="26">
        <v>103</v>
      </c>
      <c r="L155" s="16">
        <v>43</v>
      </c>
      <c r="M155" s="16">
        <v>48</v>
      </c>
      <c r="N155" s="16">
        <v>28</v>
      </c>
      <c r="O155" s="16">
        <v>3</v>
      </c>
      <c r="P155" s="16">
        <v>5</v>
      </c>
      <c r="Q155" s="16">
        <v>4</v>
      </c>
      <c r="R155" s="39">
        <f t="shared" si="2"/>
        <v>12</v>
      </c>
      <c r="S155" s="16">
        <v>3</v>
      </c>
      <c r="T155" s="16">
        <v>3</v>
      </c>
      <c r="U155" s="16">
        <v>3</v>
      </c>
      <c r="V155" s="16">
        <v>3</v>
      </c>
      <c r="W155" s="16">
        <v>165</v>
      </c>
      <c r="X155" s="16">
        <v>200</v>
      </c>
      <c r="Y155" s="16">
        <v>4.9</v>
      </c>
      <c r="Z155" s="16">
        <v>9.1</v>
      </c>
      <c r="AA155" s="16">
        <v>106521</v>
      </c>
      <c r="AC155" s="29" t="s">
        <v>174</v>
      </c>
    </row>
    <row r="156" spans="1:16384">
      <c r="A156" s="51">
        <v>10656</v>
      </c>
      <c r="B156" s="15" t="s">
        <v>92</v>
      </c>
      <c r="C156" s="15" t="s">
        <v>216</v>
      </c>
      <c r="D156" s="15" t="s">
        <v>39</v>
      </c>
      <c r="E156" s="15">
        <v>43</v>
      </c>
      <c r="F156" s="15">
        <v>31</v>
      </c>
      <c r="G156" s="15">
        <v>0</v>
      </c>
      <c r="H156" s="15">
        <v>26</v>
      </c>
      <c r="I156" s="15">
        <v>92</v>
      </c>
      <c r="J156" s="15">
        <v>104</v>
      </c>
      <c r="K156" s="52">
        <v>99</v>
      </c>
      <c r="L156" s="15">
        <v>68</v>
      </c>
      <c r="M156" s="15">
        <v>41</v>
      </c>
      <c r="N156" s="15">
        <v>30</v>
      </c>
      <c r="O156" s="15">
        <v>1</v>
      </c>
      <c r="P156" s="15">
        <v>6</v>
      </c>
      <c r="Q156" s="15">
        <v>3</v>
      </c>
      <c r="R156" s="53">
        <f t="shared" si="2"/>
        <v>60</v>
      </c>
      <c r="S156" s="15">
        <v>20</v>
      </c>
      <c r="T156" s="15">
        <v>20</v>
      </c>
      <c r="U156" s="15">
        <v>20</v>
      </c>
      <c r="V156" s="15">
        <v>0</v>
      </c>
      <c r="W156" s="15">
        <v>20</v>
      </c>
      <c r="X156" s="15">
        <v>40</v>
      </c>
      <c r="Y156" s="15">
        <v>0.5</v>
      </c>
      <c r="Z156" s="15">
        <v>1.1</v>
      </c>
      <c r="AA156" s="15">
        <v>106561</v>
      </c>
      <c r="AB156" s="15"/>
      <c r="AC156" s="54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  <c r="IV156" s="15"/>
      <c r="IW156" s="15"/>
      <c r="IX156" s="15"/>
      <c r="IY156" s="15"/>
      <c r="IZ156" s="15"/>
      <c r="JA156" s="15"/>
      <c r="JB156" s="15"/>
      <c r="JC156" s="15"/>
      <c r="JD156" s="15"/>
      <c r="JE156" s="15"/>
      <c r="JF156" s="15"/>
      <c r="JG156" s="15"/>
      <c r="JH156" s="15"/>
      <c r="JI156" s="15"/>
      <c r="JJ156" s="15"/>
      <c r="JK156" s="15"/>
      <c r="JL156" s="15"/>
      <c r="JM156" s="15"/>
      <c r="JN156" s="15"/>
      <c r="JO156" s="15"/>
      <c r="JP156" s="15"/>
      <c r="JQ156" s="15"/>
      <c r="JR156" s="15"/>
      <c r="JS156" s="15"/>
      <c r="JT156" s="15"/>
      <c r="JU156" s="15"/>
      <c r="JV156" s="15"/>
      <c r="JW156" s="15"/>
      <c r="JX156" s="15"/>
      <c r="JY156" s="15"/>
      <c r="JZ156" s="15"/>
      <c r="KA156" s="15"/>
      <c r="KB156" s="15"/>
      <c r="KC156" s="15"/>
      <c r="KD156" s="15"/>
      <c r="KE156" s="15"/>
      <c r="KF156" s="15"/>
      <c r="KG156" s="15"/>
      <c r="KH156" s="15"/>
      <c r="KI156" s="15"/>
      <c r="KJ156" s="15"/>
      <c r="KK156" s="15"/>
      <c r="KL156" s="15"/>
      <c r="KM156" s="15"/>
      <c r="KN156" s="15"/>
      <c r="KO156" s="15"/>
      <c r="KP156" s="15"/>
      <c r="KQ156" s="15"/>
      <c r="KR156" s="15"/>
      <c r="KS156" s="15"/>
      <c r="KT156" s="15"/>
      <c r="KU156" s="15"/>
      <c r="KV156" s="15"/>
      <c r="KW156" s="15"/>
      <c r="KX156" s="15"/>
      <c r="KY156" s="15"/>
      <c r="KZ156" s="15"/>
      <c r="LA156" s="15"/>
      <c r="LB156" s="15"/>
      <c r="LC156" s="15"/>
      <c r="LD156" s="15"/>
      <c r="LE156" s="15"/>
      <c r="LF156" s="15"/>
      <c r="LG156" s="15"/>
      <c r="LH156" s="15"/>
      <c r="LI156" s="15"/>
      <c r="LJ156" s="15"/>
      <c r="LK156" s="15"/>
      <c r="LL156" s="15"/>
      <c r="LM156" s="15"/>
      <c r="LN156" s="15"/>
      <c r="LO156" s="15"/>
      <c r="LP156" s="15"/>
      <c r="LQ156" s="15"/>
      <c r="LR156" s="15"/>
      <c r="LS156" s="15"/>
      <c r="LT156" s="15"/>
      <c r="LU156" s="15"/>
      <c r="LV156" s="15"/>
      <c r="LW156" s="15"/>
      <c r="LX156" s="15"/>
      <c r="LY156" s="15"/>
      <c r="LZ156" s="15"/>
      <c r="MA156" s="15"/>
      <c r="MB156" s="15"/>
      <c r="MC156" s="15"/>
      <c r="MD156" s="15"/>
      <c r="ME156" s="15"/>
      <c r="MF156" s="15"/>
      <c r="MG156" s="15"/>
      <c r="MH156" s="15"/>
      <c r="MI156" s="15"/>
      <c r="MJ156" s="15"/>
      <c r="MK156" s="15"/>
      <c r="ML156" s="15"/>
      <c r="MM156" s="15"/>
      <c r="MN156" s="15"/>
      <c r="MO156" s="15"/>
      <c r="MP156" s="15"/>
      <c r="MQ156" s="15"/>
      <c r="MR156" s="15"/>
      <c r="MS156" s="15"/>
      <c r="MT156" s="15"/>
      <c r="MU156" s="15"/>
      <c r="MV156" s="15"/>
      <c r="MW156" s="15"/>
      <c r="MX156" s="15"/>
      <c r="MY156" s="15"/>
      <c r="MZ156" s="15"/>
      <c r="NA156" s="15"/>
      <c r="NB156" s="15"/>
      <c r="NC156" s="15"/>
      <c r="ND156" s="15"/>
      <c r="NE156" s="15"/>
      <c r="NF156" s="15"/>
      <c r="NG156" s="15"/>
      <c r="NH156" s="15"/>
      <c r="NI156" s="15"/>
      <c r="NJ156" s="15"/>
      <c r="NK156" s="15"/>
      <c r="NL156" s="15"/>
      <c r="NM156" s="15"/>
      <c r="NN156" s="15"/>
      <c r="NO156" s="15"/>
      <c r="NP156" s="15"/>
      <c r="NQ156" s="15"/>
      <c r="NR156" s="15"/>
      <c r="NS156" s="15"/>
      <c r="NT156" s="15"/>
      <c r="NU156" s="15"/>
      <c r="NV156" s="15"/>
      <c r="NW156" s="15"/>
      <c r="NX156" s="15"/>
      <c r="NY156" s="15"/>
      <c r="NZ156" s="15"/>
      <c r="OA156" s="15"/>
      <c r="OB156" s="15"/>
      <c r="OC156" s="15"/>
      <c r="OD156" s="15"/>
      <c r="OE156" s="15"/>
      <c r="OF156" s="15"/>
      <c r="OG156" s="15"/>
      <c r="OH156" s="15"/>
      <c r="OI156" s="15"/>
      <c r="OJ156" s="15"/>
      <c r="OK156" s="15"/>
      <c r="OL156" s="15"/>
      <c r="OM156" s="15"/>
      <c r="ON156" s="15"/>
      <c r="OO156" s="15"/>
      <c r="OP156" s="15"/>
      <c r="OQ156" s="15"/>
      <c r="OR156" s="15"/>
      <c r="OS156" s="15"/>
      <c r="OT156" s="15"/>
      <c r="OU156" s="15"/>
      <c r="OV156" s="15"/>
      <c r="OW156" s="15"/>
      <c r="OX156" s="15"/>
      <c r="OY156" s="15"/>
      <c r="OZ156" s="15"/>
      <c r="PA156" s="15"/>
      <c r="PB156" s="15"/>
      <c r="PC156" s="15"/>
      <c r="PD156" s="15"/>
      <c r="PE156" s="15"/>
      <c r="PF156" s="15"/>
      <c r="PG156" s="15"/>
      <c r="PH156" s="15"/>
      <c r="PI156" s="15"/>
      <c r="PJ156" s="15"/>
      <c r="PK156" s="15"/>
      <c r="PL156" s="15"/>
      <c r="PM156" s="15"/>
      <c r="PN156" s="15"/>
      <c r="PO156" s="15"/>
      <c r="PP156" s="15"/>
      <c r="PQ156" s="15"/>
      <c r="PR156" s="15"/>
      <c r="PS156" s="15"/>
      <c r="PT156" s="15"/>
      <c r="PU156" s="15"/>
      <c r="PV156" s="15"/>
      <c r="PW156" s="15"/>
      <c r="PX156" s="15"/>
      <c r="PY156" s="15"/>
      <c r="PZ156" s="15"/>
      <c r="QA156" s="15"/>
      <c r="QB156" s="15"/>
      <c r="QC156" s="15"/>
      <c r="QD156" s="15"/>
      <c r="QE156" s="15"/>
      <c r="QF156" s="15"/>
      <c r="QG156" s="15"/>
      <c r="QH156" s="15"/>
      <c r="QI156" s="15"/>
      <c r="QJ156" s="15"/>
      <c r="QK156" s="15"/>
      <c r="QL156" s="15"/>
      <c r="QM156" s="15"/>
      <c r="QN156" s="15"/>
      <c r="QO156" s="15"/>
      <c r="QP156" s="15"/>
      <c r="QQ156" s="15"/>
      <c r="QR156" s="15"/>
      <c r="QS156" s="15"/>
      <c r="QT156" s="15"/>
      <c r="QU156" s="15"/>
      <c r="QV156" s="15"/>
      <c r="QW156" s="15"/>
      <c r="QX156" s="15"/>
      <c r="QY156" s="15"/>
      <c r="QZ156" s="15"/>
      <c r="RA156" s="15"/>
      <c r="RB156" s="15"/>
      <c r="RC156" s="15"/>
      <c r="RD156" s="15"/>
      <c r="RE156" s="15"/>
      <c r="RF156" s="15"/>
      <c r="RG156" s="15"/>
      <c r="RH156" s="15"/>
      <c r="RI156" s="15"/>
      <c r="RJ156" s="15"/>
      <c r="RK156" s="15"/>
      <c r="RL156" s="15"/>
      <c r="RM156" s="15"/>
      <c r="RN156" s="15"/>
      <c r="RO156" s="15"/>
      <c r="RP156" s="15"/>
      <c r="RQ156" s="15"/>
      <c r="RR156" s="15"/>
      <c r="RS156" s="15"/>
      <c r="RT156" s="15"/>
      <c r="RU156" s="15"/>
      <c r="RV156" s="15"/>
      <c r="RW156" s="15"/>
      <c r="RX156" s="15"/>
      <c r="RY156" s="15"/>
      <c r="RZ156" s="15"/>
      <c r="SA156" s="15"/>
      <c r="SB156" s="15"/>
      <c r="SC156" s="15"/>
      <c r="SD156" s="15"/>
      <c r="SE156" s="15"/>
      <c r="SF156" s="15"/>
      <c r="SG156" s="15"/>
      <c r="SH156" s="15"/>
      <c r="SI156" s="15"/>
      <c r="SJ156" s="15"/>
      <c r="SK156" s="15"/>
      <c r="SL156" s="15"/>
      <c r="SM156" s="15"/>
      <c r="SN156" s="15"/>
      <c r="SO156" s="15"/>
      <c r="SP156" s="15"/>
      <c r="SQ156" s="15"/>
      <c r="SR156" s="15"/>
      <c r="SS156" s="15"/>
      <c r="ST156" s="15"/>
      <c r="SU156" s="15"/>
      <c r="SV156" s="15"/>
      <c r="SW156" s="15"/>
      <c r="SX156" s="15"/>
      <c r="SY156" s="15"/>
      <c r="SZ156" s="15"/>
      <c r="TA156" s="15"/>
      <c r="TB156" s="15"/>
      <c r="TC156" s="15"/>
      <c r="TD156" s="15"/>
      <c r="TE156" s="15"/>
      <c r="TF156" s="15"/>
      <c r="TG156" s="15"/>
      <c r="TH156" s="15"/>
      <c r="TI156" s="15"/>
      <c r="TJ156" s="15"/>
      <c r="TK156" s="15"/>
      <c r="TL156" s="15"/>
      <c r="TM156" s="15"/>
      <c r="TN156" s="15"/>
      <c r="TO156" s="15"/>
      <c r="TP156" s="15"/>
      <c r="TQ156" s="15"/>
      <c r="TR156" s="15"/>
      <c r="TS156" s="15"/>
      <c r="TT156" s="15"/>
      <c r="TU156" s="15"/>
      <c r="TV156" s="15"/>
      <c r="TW156" s="15"/>
      <c r="TX156" s="15"/>
      <c r="TY156" s="15"/>
      <c r="TZ156" s="15"/>
      <c r="UA156" s="15"/>
      <c r="UB156" s="15"/>
      <c r="UC156" s="15"/>
      <c r="UD156" s="15"/>
      <c r="UE156" s="15"/>
      <c r="UF156" s="15"/>
      <c r="UG156" s="15"/>
      <c r="UH156" s="15"/>
      <c r="UI156" s="15"/>
      <c r="UJ156" s="15"/>
      <c r="UK156" s="15"/>
      <c r="UL156" s="15"/>
      <c r="UM156" s="15"/>
      <c r="UN156" s="15"/>
      <c r="UO156" s="15"/>
      <c r="UP156" s="15"/>
      <c r="UQ156" s="15"/>
      <c r="UR156" s="15"/>
      <c r="US156" s="15"/>
      <c r="UT156" s="15"/>
      <c r="UU156" s="15"/>
      <c r="UV156" s="15"/>
      <c r="UW156" s="15"/>
      <c r="UX156" s="15"/>
      <c r="UY156" s="15"/>
      <c r="UZ156" s="15"/>
      <c r="VA156" s="15"/>
      <c r="VB156" s="15"/>
      <c r="VC156" s="15"/>
      <c r="VD156" s="15"/>
      <c r="VE156" s="15"/>
      <c r="VF156" s="15"/>
      <c r="VG156" s="15"/>
      <c r="VH156" s="15"/>
      <c r="VI156" s="15"/>
      <c r="VJ156" s="15"/>
      <c r="VK156" s="15"/>
      <c r="VL156" s="15"/>
      <c r="VM156" s="15"/>
      <c r="VN156" s="15"/>
      <c r="VO156" s="15"/>
      <c r="VP156" s="15"/>
      <c r="VQ156" s="15"/>
      <c r="VR156" s="15"/>
      <c r="VS156" s="15"/>
      <c r="VT156" s="15"/>
      <c r="VU156" s="15"/>
      <c r="VV156" s="15"/>
      <c r="VW156" s="15"/>
      <c r="VX156" s="15"/>
      <c r="VY156" s="15"/>
      <c r="VZ156" s="15"/>
      <c r="WA156" s="15"/>
      <c r="WB156" s="15"/>
      <c r="WC156" s="15"/>
      <c r="WD156" s="15"/>
      <c r="WE156" s="15"/>
      <c r="WF156" s="15"/>
      <c r="WG156" s="15"/>
      <c r="WH156" s="15"/>
      <c r="WI156" s="15"/>
      <c r="WJ156" s="15"/>
      <c r="WK156" s="15"/>
      <c r="WL156" s="15"/>
      <c r="WM156" s="15"/>
      <c r="WN156" s="15"/>
      <c r="WO156" s="15"/>
      <c r="WP156" s="15"/>
      <c r="WQ156" s="15"/>
      <c r="WR156" s="15"/>
      <c r="WS156" s="15"/>
      <c r="WT156" s="15"/>
      <c r="WU156" s="15"/>
      <c r="WV156" s="15"/>
      <c r="WW156" s="15"/>
      <c r="WX156" s="15"/>
      <c r="WY156" s="15"/>
      <c r="WZ156" s="15"/>
      <c r="XA156" s="15"/>
      <c r="XB156" s="15"/>
      <c r="XC156" s="15"/>
      <c r="XD156" s="15"/>
      <c r="XE156" s="15"/>
      <c r="XF156" s="15"/>
      <c r="XG156" s="15"/>
      <c r="XH156" s="15"/>
      <c r="XI156" s="15"/>
      <c r="XJ156" s="15"/>
      <c r="XK156" s="15"/>
      <c r="XL156" s="15"/>
      <c r="XM156" s="15"/>
      <c r="XN156" s="15"/>
      <c r="XO156" s="15"/>
      <c r="XP156" s="15"/>
      <c r="XQ156" s="15"/>
      <c r="XR156" s="15"/>
      <c r="XS156" s="15"/>
      <c r="XT156" s="15"/>
      <c r="XU156" s="15"/>
      <c r="XV156" s="15"/>
      <c r="XW156" s="15"/>
      <c r="XX156" s="15"/>
      <c r="XY156" s="15"/>
      <c r="XZ156" s="15"/>
      <c r="YA156" s="15"/>
      <c r="YB156" s="15"/>
      <c r="YC156" s="15"/>
      <c r="YD156" s="15"/>
      <c r="YE156" s="15"/>
      <c r="YF156" s="15"/>
      <c r="YG156" s="15"/>
      <c r="YH156" s="15"/>
      <c r="YI156" s="15"/>
      <c r="YJ156" s="15"/>
      <c r="YK156" s="15"/>
      <c r="YL156" s="15"/>
      <c r="YM156" s="15"/>
      <c r="YN156" s="15"/>
      <c r="YO156" s="15"/>
      <c r="YP156" s="15"/>
      <c r="YQ156" s="15"/>
      <c r="YR156" s="15"/>
      <c r="YS156" s="15"/>
      <c r="YT156" s="15"/>
      <c r="YU156" s="15"/>
      <c r="YV156" s="15"/>
      <c r="YW156" s="15"/>
      <c r="YX156" s="15"/>
      <c r="YY156" s="15"/>
      <c r="YZ156" s="15"/>
      <c r="ZA156" s="15"/>
      <c r="ZB156" s="15"/>
      <c r="ZC156" s="15"/>
      <c r="ZD156" s="15"/>
      <c r="ZE156" s="15"/>
      <c r="ZF156" s="15"/>
      <c r="ZG156" s="15"/>
      <c r="ZH156" s="15"/>
      <c r="ZI156" s="15"/>
      <c r="ZJ156" s="15"/>
      <c r="ZK156" s="15"/>
      <c r="ZL156" s="15"/>
      <c r="ZM156" s="15"/>
      <c r="ZN156" s="15"/>
      <c r="ZO156" s="15"/>
      <c r="ZP156" s="15"/>
      <c r="ZQ156" s="15"/>
      <c r="ZR156" s="15"/>
      <c r="ZS156" s="15"/>
      <c r="ZT156" s="15"/>
      <c r="ZU156" s="15"/>
      <c r="ZV156" s="15"/>
      <c r="ZW156" s="15"/>
      <c r="ZX156" s="15"/>
      <c r="ZY156" s="15"/>
      <c r="ZZ156" s="15"/>
      <c r="AAA156" s="15"/>
      <c r="AAB156" s="15"/>
      <c r="AAC156" s="15"/>
      <c r="AAD156" s="15"/>
      <c r="AAE156" s="15"/>
      <c r="AAF156" s="15"/>
      <c r="AAG156" s="15"/>
      <c r="AAH156" s="15"/>
      <c r="AAI156" s="15"/>
      <c r="AAJ156" s="15"/>
      <c r="AAK156" s="15"/>
      <c r="AAL156" s="15"/>
      <c r="AAM156" s="15"/>
      <c r="AAN156" s="15"/>
      <c r="AAO156" s="15"/>
      <c r="AAP156" s="15"/>
      <c r="AAQ156" s="15"/>
      <c r="AAR156" s="15"/>
      <c r="AAS156" s="15"/>
      <c r="AAT156" s="15"/>
      <c r="AAU156" s="15"/>
      <c r="AAV156" s="15"/>
      <c r="AAW156" s="15"/>
      <c r="AAX156" s="15"/>
      <c r="AAY156" s="15"/>
      <c r="AAZ156" s="15"/>
      <c r="ABA156" s="15"/>
      <c r="ABB156" s="15"/>
      <c r="ABC156" s="15"/>
      <c r="ABD156" s="15"/>
      <c r="ABE156" s="15"/>
      <c r="ABF156" s="15"/>
      <c r="ABG156" s="15"/>
      <c r="ABH156" s="15"/>
      <c r="ABI156" s="15"/>
      <c r="ABJ156" s="15"/>
      <c r="ABK156" s="15"/>
      <c r="ABL156" s="15"/>
      <c r="ABM156" s="15"/>
      <c r="ABN156" s="15"/>
      <c r="ABO156" s="15"/>
      <c r="ABP156" s="15"/>
      <c r="ABQ156" s="15"/>
      <c r="ABR156" s="15"/>
      <c r="ABS156" s="15"/>
      <c r="ABT156" s="15"/>
      <c r="ABU156" s="15"/>
      <c r="ABV156" s="15"/>
      <c r="ABW156" s="15"/>
      <c r="ABX156" s="15"/>
      <c r="ABY156" s="15"/>
      <c r="ABZ156" s="15"/>
      <c r="ACA156" s="15"/>
      <c r="ACB156" s="15"/>
      <c r="ACC156" s="15"/>
      <c r="ACD156" s="15"/>
      <c r="ACE156" s="15"/>
      <c r="ACF156" s="15"/>
      <c r="ACG156" s="15"/>
      <c r="ACH156" s="15"/>
      <c r="ACI156" s="15"/>
      <c r="ACJ156" s="15"/>
      <c r="ACK156" s="15"/>
      <c r="ACL156" s="15"/>
      <c r="ACM156" s="15"/>
      <c r="ACN156" s="15"/>
      <c r="ACO156" s="15"/>
      <c r="ACP156" s="15"/>
      <c r="ACQ156" s="15"/>
      <c r="ACR156" s="15"/>
      <c r="ACS156" s="15"/>
      <c r="ACT156" s="15"/>
      <c r="ACU156" s="15"/>
      <c r="ACV156" s="15"/>
      <c r="ACW156" s="15"/>
      <c r="ACX156" s="15"/>
      <c r="ACY156" s="15"/>
      <c r="ACZ156" s="15"/>
      <c r="ADA156" s="15"/>
      <c r="ADB156" s="15"/>
      <c r="ADC156" s="15"/>
      <c r="ADD156" s="15"/>
      <c r="ADE156" s="15"/>
      <c r="ADF156" s="15"/>
      <c r="ADG156" s="15"/>
      <c r="ADH156" s="15"/>
      <c r="ADI156" s="15"/>
      <c r="ADJ156" s="15"/>
      <c r="ADK156" s="15"/>
      <c r="ADL156" s="15"/>
      <c r="ADM156" s="15"/>
      <c r="ADN156" s="15"/>
      <c r="ADO156" s="15"/>
      <c r="ADP156" s="15"/>
      <c r="ADQ156" s="15"/>
      <c r="ADR156" s="15"/>
      <c r="ADS156" s="15"/>
      <c r="ADT156" s="15"/>
      <c r="ADU156" s="15"/>
      <c r="ADV156" s="15"/>
      <c r="ADW156" s="15"/>
      <c r="ADX156" s="15"/>
      <c r="ADY156" s="15"/>
      <c r="ADZ156" s="15"/>
      <c r="AEA156" s="15"/>
      <c r="AEB156" s="15"/>
      <c r="AEC156" s="15"/>
      <c r="AED156" s="15"/>
      <c r="AEE156" s="15"/>
      <c r="AEF156" s="15"/>
      <c r="AEG156" s="15"/>
      <c r="AEH156" s="15"/>
      <c r="AEI156" s="15"/>
      <c r="AEJ156" s="15"/>
      <c r="AEK156" s="15"/>
      <c r="AEL156" s="15"/>
      <c r="AEM156" s="15"/>
      <c r="AEN156" s="15"/>
      <c r="AEO156" s="15"/>
      <c r="AEP156" s="15"/>
      <c r="AEQ156" s="15"/>
      <c r="AER156" s="15"/>
      <c r="AES156" s="15"/>
      <c r="AET156" s="15"/>
      <c r="AEU156" s="15"/>
      <c r="AEV156" s="15"/>
      <c r="AEW156" s="15"/>
      <c r="AEX156" s="15"/>
      <c r="AEY156" s="15"/>
      <c r="AEZ156" s="15"/>
      <c r="AFA156" s="15"/>
      <c r="AFB156" s="15"/>
      <c r="AFC156" s="15"/>
      <c r="AFD156" s="15"/>
      <c r="AFE156" s="15"/>
      <c r="AFF156" s="15"/>
      <c r="AFG156" s="15"/>
      <c r="AFH156" s="15"/>
      <c r="AFI156" s="15"/>
      <c r="AFJ156" s="15"/>
      <c r="AFK156" s="15"/>
      <c r="AFL156" s="15"/>
      <c r="AFM156" s="15"/>
      <c r="AFN156" s="15"/>
      <c r="AFO156" s="15"/>
      <c r="AFP156" s="15"/>
      <c r="AFQ156" s="15"/>
      <c r="AFR156" s="15"/>
      <c r="AFS156" s="15"/>
      <c r="AFT156" s="15"/>
      <c r="AFU156" s="15"/>
      <c r="AFV156" s="15"/>
      <c r="AFW156" s="15"/>
      <c r="AFX156" s="15"/>
      <c r="AFY156" s="15"/>
      <c r="AFZ156" s="15"/>
      <c r="AGA156" s="15"/>
      <c r="AGB156" s="15"/>
      <c r="AGC156" s="15"/>
      <c r="AGD156" s="15"/>
      <c r="AGE156" s="15"/>
      <c r="AGF156" s="15"/>
      <c r="AGG156" s="15"/>
      <c r="AGH156" s="15"/>
      <c r="AGI156" s="15"/>
      <c r="AGJ156" s="15"/>
      <c r="AGK156" s="15"/>
      <c r="AGL156" s="15"/>
      <c r="AGM156" s="15"/>
      <c r="AGN156" s="15"/>
      <c r="AGO156" s="15"/>
      <c r="AGP156" s="15"/>
      <c r="AGQ156" s="15"/>
      <c r="AGR156" s="15"/>
      <c r="AGS156" s="15"/>
      <c r="AGT156" s="15"/>
      <c r="AGU156" s="15"/>
      <c r="AGV156" s="15"/>
      <c r="AGW156" s="15"/>
      <c r="AGX156" s="15"/>
      <c r="AGY156" s="15"/>
      <c r="AGZ156" s="15"/>
      <c r="AHA156" s="15"/>
      <c r="AHB156" s="15"/>
      <c r="AHC156" s="15"/>
      <c r="AHD156" s="15"/>
      <c r="AHE156" s="15"/>
      <c r="AHF156" s="15"/>
      <c r="AHG156" s="15"/>
      <c r="AHH156" s="15"/>
      <c r="AHI156" s="15"/>
      <c r="AHJ156" s="15"/>
      <c r="AHK156" s="15"/>
      <c r="AHL156" s="15"/>
      <c r="AHM156" s="15"/>
      <c r="AHN156" s="15"/>
      <c r="AHO156" s="15"/>
      <c r="AHP156" s="15"/>
      <c r="AHQ156" s="15"/>
      <c r="AHR156" s="15"/>
      <c r="AHS156" s="15"/>
      <c r="AHT156" s="15"/>
      <c r="AHU156" s="15"/>
      <c r="AHV156" s="15"/>
      <c r="AHW156" s="15"/>
      <c r="AHX156" s="15"/>
      <c r="AHY156" s="15"/>
      <c r="AHZ156" s="15"/>
      <c r="AIA156" s="15"/>
      <c r="AIB156" s="15"/>
      <c r="AIC156" s="15"/>
      <c r="AID156" s="15"/>
      <c r="AIE156" s="15"/>
      <c r="AIF156" s="15"/>
      <c r="AIG156" s="15"/>
      <c r="AIH156" s="15"/>
      <c r="AII156" s="15"/>
      <c r="AIJ156" s="15"/>
      <c r="AIK156" s="15"/>
      <c r="AIL156" s="15"/>
      <c r="AIM156" s="15"/>
      <c r="AIN156" s="15"/>
      <c r="AIO156" s="15"/>
      <c r="AIP156" s="15"/>
      <c r="AIQ156" s="15"/>
      <c r="AIR156" s="15"/>
      <c r="AIS156" s="15"/>
      <c r="AIT156" s="15"/>
      <c r="AIU156" s="15"/>
      <c r="AIV156" s="15"/>
      <c r="AIW156" s="15"/>
      <c r="AIX156" s="15"/>
      <c r="AIY156" s="15"/>
      <c r="AIZ156" s="15"/>
      <c r="AJA156" s="15"/>
      <c r="AJB156" s="15"/>
      <c r="AJC156" s="15"/>
      <c r="AJD156" s="15"/>
      <c r="AJE156" s="15"/>
      <c r="AJF156" s="15"/>
      <c r="AJG156" s="15"/>
      <c r="AJH156" s="15"/>
      <c r="AJI156" s="15"/>
      <c r="AJJ156" s="15"/>
      <c r="AJK156" s="15"/>
      <c r="AJL156" s="15"/>
      <c r="AJM156" s="15"/>
      <c r="AJN156" s="15"/>
      <c r="AJO156" s="15"/>
      <c r="AJP156" s="15"/>
      <c r="AJQ156" s="15"/>
      <c r="AJR156" s="15"/>
      <c r="AJS156" s="15"/>
      <c r="AJT156" s="15"/>
      <c r="AJU156" s="15"/>
      <c r="AJV156" s="15"/>
      <c r="AJW156" s="15"/>
      <c r="AJX156" s="15"/>
      <c r="AJY156" s="15"/>
      <c r="AJZ156" s="15"/>
      <c r="AKA156" s="15"/>
      <c r="AKB156" s="15"/>
      <c r="AKC156" s="15"/>
      <c r="AKD156" s="15"/>
      <c r="AKE156" s="15"/>
      <c r="AKF156" s="15"/>
      <c r="AKG156" s="15"/>
      <c r="AKH156" s="15"/>
      <c r="AKI156" s="15"/>
      <c r="AKJ156" s="15"/>
      <c r="AKK156" s="15"/>
      <c r="AKL156" s="15"/>
      <c r="AKM156" s="15"/>
      <c r="AKN156" s="15"/>
      <c r="AKO156" s="15"/>
      <c r="AKP156" s="15"/>
      <c r="AKQ156" s="15"/>
      <c r="AKR156" s="15"/>
      <c r="AKS156" s="15"/>
      <c r="AKT156" s="15"/>
      <c r="AKU156" s="15"/>
      <c r="AKV156" s="15"/>
      <c r="AKW156" s="15"/>
      <c r="AKX156" s="15"/>
      <c r="AKY156" s="15"/>
      <c r="AKZ156" s="15"/>
      <c r="ALA156" s="15"/>
      <c r="ALB156" s="15"/>
      <c r="ALC156" s="15"/>
      <c r="ALD156" s="15"/>
      <c r="ALE156" s="15"/>
      <c r="ALF156" s="15"/>
      <c r="ALG156" s="15"/>
      <c r="ALH156" s="15"/>
      <c r="ALI156" s="15"/>
      <c r="ALJ156" s="15"/>
      <c r="ALK156" s="15"/>
      <c r="ALL156" s="15"/>
      <c r="ALM156" s="15"/>
      <c r="ALN156" s="15"/>
      <c r="ALO156" s="15"/>
      <c r="ALP156" s="15"/>
      <c r="ALQ156" s="15"/>
      <c r="ALR156" s="15"/>
      <c r="ALS156" s="15"/>
      <c r="ALT156" s="15"/>
      <c r="ALU156" s="15"/>
      <c r="ALV156" s="15"/>
      <c r="ALW156" s="15"/>
      <c r="ALX156" s="15"/>
      <c r="ALY156" s="15"/>
      <c r="ALZ156" s="15"/>
      <c r="AMA156" s="15"/>
      <c r="AMB156" s="15"/>
      <c r="AMC156" s="15"/>
      <c r="AMD156" s="15"/>
      <c r="AME156" s="15"/>
      <c r="AMF156" s="15"/>
      <c r="AMG156" s="15"/>
      <c r="AMH156" s="15"/>
      <c r="AMI156" s="15"/>
      <c r="AMJ156" s="15"/>
      <c r="AMK156" s="15"/>
      <c r="AML156" s="15"/>
      <c r="AMM156" s="15"/>
      <c r="AMN156" s="15"/>
      <c r="AMO156" s="15"/>
      <c r="AMP156" s="15"/>
      <c r="AMQ156" s="15"/>
      <c r="AMR156" s="15"/>
      <c r="AMS156" s="15"/>
      <c r="AMT156" s="15"/>
      <c r="AMU156" s="15"/>
      <c r="AMV156" s="15"/>
      <c r="AMW156" s="15"/>
      <c r="AMX156" s="15"/>
      <c r="AMY156" s="15"/>
      <c r="AMZ156" s="15"/>
      <c r="ANA156" s="15"/>
      <c r="ANB156" s="15"/>
      <c r="ANC156" s="15"/>
      <c r="AND156" s="15"/>
      <c r="ANE156" s="15"/>
      <c r="ANF156" s="15"/>
      <c r="ANG156" s="15"/>
      <c r="ANH156" s="15"/>
      <c r="ANI156" s="15"/>
      <c r="ANJ156" s="15"/>
      <c r="ANK156" s="15"/>
      <c r="ANL156" s="15"/>
      <c r="ANM156" s="15"/>
      <c r="ANN156" s="15"/>
      <c r="ANO156" s="15"/>
      <c r="ANP156" s="15"/>
      <c r="ANQ156" s="15"/>
      <c r="ANR156" s="15"/>
      <c r="ANS156" s="15"/>
      <c r="ANT156" s="15"/>
      <c r="ANU156" s="15"/>
      <c r="ANV156" s="15"/>
      <c r="ANW156" s="15"/>
      <c r="ANX156" s="15"/>
      <c r="ANY156" s="15"/>
      <c r="ANZ156" s="15"/>
      <c r="AOA156" s="15"/>
      <c r="AOB156" s="15"/>
      <c r="AOC156" s="15"/>
      <c r="AOD156" s="15"/>
      <c r="AOE156" s="15"/>
      <c r="AOF156" s="15"/>
      <c r="AOG156" s="15"/>
      <c r="AOH156" s="15"/>
      <c r="AOI156" s="15"/>
      <c r="AOJ156" s="15"/>
      <c r="AOK156" s="15"/>
      <c r="AOL156" s="15"/>
      <c r="AOM156" s="15"/>
      <c r="AON156" s="15"/>
      <c r="AOO156" s="15"/>
      <c r="AOP156" s="15"/>
      <c r="AOQ156" s="15"/>
      <c r="AOR156" s="15"/>
      <c r="AOS156" s="15"/>
      <c r="AOT156" s="15"/>
      <c r="AOU156" s="15"/>
      <c r="AOV156" s="15"/>
      <c r="AOW156" s="15"/>
      <c r="AOX156" s="15"/>
      <c r="AOY156" s="15"/>
      <c r="AOZ156" s="15"/>
      <c r="APA156" s="15"/>
      <c r="APB156" s="15"/>
      <c r="APC156" s="15"/>
      <c r="APD156" s="15"/>
      <c r="APE156" s="15"/>
      <c r="APF156" s="15"/>
      <c r="APG156" s="15"/>
      <c r="APH156" s="15"/>
      <c r="API156" s="15"/>
      <c r="APJ156" s="15"/>
      <c r="APK156" s="15"/>
      <c r="APL156" s="15"/>
      <c r="APM156" s="15"/>
      <c r="APN156" s="15"/>
      <c r="APO156" s="15"/>
      <c r="APP156" s="15"/>
      <c r="APQ156" s="15"/>
      <c r="APR156" s="15"/>
      <c r="APS156" s="15"/>
      <c r="APT156" s="15"/>
      <c r="APU156" s="15"/>
      <c r="APV156" s="15"/>
      <c r="APW156" s="15"/>
      <c r="APX156" s="15"/>
      <c r="APY156" s="15"/>
      <c r="APZ156" s="15"/>
      <c r="AQA156" s="15"/>
      <c r="AQB156" s="15"/>
      <c r="AQC156" s="15"/>
      <c r="AQD156" s="15"/>
      <c r="AQE156" s="15"/>
      <c r="AQF156" s="15"/>
      <c r="AQG156" s="15"/>
      <c r="AQH156" s="15"/>
      <c r="AQI156" s="15"/>
      <c r="AQJ156" s="15"/>
      <c r="AQK156" s="15"/>
      <c r="AQL156" s="15"/>
      <c r="AQM156" s="15"/>
      <c r="AQN156" s="15"/>
      <c r="AQO156" s="15"/>
      <c r="AQP156" s="15"/>
      <c r="AQQ156" s="15"/>
      <c r="AQR156" s="15"/>
      <c r="AQS156" s="15"/>
      <c r="AQT156" s="15"/>
      <c r="AQU156" s="15"/>
      <c r="AQV156" s="15"/>
      <c r="AQW156" s="15"/>
      <c r="AQX156" s="15"/>
      <c r="AQY156" s="15"/>
      <c r="AQZ156" s="15"/>
      <c r="ARA156" s="15"/>
      <c r="ARB156" s="15"/>
      <c r="ARC156" s="15"/>
      <c r="ARD156" s="15"/>
      <c r="ARE156" s="15"/>
      <c r="ARF156" s="15"/>
      <c r="ARG156" s="15"/>
      <c r="ARH156" s="15"/>
      <c r="ARI156" s="15"/>
      <c r="ARJ156" s="15"/>
      <c r="ARK156" s="15"/>
      <c r="ARL156" s="15"/>
      <c r="ARM156" s="15"/>
      <c r="ARN156" s="15"/>
      <c r="ARO156" s="15"/>
      <c r="ARP156" s="15"/>
      <c r="ARQ156" s="15"/>
      <c r="ARR156" s="15"/>
      <c r="ARS156" s="15"/>
      <c r="ART156" s="15"/>
      <c r="ARU156" s="15"/>
      <c r="ARV156" s="15"/>
      <c r="ARW156" s="15"/>
      <c r="ARX156" s="15"/>
      <c r="ARY156" s="15"/>
      <c r="ARZ156" s="15"/>
      <c r="ASA156" s="15"/>
      <c r="ASB156" s="15"/>
      <c r="ASC156" s="15"/>
      <c r="ASD156" s="15"/>
      <c r="ASE156" s="15"/>
      <c r="ASF156" s="15"/>
      <c r="ASG156" s="15"/>
      <c r="ASH156" s="15"/>
      <c r="ASI156" s="15"/>
      <c r="ASJ156" s="15"/>
      <c r="ASK156" s="15"/>
      <c r="ASL156" s="15"/>
      <c r="ASM156" s="15"/>
      <c r="ASN156" s="15"/>
      <c r="ASO156" s="15"/>
      <c r="ASP156" s="15"/>
      <c r="ASQ156" s="15"/>
      <c r="ASR156" s="15"/>
      <c r="ASS156" s="15"/>
      <c r="AST156" s="15"/>
      <c r="ASU156" s="15"/>
      <c r="ASV156" s="15"/>
      <c r="ASW156" s="15"/>
      <c r="ASX156" s="15"/>
      <c r="ASY156" s="15"/>
      <c r="ASZ156" s="15"/>
      <c r="ATA156" s="15"/>
      <c r="ATB156" s="15"/>
      <c r="ATC156" s="15"/>
      <c r="ATD156" s="15"/>
      <c r="ATE156" s="15"/>
      <c r="ATF156" s="15"/>
      <c r="ATG156" s="15"/>
      <c r="ATH156" s="15"/>
      <c r="ATI156" s="15"/>
      <c r="ATJ156" s="15"/>
      <c r="ATK156" s="15"/>
      <c r="ATL156" s="15"/>
      <c r="ATM156" s="15"/>
      <c r="ATN156" s="15"/>
      <c r="ATO156" s="15"/>
      <c r="ATP156" s="15"/>
      <c r="ATQ156" s="15"/>
      <c r="ATR156" s="15"/>
      <c r="ATS156" s="15"/>
      <c r="ATT156" s="15"/>
      <c r="ATU156" s="15"/>
      <c r="ATV156" s="15"/>
      <c r="ATW156" s="15"/>
      <c r="ATX156" s="15"/>
      <c r="ATY156" s="15"/>
      <c r="ATZ156" s="15"/>
      <c r="AUA156" s="15"/>
      <c r="AUB156" s="15"/>
      <c r="AUC156" s="15"/>
      <c r="AUD156" s="15"/>
      <c r="AUE156" s="15"/>
      <c r="AUF156" s="15"/>
      <c r="AUG156" s="15"/>
      <c r="AUH156" s="15"/>
      <c r="AUI156" s="15"/>
      <c r="AUJ156" s="15"/>
      <c r="AUK156" s="15"/>
      <c r="AUL156" s="15"/>
      <c r="AUM156" s="15"/>
      <c r="AUN156" s="15"/>
      <c r="AUO156" s="15"/>
      <c r="AUP156" s="15"/>
      <c r="AUQ156" s="15"/>
      <c r="AUR156" s="15"/>
      <c r="AUS156" s="15"/>
      <c r="AUT156" s="15"/>
      <c r="AUU156" s="15"/>
      <c r="AUV156" s="15"/>
      <c r="AUW156" s="15"/>
      <c r="AUX156" s="15"/>
      <c r="AUY156" s="15"/>
      <c r="AUZ156" s="15"/>
      <c r="AVA156" s="15"/>
      <c r="AVB156" s="15"/>
      <c r="AVC156" s="15"/>
      <c r="AVD156" s="15"/>
      <c r="AVE156" s="15"/>
      <c r="AVF156" s="15"/>
      <c r="AVG156" s="15"/>
      <c r="AVH156" s="15"/>
      <c r="AVI156" s="15"/>
      <c r="AVJ156" s="15"/>
      <c r="AVK156" s="15"/>
      <c r="AVL156" s="15"/>
      <c r="AVM156" s="15"/>
      <c r="AVN156" s="15"/>
      <c r="AVO156" s="15"/>
      <c r="AVP156" s="15"/>
      <c r="AVQ156" s="15"/>
      <c r="AVR156" s="15"/>
      <c r="AVS156" s="15"/>
      <c r="AVT156" s="15"/>
      <c r="AVU156" s="15"/>
      <c r="AVV156" s="15"/>
      <c r="AVW156" s="15"/>
      <c r="AVX156" s="15"/>
      <c r="AVY156" s="15"/>
      <c r="AVZ156" s="15"/>
      <c r="AWA156" s="15"/>
      <c r="AWB156" s="15"/>
      <c r="AWC156" s="15"/>
      <c r="AWD156" s="15"/>
      <c r="AWE156" s="15"/>
      <c r="AWF156" s="15"/>
      <c r="AWG156" s="15"/>
      <c r="AWH156" s="15"/>
      <c r="AWI156" s="15"/>
      <c r="AWJ156" s="15"/>
      <c r="AWK156" s="15"/>
      <c r="AWL156" s="15"/>
      <c r="AWM156" s="15"/>
      <c r="AWN156" s="15"/>
      <c r="AWO156" s="15"/>
      <c r="AWP156" s="15"/>
      <c r="AWQ156" s="15"/>
      <c r="AWR156" s="15"/>
      <c r="AWS156" s="15"/>
      <c r="AWT156" s="15"/>
      <c r="AWU156" s="15"/>
      <c r="AWV156" s="15"/>
      <c r="AWW156" s="15"/>
      <c r="AWX156" s="15"/>
      <c r="AWY156" s="15"/>
      <c r="AWZ156" s="15"/>
      <c r="AXA156" s="15"/>
      <c r="AXB156" s="15"/>
      <c r="AXC156" s="15"/>
      <c r="AXD156" s="15"/>
      <c r="AXE156" s="15"/>
      <c r="AXF156" s="15"/>
      <c r="AXG156" s="15"/>
      <c r="AXH156" s="15"/>
      <c r="AXI156" s="15"/>
      <c r="AXJ156" s="15"/>
      <c r="AXK156" s="15"/>
      <c r="AXL156" s="15"/>
      <c r="AXM156" s="15"/>
      <c r="AXN156" s="15"/>
      <c r="AXO156" s="15"/>
      <c r="AXP156" s="15"/>
      <c r="AXQ156" s="15"/>
      <c r="AXR156" s="15"/>
      <c r="AXS156" s="15"/>
      <c r="AXT156" s="15"/>
      <c r="AXU156" s="15"/>
      <c r="AXV156" s="15"/>
      <c r="AXW156" s="15"/>
      <c r="AXX156" s="15"/>
      <c r="AXY156" s="15"/>
      <c r="AXZ156" s="15"/>
      <c r="AYA156" s="15"/>
      <c r="AYB156" s="15"/>
      <c r="AYC156" s="15"/>
      <c r="AYD156" s="15"/>
      <c r="AYE156" s="15"/>
      <c r="AYF156" s="15"/>
      <c r="AYG156" s="15"/>
      <c r="AYH156" s="15"/>
      <c r="AYI156" s="15"/>
      <c r="AYJ156" s="15"/>
      <c r="AYK156" s="15"/>
      <c r="AYL156" s="15"/>
      <c r="AYM156" s="15"/>
      <c r="AYN156" s="15"/>
      <c r="AYO156" s="15"/>
      <c r="AYP156" s="15"/>
      <c r="AYQ156" s="15"/>
      <c r="AYR156" s="15"/>
      <c r="AYS156" s="15"/>
      <c r="AYT156" s="15"/>
      <c r="AYU156" s="15"/>
      <c r="AYV156" s="15"/>
      <c r="AYW156" s="15"/>
      <c r="AYX156" s="15"/>
      <c r="AYY156" s="15"/>
      <c r="AYZ156" s="15"/>
      <c r="AZA156" s="15"/>
      <c r="AZB156" s="15"/>
      <c r="AZC156" s="15"/>
      <c r="AZD156" s="15"/>
      <c r="AZE156" s="15"/>
      <c r="AZF156" s="15"/>
      <c r="AZG156" s="15"/>
      <c r="AZH156" s="15"/>
      <c r="AZI156" s="15"/>
      <c r="AZJ156" s="15"/>
      <c r="AZK156" s="15"/>
      <c r="AZL156" s="15"/>
      <c r="AZM156" s="15"/>
      <c r="AZN156" s="15"/>
      <c r="AZO156" s="15"/>
      <c r="AZP156" s="15"/>
      <c r="AZQ156" s="15"/>
      <c r="AZR156" s="15"/>
      <c r="AZS156" s="15"/>
      <c r="AZT156" s="15"/>
      <c r="AZU156" s="15"/>
      <c r="AZV156" s="15"/>
      <c r="AZW156" s="15"/>
      <c r="AZX156" s="15"/>
      <c r="AZY156" s="15"/>
      <c r="AZZ156" s="15"/>
      <c r="BAA156" s="15"/>
      <c r="BAB156" s="15"/>
      <c r="BAC156" s="15"/>
      <c r="BAD156" s="15"/>
      <c r="BAE156" s="15"/>
      <c r="BAF156" s="15"/>
      <c r="BAG156" s="15"/>
      <c r="BAH156" s="15"/>
      <c r="BAI156" s="15"/>
      <c r="BAJ156" s="15"/>
      <c r="BAK156" s="15"/>
      <c r="BAL156" s="15"/>
      <c r="BAM156" s="15"/>
      <c r="BAN156" s="15"/>
      <c r="BAO156" s="15"/>
      <c r="BAP156" s="15"/>
      <c r="BAQ156" s="15"/>
      <c r="BAR156" s="15"/>
      <c r="BAS156" s="15"/>
      <c r="BAT156" s="15"/>
      <c r="BAU156" s="15"/>
      <c r="BAV156" s="15"/>
      <c r="BAW156" s="15"/>
      <c r="BAX156" s="15"/>
      <c r="BAY156" s="15"/>
      <c r="BAZ156" s="15"/>
      <c r="BBA156" s="15"/>
      <c r="BBB156" s="15"/>
      <c r="BBC156" s="15"/>
      <c r="BBD156" s="15"/>
      <c r="BBE156" s="15"/>
      <c r="BBF156" s="15"/>
      <c r="BBG156" s="15"/>
      <c r="BBH156" s="15"/>
      <c r="BBI156" s="15"/>
      <c r="BBJ156" s="15"/>
      <c r="BBK156" s="15"/>
      <c r="BBL156" s="15"/>
      <c r="BBM156" s="15"/>
      <c r="BBN156" s="15"/>
      <c r="BBO156" s="15"/>
      <c r="BBP156" s="15"/>
      <c r="BBQ156" s="15"/>
      <c r="BBR156" s="15"/>
      <c r="BBS156" s="15"/>
      <c r="BBT156" s="15"/>
      <c r="BBU156" s="15"/>
      <c r="BBV156" s="15"/>
      <c r="BBW156" s="15"/>
      <c r="BBX156" s="15"/>
      <c r="BBY156" s="15"/>
      <c r="BBZ156" s="15"/>
      <c r="BCA156" s="15"/>
      <c r="BCB156" s="15"/>
      <c r="BCC156" s="15"/>
      <c r="BCD156" s="15"/>
      <c r="BCE156" s="15"/>
      <c r="BCF156" s="15"/>
      <c r="BCG156" s="15"/>
      <c r="BCH156" s="15"/>
      <c r="BCI156" s="15"/>
      <c r="BCJ156" s="15"/>
      <c r="BCK156" s="15"/>
      <c r="BCL156" s="15"/>
      <c r="BCM156" s="15"/>
      <c r="BCN156" s="15"/>
      <c r="BCO156" s="15"/>
      <c r="BCP156" s="15"/>
      <c r="BCQ156" s="15"/>
      <c r="BCR156" s="15"/>
      <c r="BCS156" s="15"/>
      <c r="BCT156" s="15"/>
      <c r="BCU156" s="15"/>
      <c r="BCV156" s="15"/>
      <c r="BCW156" s="15"/>
      <c r="BCX156" s="15"/>
      <c r="BCY156" s="15"/>
      <c r="BCZ156" s="15"/>
      <c r="BDA156" s="15"/>
      <c r="BDB156" s="15"/>
      <c r="BDC156" s="15"/>
      <c r="BDD156" s="15"/>
      <c r="BDE156" s="15"/>
      <c r="BDF156" s="15"/>
      <c r="BDG156" s="15"/>
      <c r="BDH156" s="15"/>
      <c r="BDI156" s="15"/>
      <c r="BDJ156" s="15"/>
      <c r="BDK156" s="15"/>
      <c r="BDL156" s="15"/>
      <c r="BDM156" s="15"/>
      <c r="BDN156" s="15"/>
      <c r="BDO156" s="15"/>
      <c r="BDP156" s="15"/>
      <c r="BDQ156" s="15"/>
      <c r="BDR156" s="15"/>
      <c r="BDS156" s="15"/>
      <c r="BDT156" s="15"/>
      <c r="BDU156" s="15"/>
      <c r="BDV156" s="15"/>
      <c r="BDW156" s="15"/>
      <c r="BDX156" s="15"/>
      <c r="BDY156" s="15"/>
      <c r="BDZ156" s="15"/>
      <c r="BEA156" s="15"/>
      <c r="BEB156" s="15"/>
      <c r="BEC156" s="15"/>
      <c r="BED156" s="15"/>
      <c r="BEE156" s="15"/>
      <c r="BEF156" s="15"/>
      <c r="BEG156" s="15"/>
      <c r="BEH156" s="15"/>
      <c r="BEI156" s="15"/>
      <c r="BEJ156" s="15"/>
      <c r="BEK156" s="15"/>
      <c r="BEL156" s="15"/>
      <c r="BEM156" s="15"/>
      <c r="BEN156" s="15"/>
      <c r="BEO156" s="15"/>
      <c r="BEP156" s="15"/>
      <c r="BEQ156" s="15"/>
      <c r="BER156" s="15"/>
      <c r="BES156" s="15"/>
      <c r="BET156" s="15"/>
      <c r="BEU156" s="15"/>
      <c r="BEV156" s="15"/>
      <c r="BEW156" s="15"/>
      <c r="BEX156" s="15"/>
      <c r="BEY156" s="15"/>
      <c r="BEZ156" s="15"/>
      <c r="BFA156" s="15"/>
      <c r="BFB156" s="15"/>
      <c r="BFC156" s="15"/>
      <c r="BFD156" s="15"/>
      <c r="BFE156" s="15"/>
      <c r="BFF156" s="15"/>
      <c r="BFG156" s="15"/>
      <c r="BFH156" s="15"/>
      <c r="BFI156" s="15"/>
      <c r="BFJ156" s="15"/>
      <c r="BFK156" s="15"/>
      <c r="BFL156" s="15"/>
      <c r="BFM156" s="15"/>
      <c r="BFN156" s="15"/>
      <c r="BFO156" s="15"/>
      <c r="BFP156" s="15"/>
      <c r="BFQ156" s="15"/>
      <c r="BFR156" s="15"/>
      <c r="BFS156" s="15"/>
      <c r="BFT156" s="15"/>
      <c r="BFU156" s="15"/>
      <c r="BFV156" s="15"/>
      <c r="BFW156" s="15"/>
      <c r="BFX156" s="15"/>
      <c r="BFY156" s="15"/>
      <c r="BFZ156" s="15"/>
      <c r="BGA156" s="15"/>
      <c r="BGB156" s="15"/>
      <c r="BGC156" s="15"/>
      <c r="BGD156" s="15"/>
      <c r="BGE156" s="15"/>
      <c r="BGF156" s="15"/>
      <c r="BGG156" s="15"/>
      <c r="BGH156" s="15"/>
      <c r="BGI156" s="15"/>
      <c r="BGJ156" s="15"/>
      <c r="BGK156" s="15"/>
      <c r="BGL156" s="15"/>
      <c r="BGM156" s="15"/>
      <c r="BGN156" s="15"/>
      <c r="BGO156" s="15"/>
      <c r="BGP156" s="15"/>
      <c r="BGQ156" s="15"/>
      <c r="BGR156" s="15"/>
      <c r="BGS156" s="15"/>
      <c r="BGT156" s="15"/>
      <c r="BGU156" s="15"/>
      <c r="BGV156" s="15"/>
      <c r="BGW156" s="15"/>
      <c r="BGX156" s="15"/>
      <c r="BGY156" s="15"/>
      <c r="BGZ156" s="15"/>
      <c r="BHA156" s="15"/>
      <c r="BHB156" s="15"/>
      <c r="BHC156" s="15"/>
      <c r="BHD156" s="15"/>
      <c r="BHE156" s="15"/>
      <c r="BHF156" s="15"/>
      <c r="BHG156" s="15"/>
      <c r="BHH156" s="15"/>
      <c r="BHI156" s="15"/>
      <c r="BHJ156" s="15"/>
      <c r="BHK156" s="15"/>
      <c r="BHL156" s="15"/>
      <c r="BHM156" s="15"/>
      <c r="BHN156" s="15"/>
      <c r="BHO156" s="15"/>
      <c r="BHP156" s="15"/>
      <c r="BHQ156" s="15"/>
      <c r="BHR156" s="15"/>
      <c r="BHS156" s="15"/>
      <c r="BHT156" s="15"/>
      <c r="BHU156" s="15"/>
      <c r="BHV156" s="15"/>
      <c r="BHW156" s="15"/>
      <c r="BHX156" s="15"/>
      <c r="BHY156" s="15"/>
      <c r="BHZ156" s="15"/>
      <c r="BIA156" s="15"/>
      <c r="BIB156" s="15"/>
      <c r="BIC156" s="15"/>
      <c r="BID156" s="15"/>
      <c r="BIE156" s="15"/>
      <c r="BIF156" s="15"/>
      <c r="BIG156" s="15"/>
      <c r="BIH156" s="15"/>
      <c r="BII156" s="15"/>
      <c r="BIJ156" s="15"/>
      <c r="BIK156" s="15"/>
      <c r="BIL156" s="15"/>
      <c r="BIM156" s="15"/>
      <c r="BIN156" s="15"/>
      <c r="BIO156" s="15"/>
      <c r="BIP156" s="15"/>
      <c r="BIQ156" s="15"/>
      <c r="BIR156" s="15"/>
      <c r="BIS156" s="15"/>
      <c r="BIT156" s="15"/>
      <c r="BIU156" s="15"/>
      <c r="BIV156" s="15"/>
      <c r="BIW156" s="15"/>
      <c r="BIX156" s="15"/>
      <c r="BIY156" s="15"/>
      <c r="BIZ156" s="15"/>
      <c r="BJA156" s="15"/>
      <c r="BJB156" s="15"/>
      <c r="BJC156" s="15"/>
      <c r="BJD156" s="15"/>
      <c r="BJE156" s="15"/>
      <c r="BJF156" s="15"/>
      <c r="BJG156" s="15"/>
      <c r="BJH156" s="15"/>
      <c r="BJI156" s="15"/>
      <c r="BJJ156" s="15"/>
      <c r="BJK156" s="15"/>
      <c r="BJL156" s="15"/>
      <c r="BJM156" s="15"/>
      <c r="BJN156" s="15"/>
      <c r="BJO156" s="15"/>
      <c r="BJP156" s="15"/>
      <c r="BJQ156" s="15"/>
      <c r="BJR156" s="15"/>
      <c r="BJS156" s="15"/>
      <c r="BJT156" s="15"/>
      <c r="BJU156" s="15"/>
      <c r="BJV156" s="15"/>
      <c r="BJW156" s="15"/>
      <c r="BJX156" s="15"/>
      <c r="BJY156" s="15"/>
      <c r="BJZ156" s="15"/>
      <c r="BKA156" s="15"/>
      <c r="BKB156" s="15"/>
      <c r="BKC156" s="15"/>
      <c r="BKD156" s="15"/>
      <c r="BKE156" s="15"/>
      <c r="BKF156" s="15"/>
      <c r="BKG156" s="15"/>
      <c r="BKH156" s="15"/>
      <c r="BKI156" s="15"/>
      <c r="BKJ156" s="15"/>
      <c r="BKK156" s="15"/>
      <c r="BKL156" s="15"/>
      <c r="BKM156" s="15"/>
      <c r="BKN156" s="15"/>
      <c r="BKO156" s="15"/>
      <c r="BKP156" s="15"/>
      <c r="BKQ156" s="15"/>
      <c r="BKR156" s="15"/>
      <c r="BKS156" s="15"/>
      <c r="BKT156" s="15"/>
      <c r="BKU156" s="15"/>
      <c r="BKV156" s="15"/>
      <c r="BKW156" s="15"/>
      <c r="BKX156" s="15"/>
      <c r="BKY156" s="15"/>
      <c r="BKZ156" s="15"/>
      <c r="BLA156" s="15"/>
      <c r="BLB156" s="15"/>
      <c r="BLC156" s="15"/>
      <c r="BLD156" s="15"/>
      <c r="BLE156" s="15"/>
      <c r="BLF156" s="15"/>
      <c r="BLG156" s="15"/>
      <c r="BLH156" s="15"/>
      <c r="BLI156" s="15"/>
      <c r="BLJ156" s="15"/>
      <c r="BLK156" s="15"/>
      <c r="BLL156" s="15"/>
      <c r="BLM156" s="15"/>
      <c r="BLN156" s="15"/>
      <c r="BLO156" s="15"/>
      <c r="BLP156" s="15"/>
      <c r="BLQ156" s="15"/>
      <c r="BLR156" s="15"/>
      <c r="BLS156" s="15"/>
      <c r="BLT156" s="15"/>
      <c r="BLU156" s="15"/>
      <c r="BLV156" s="15"/>
      <c r="BLW156" s="15"/>
      <c r="BLX156" s="15"/>
      <c r="BLY156" s="15"/>
      <c r="BLZ156" s="15"/>
      <c r="BMA156" s="15"/>
      <c r="BMB156" s="15"/>
      <c r="BMC156" s="15"/>
      <c r="BMD156" s="15"/>
      <c r="BME156" s="15"/>
      <c r="BMF156" s="15"/>
      <c r="BMG156" s="15"/>
      <c r="BMH156" s="15"/>
      <c r="BMI156" s="15"/>
      <c r="BMJ156" s="15"/>
      <c r="BMK156" s="15"/>
      <c r="BML156" s="15"/>
      <c r="BMM156" s="15"/>
      <c r="BMN156" s="15"/>
      <c r="BMO156" s="15"/>
      <c r="BMP156" s="15"/>
      <c r="BMQ156" s="15"/>
      <c r="BMR156" s="15"/>
      <c r="BMS156" s="15"/>
      <c r="BMT156" s="15"/>
      <c r="BMU156" s="15"/>
      <c r="BMV156" s="15"/>
      <c r="BMW156" s="15"/>
      <c r="BMX156" s="15"/>
      <c r="BMY156" s="15"/>
      <c r="BMZ156" s="15"/>
      <c r="BNA156" s="15"/>
      <c r="BNB156" s="15"/>
      <c r="BNC156" s="15"/>
      <c r="BND156" s="15"/>
      <c r="BNE156" s="15"/>
      <c r="BNF156" s="15"/>
      <c r="BNG156" s="15"/>
      <c r="BNH156" s="15"/>
      <c r="BNI156" s="15"/>
      <c r="BNJ156" s="15"/>
      <c r="BNK156" s="15"/>
      <c r="BNL156" s="15"/>
      <c r="BNM156" s="15"/>
      <c r="BNN156" s="15"/>
      <c r="BNO156" s="15"/>
      <c r="BNP156" s="15"/>
      <c r="BNQ156" s="15"/>
      <c r="BNR156" s="15"/>
      <c r="BNS156" s="15"/>
      <c r="BNT156" s="15"/>
      <c r="BNU156" s="15"/>
      <c r="BNV156" s="15"/>
      <c r="BNW156" s="15"/>
      <c r="BNX156" s="15"/>
      <c r="BNY156" s="15"/>
      <c r="BNZ156" s="15"/>
      <c r="BOA156" s="15"/>
      <c r="BOB156" s="15"/>
      <c r="BOC156" s="15"/>
      <c r="BOD156" s="15"/>
      <c r="BOE156" s="15"/>
      <c r="BOF156" s="15"/>
      <c r="BOG156" s="15"/>
      <c r="BOH156" s="15"/>
      <c r="BOI156" s="15"/>
      <c r="BOJ156" s="15"/>
      <c r="BOK156" s="15"/>
      <c r="BOL156" s="15"/>
      <c r="BOM156" s="15"/>
      <c r="BON156" s="15"/>
      <c r="BOO156" s="15"/>
      <c r="BOP156" s="15"/>
      <c r="BOQ156" s="15"/>
      <c r="BOR156" s="15"/>
      <c r="BOS156" s="15"/>
      <c r="BOT156" s="15"/>
      <c r="BOU156" s="15"/>
      <c r="BOV156" s="15"/>
      <c r="BOW156" s="15"/>
      <c r="BOX156" s="15"/>
      <c r="BOY156" s="15"/>
      <c r="BOZ156" s="15"/>
      <c r="BPA156" s="15"/>
      <c r="BPB156" s="15"/>
      <c r="BPC156" s="15"/>
      <c r="BPD156" s="15"/>
      <c r="BPE156" s="15"/>
      <c r="BPF156" s="15"/>
      <c r="BPG156" s="15"/>
      <c r="BPH156" s="15"/>
      <c r="BPI156" s="15"/>
      <c r="BPJ156" s="15"/>
      <c r="BPK156" s="15"/>
      <c r="BPL156" s="15"/>
      <c r="BPM156" s="15"/>
      <c r="BPN156" s="15"/>
      <c r="BPO156" s="15"/>
      <c r="BPP156" s="15"/>
      <c r="BPQ156" s="15"/>
      <c r="BPR156" s="15"/>
      <c r="BPS156" s="15"/>
      <c r="BPT156" s="15"/>
      <c r="BPU156" s="15"/>
      <c r="BPV156" s="15"/>
      <c r="BPW156" s="15"/>
      <c r="BPX156" s="15"/>
      <c r="BPY156" s="15"/>
      <c r="BPZ156" s="15"/>
      <c r="BQA156" s="15"/>
      <c r="BQB156" s="15"/>
      <c r="BQC156" s="15"/>
      <c r="BQD156" s="15"/>
      <c r="BQE156" s="15"/>
      <c r="BQF156" s="15"/>
      <c r="BQG156" s="15"/>
      <c r="BQH156" s="15"/>
      <c r="BQI156" s="15"/>
      <c r="BQJ156" s="15"/>
      <c r="BQK156" s="15"/>
      <c r="BQL156" s="15"/>
      <c r="BQM156" s="15"/>
      <c r="BQN156" s="15"/>
      <c r="BQO156" s="15"/>
      <c r="BQP156" s="15"/>
      <c r="BQQ156" s="15"/>
      <c r="BQR156" s="15"/>
      <c r="BQS156" s="15"/>
      <c r="BQT156" s="15"/>
      <c r="BQU156" s="15"/>
      <c r="BQV156" s="15"/>
      <c r="BQW156" s="15"/>
      <c r="BQX156" s="15"/>
      <c r="BQY156" s="15"/>
      <c r="BQZ156" s="15"/>
      <c r="BRA156" s="15"/>
      <c r="BRB156" s="15"/>
      <c r="BRC156" s="15"/>
      <c r="BRD156" s="15"/>
      <c r="BRE156" s="15"/>
      <c r="BRF156" s="15"/>
      <c r="BRG156" s="15"/>
      <c r="BRH156" s="15"/>
      <c r="BRI156" s="15"/>
      <c r="BRJ156" s="15"/>
      <c r="BRK156" s="15"/>
      <c r="BRL156" s="15"/>
      <c r="BRM156" s="15"/>
      <c r="BRN156" s="15"/>
      <c r="BRO156" s="15"/>
      <c r="BRP156" s="15"/>
      <c r="BRQ156" s="15"/>
      <c r="BRR156" s="15"/>
      <c r="BRS156" s="15"/>
      <c r="BRT156" s="15"/>
      <c r="BRU156" s="15"/>
      <c r="BRV156" s="15"/>
      <c r="BRW156" s="15"/>
      <c r="BRX156" s="15"/>
      <c r="BRY156" s="15"/>
      <c r="BRZ156" s="15"/>
      <c r="BSA156" s="15"/>
      <c r="BSB156" s="15"/>
      <c r="BSC156" s="15"/>
      <c r="BSD156" s="15"/>
      <c r="BSE156" s="15"/>
      <c r="BSF156" s="15"/>
      <c r="BSG156" s="15"/>
      <c r="BSH156" s="15"/>
      <c r="BSI156" s="15"/>
      <c r="BSJ156" s="15"/>
      <c r="BSK156" s="15"/>
      <c r="BSL156" s="15"/>
      <c r="BSM156" s="15"/>
      <c r="BSN156" s="15"/>
      <c r="BSO156" s="15"/>
      <c r="BSP156" s="15"/>
      <c r="BSQ156" s="15"/>
      <c r="BSR156" s="15"/>
      <c r="BSS156" s="15"/>
      <c r="BST156" s="15"/>
      <c r="BSU156" s="15"/>
      <c r="BSV156" s="15"/>
      <c r="BSW156" s="15"/>
      <c r="BSX156" s="15"/>
      <c r="BSY156" s="15"/>
      <c r="BSZ156" s="15"/>
      <c r="BTA156" s="15"/>
      <c r="BTB156" s="15"/>
      <c r="BTC156" s="15"/>
      <c r="BTD156" s="15"/>
      <c r="BTE156" s="15"/>
      <c r="BTF156" s="15"/>
      <c r="BTG156" s="15"/>
      <c r="BTH156" s="15"/>
      <c r="BTI156" s="15"/>
      <c r="BTJ156" s="15"/>
      <c r="BTK156" s="15"/>
      <c r="BTL156" s="15"/>
      <c r="BTM156" s="15"/>
      <c r="BTN156" s="15"/>
      <c r="BTO156" s="15"/>
      <c r="BTP156" s="15"/>
      <c r="BTQ156" s="15"/>
      <c r="BTR156" s="15"/>
      <c r="BTS156" s="15"/>
      <c r="BTT156" s="15"/>
      <c r="BTU156" s="15"/>
      <c r="BTV156" s="15"/>
      <c r="BTW156" s="15"/>
      <c r="BTX156" s="15"/>
      <c r="BTY156" s="15"/>
      <c r="BTZ156" s="15"/>
      <c r="BUA156" s="15"/>
      <c r="BUB156" s="15"/>
      <c r="BUC156" s="15"/>
      <c r="BUD156" s="15"/>
      <c r="BUE156" s="15"/>
      <c r="BUF156" s="15"/>
      <c r="BUG156" s="15"/>
      <c r="BUH156" s="15"/>
      <c r="BUI156" s="15"/>
      <c r="BUJ156" s="15"/>
      <c r="BUK156" s="15"/>
      <c r="BUL156" s="15"/>
      <c r="BUM156" s="15"/>
      <c r="BUN156" s="15"/>
      <c r="BUO156" s="15"/>
      <c r="BUP156" s="15"/>
      <c r="BUQ156" s="15"/>
      <c r="BUR156" s="15"/>
      <c r="BUS156" s="15"/>
      <c r="BUT156" s="15"/>
      <c r="BUU156" s="15"/>
      <c r="BUV156" s="15"/>
      <c r="BUW156" s="15"/>
      <c r="BUX156" s="15"/>
      <c r="BUY156" s="15"/>
      <c r="BUZ156" s="15"/>
      <c r="BVA156" s="15"/>
      <c r="BVB156" s="15"/>
      <c r="BVC156" s="15"/>
      <c r="BVD156" s="15"/>
      <c r="BVE156" s="15"/>
      <c r="BVF156" s="15"/>
      <c r="BVG156" s="15"/>
      <c r="BVH156" s="15"/>
      <c r="BVI156" s="15"/>
      <c r="BVJ156" s="15"/>
      <c r="BVK156" s="15"/>
      <c r="BVL156" s="15"/>
      <c r="BVM156" s="15"/>
      <c r="BVN156" s="15"/>
      <c r="BVO156" s="15"/>
      <c r="BVP156" s="15"/>
      <c r="BVQ156" s="15"/>
      <c r="BVR156" s="15"/>
      <c r="BVS156" s="15"/>
      <c r="BVT156" s="15"/>
      <c r="BVU156" s="15"/>
      <c r="BVV156" s="15"/>
      <c r="BVW156" s="15"/>
      <c r="BVX156" s="15"/>
      <c r="BVY156" s="15"/>
      <c r="BVZ156" s="15"/>
      <c r="BWA156" s="15"/>
      <c r="BWB156" s="15"/>
      <c r="BWC156" s="15"/>
      <c r="BWD156" s="15"/>
      <c r="BWE156" s="15"/>
      <c r="BWF156" s="15"/>
      <c r="BWG156" s="15"/>
      <c r="BWH156" s="15"/>
      <c r="BWI156" s="15"/>
      <c r="BWJ156" s="15"/>
      <c r="BWK156" s="15"/>
      <c r="BWL156" s="15"/>
      <c r="BWM156" s="15"/>
      <c r="BWN156" s="15"/>
      <c r="BWO156" s="15"/>
      <c r="BWP156" s="15"/>
      <c r="BWQ156" s="15"/>
      <c r="BWR156" s="15"/>
      <c r="BWS156" s="15"/>
      <c r="BWT156" s="15"/>
      <c r="BWU156" s="15"/>
      <c r="BWV156" s="15"/>
      <c r="BWW156" s="15"/>
      <c r="BWX156" s="15"/>
      <c r="BWY156" s="15"/>
      <c r="BWZ156" s="15"/>
      <c r="BXA156" s="15"/>
      <c r="BXB156" s="15"/>
      <c r="BXC156" s="15"/>
      <c r="BXD156" s="15"/>
      <c r="BXE156" s="15"/>
      <c r="BXF156" s="15"/>
      <c r="BXG156" s="15"/>
      <c r="BXH156" s="15"/>
      <c r="BXI156" s="15"/>
      <c r="BXJ156" s="15"/>
      <c r="BXK156" s="15"/>
      <c r="BXL156" s="15"/>
      <c r="BXM156" s="15"/>
      <c r="BXN156" s="15"/>
      <c r="BXO156" s="15"/>
      <c r="BXP156" s="15"/>
      <c r="BXQ156" s="15"/>
      <c r="BXR156" s="15"/>
      <c r="BXS156" s="15"/>
      <c r="BXT156" s="15"/>
      <c r="BXU156" s="15"/>
      <c r="BXV156" s="15"/>
      <c r="BXW156" s="15"/>
      <c r="BXX156" s="15"/>
      <c r="BXY156" s="15"/>
      <c r="BXZ156" s="15"/>
      <c r="BYA156" s="15"/>
      <c r="BYB156" s="15"/>
      <c r="BYC156" s="15"/>
      <c r="BYD156" s="15"/>
      <c r="BYE156" s="15"/>
      <c r="BYF156" s="15"/>
      <c r="BYG156" s="15"/>
      <c r="BYH156" s="15"/>
      <c r="BYI156" s="15"/>
      <c r="BYJ156" s="15"/>
      <c r="BYK156" s="15"/>
      <c r="BYL156" s="15"/>
      <c r="BYM156" s="15"/>
      <c r="BYN156" s="15"/>
      <c r="BYO156" s="15"/>
      <c r="BYP156" s="15"/>
      <c r="BYQ156" s="15"/>
      <c r="BYR156" s="15"/>
      <c r="BYS156" s="15"/>
      <c r="BYT156" s="15"/>
      <c r="BYU156" s="15"/>
      <c r="BYV156" s="15"/>
      <c r="BYW156" s="15"/>
      <c r="BYX156" s="15"/>
      <c r="BYY156" s="15"/>
      <c r="BYZ156" s="15"/>
      <c r="BZA156" s="15"/>
      <c r="BZB156" s="15"/>
      <c r="BZC156" s="15"/>
      <c r="BZD156" s="15"/>
      <c r="BZE156" s="15"/>
      <c r="BZF156" s="15"/>
      <c r="BZG156" s="15"/>
      <c r="BZH156" s="15"/>
      <c r="BZI156" s="15"/>
      <c r="BZJ156" s="15"/>
      <c r="BZK156" s="15"/>
      <c r="BZL156" s="15"/>
      <c r="BZM156" s="15"/>
      <c r="BZN156" s="15"/>
      <c r="BZO156" s="15"/>
      <c r="BZP156" s="15"/>
      <c r="BZQ156" s="15"/>
      <c r="BZR156" s="15"/>
      <c r="BZS156" s="15"/>
      <c r="BZT156" s="15"/>
      <c r="BZU156" s="15"/>
      <c r="BZV156" s="15"/>
      <c r="BZW156" s="15"/>
      <c r="BZX156" s="15"/>
      <c r="BZY156" s="15"/>
      <c r="BZZ156" s="15"/>
      <c r="CAA156" s="15"/>
      <c r="CAB156" s="15"/>
      <c r="CAC156" s="15"/>
      <c r="CAD156" s="15"/>
      <c r="CAE156" s="15"/>
      <c r="CAF156" s="15"/>
      <c r="CAG156" s="15"/>
      <c r="CAH156" s="15"/>
      <c r="CAI156" s="15"/>
      <c r="CAJ156" s="15"/>
      <c r="CAK156" s="15"/>
      <c r="CAL156" s="15"/>
      <c r="CAM156" s="15"/>
      <c r="CAN156" s="15"/>
      <c r="CAO156" s="15"/>
      <c r="CAP156" s="15"/>
      <c r="CAQ156" s="15"/>
      <c r="CAR156" s="15"/>
      <c r="CAS156" s="15"/>
      <c r="CAT156" s="15"/>
      <c r="CAU156" s="15"/>
      <c r="CAV156" s="15"/>
      <c r="CAW156" s="15"/>
      <c r="CAX156" s="15"/>
      <c r="CAY156" s="15"/>
      <c r="CAZ156" s="15"/>
      <c r="CBA156" s="15"/>
      <c r="CBB156" s="15"/>
      <c r="CBC156" s="15"/>
      <c r="CBD156" s="15"/>
      <c r="CBE156" s="15"/>
      <c r="CBF156" s="15"/>
      <c r="CBG156" s="15"/>
      <c r="CBH156" s="15"/>
      <c r="CBI156" s="15"/>
      <c r="CBJ156" s="15"/>
      <c r="CBK156" s="15"/>
      <c r="CBL156" s="15"/>
      <c r="CBM156" s="15"/>
      <c r="CBN156" s="15"/>
      <c r="CBO156" s="15"/>
      <c r="CBP156" s="15"/>
      <c r="CBQ156" s="15"/>
      <c r="CBR156" s="15"/>
      <c r="CBS156" s="15"/>
      <c r="CBT156" s="15"/>
      <c r="CBU156" s="15"/>
      <c r="CBV156" s="15"/>
      <c r="CBW156" s="15"/>
      <c r="CBX156" s="15"/>
      <c r="CBY156" s="15"/>
      <c r="CBZ156" s="15"/>
      <c r="CCA156" s="15"/>
      <c r="CCB156" s="15"/>
      <c r="CCC156" s="15"/>
      <c r="CCD156" s="15"/>
      <c r="CCE156" s="15"/>
      <c r="CCF156" s="15"/>
      <c r="CCG156" s="15"/>
      <c r="CCH156" s="15"/>
      <c r="CCI156" s="15"/>
      <c r="CCJ156" s="15"/>
      <c r="CCK156" s="15"/>
      <c r="CCL156" s="15"/>
      <c r="CCM156" s="15"/>
      <c r="CCN156" s="15"/>
      <c r="CCO156" s="15"/>
      <c r="CCP156" s="15"/>
      <c r="CCQ156" s="15"/>
      <c r="CCR156" s="15"/>
      <c r="CCS156" s="15"/>
      <c r="CCT156" s="15"/>
      <c r="CCU156" s="15"/>
      <c r="CCV156" s="15"/>
      <c r="CCW156" s="15"/>
      <c r="CCX156" s="15"/>
      <c r="CCY156" s="15"/>
      <c r="CCZ156" s="15"/>
      <c r="CDA156" s="15"/>
      <c r="CDB156" s="15"/>
      <c r="CDC156" s="15"/>
      <c r="CDD156" s="15"/>
      <c r="CDE156" s="15"/>
      <c r="CDF156" s="15"/>
      <c r="CDG156" s="15"/>
      <c r="CDH156" s="15"/>
      <c r="CDI156" s="15"/>
      <c r="CDJ156" s="15"/>
      <c r="CDK156" s="15"/>
      <c r="CDL156" s="15"/>
      <c r="CDM156" s="15"/>
      <c r="CDN156" s="15"/>
      <c r="CDO156" s="15"/>
      <c r="CDP156" s="15"/>
      <c r="CDQ156" s="15"/>
      <c r="CDR156" s="15"/>
      <c r="CDS156" s="15"/>
      <c r="CDT156" s="15"/>
      <c r="CDU156" s="15"/>
      <c r="CDV156" s="15"/>
      <c r="CDW156" s="15"/>
      <c r="CDX156" s="15"/>
      <c r="CDY156" s="15"/>
      <c r="CDZ156" s="15"/>
      <c r="CEA156" s="15"/>
      <c r="CEB156" s="15"/>
      <c r="CEC156" s="15"/>
      <c r="CED156" s="15"/>
      <c r="CEE156" s="15"/>
      <c r="CEF156" s="15"/>
      <c r="CEG156" s="15"/>
      <c r="CEH156" s="15"/>
      <c r="CEI156" s="15"/>
      <c r="CEJ156" s="15"/>
      <c r="CEK156" s="15"/>
      <c r="CEL156" s="15"/>
      <c r="CEM156" s="15"/>
      <c r="CEN156" s="15"/>
      <c r="CEO156" s="15"/>
      <c r="CEP156" s="15"/>
      <c r="CEQ156" s="15"/>
      <c r="CER156" s="15"/>
      <c r="CES156" s="15"/>
      <c r="CET156" s="15"/>
      <c r="CEU156" s="15"/>
      <c r="CEV156" s="15"/>
      <c r="CEW156" s="15"/>
      <c r="CEX156" s="15"/>
      <c r="CEY156" s="15"/>
      <c r="CEZ156" s="15"/>
      <c r="CFA156" s="15"/>
      <c r="CFB156" s="15"/>
      <c r="CFC156" s="15"/>
      <c r="CFD156" s="15"/>
      <c r="CFE156" s="15"/>
      <c r="CFF156" s="15"/>
      <c r="CFG156" s="15"/>
      <c r="CFH156" s="15"/>
      <c r="CFI156" s="15"/>
      <c r="CFJ156" s="15"/>
      <c r="CFK156" s="15"/>
      <c r="CFL156" s="15"/>
      <c r="CFM156" s="15"/>
      <c r="CFN156" s="15"/>
      <c r="CFO156" s="15"/>
      <c r="CFP156" s="15"/>
      <c r="CFQ156" s="15"/>
      <c r="CFR156" s="15"/>
      <c r="CFS156" s="15"/>
      <c r="CFT156" s="15"/>
      <c r="CFU156" s="15"/>
      <c r="CFV156" s="15"/>
      <c r="CFW156" s="15"/>
      <c r="CFX156" s="15"/>
      <c r="CFY156" s="15"/>
      <c r="CFZ156" s="15"/>
      <c r="CGA156" s="15"/>
      <c r="CGB156" s="15"/>
      <c r="CGC156" s="15"/>
      <c r="CGD156" s="15"/>
      <c r="CGE156" s="15"/>
      <c r="CGF156" s="15"/>
      <c r="CGG156" s="15"/>
      <c r="CGH156" s="15"/>
      <c r="CGI156" s="15"/>
      <c r="CGJ156" s="15"/>
      <c r="CGK156" s="15"/>
      <c r="CGL156" s="15"/>
      <c r="CGM156" s="15"/>
      <c r="CGN156" s="15"/>
      <c r="CGO156" s="15"/>
      <c r="CGP156" s="15"/>
      <c r="CGQ156" s="15"/>
      <c r="CGR156" s="15"/>
      <c r="CGS156" s="15"/>
      <c r="CGT156" s="15"/>
      <c r="CGU156" s="15"/>
      <c r="CGV156" s="15"/>
      <c r="CGW156" s="15"/>
      <c r="CGX156" s="15"/>
      <c r="CGY156" s="15"/>
      <c r="CGZ156" s="15"/>
      <c r="CHA156" s="15"/>
      <c r="CHB156" s="15"/>
      <c r="CHC156" s="15"/>
      <c r="CHD156" s="15"/>
      <c r="CHE156" s="15"/>
      <c r="CHF156" s="15"/>
      <c r="CHG156" s="15"/>
      <c r="CHH156" s="15"/>
      <c r="CHI156" s="15"/>
      <c r="CHJ156" s="15"/>
      <c r="CHK156" s="15"/>
      <c r="CHL156" s="15"/>
      <c r="CHM156" s="15"/>
      <c r="CHN156" s="15"/>
      <c r="CHO156" s="15"/>
      <c r="CHP156" s="15"/>
      <c r="CHQ156" s="15"/>
      <c r="CHR156" s="15"/>
      <c r="CHS156" s="15"/>
      <c r="CHT156" s="15"/>
      <c r="CHU156" s="15"/>
      <c r="CHV156" s="15"/>
      <c r="CHW156" s="15"/>
      <c r="CHX156" s="15"/>
      <c r="CHY156" s="15"/>
      <c r="CHZ156" s="15"/>
      <c r="CIA156" s="15"/>
      <c r="CIB156" s="15"/>
      <c r="CIC156" s="15"/>
      <c r="CID156" s="15"/>
      <c r="CIE156" s="15"/>
      <c r="CIF156" s="15"/>
      <c r="CIG156" s="15"/>
      <c r="CIH156" s="15"/>
      <c r="CII156" s="15"/>
      <c r="CIJ156" s="15"/>
      <c r="CIK156" s="15"/>
      <c r="CIL156" s="15"/>
      <c r="CIM156" s="15"/>
      <c r="CIN156" s="15"/>
      <c r="CIO156" s="15"/>
      <c r="CIP156" s="15"/>
      <c r="CIQ156" s="15"/>
      <c r="CIR156" s="15"/>
      <c r="CIS156" s="15"/>
      <c r="CIT156" s="15"/>
      <c r="CIU156" s="15"/>
      <c r="CIV156" s="15"/>
      <c r="CIW156" s="15"/>
      <c r="CIX156" s="15"/>
      <c r="CIY156" s="15"/>
      <c r="CIZ156" s="15"/>
      <c r="CJA156" s="15"/>
      <c r="CJB156" s="15"/>
      <c r="CJC156" s="15"/>
      <c r="CJD156" s="15"/>
      <c r="CJE156" s="15"/>
      <c r="CJF156" s="15"/>
      <c r="CJG156" s="15"/>
      <c r="CJH156" s="15"/>
      <c r="CJI156" s="15"/>
      <c r="CJJ156" s="15"/>
      <c r="CJK156" s="15"/>
      <c r="CJL156" s="15"/>
      <c r="CJM156" s="15"/>
      <c r="CJN156" s="15"/>
      <c r="CJO156" s="15"/>
      <c r="CJP156" s="15"/>
      <c r="CJQ156" s="15"/>
      <c r="CJR156" s="15"/>
      <c r="CJS156" s="15"/>
      <c r="CJT156" s="15"/>
      <c r="CJU156" s="15"/>
      <c r="CJV156" s="15"/>
      <c r="CJW156" s="15"/>
      <c r="CJX156" s="15"/>
      <c r="CJY156" s="15"/>
      <c r="CJZ156" s="15"/>
      <c r="CKA156" s="15"/>
      <c r="CKB156" s="15"/>
      <c r="CKC156" s="15"/>
      <c r="CKD156" s="15"/>
      <c r="CKE156" s="15"/>
      <c r="CKF156" s="15"/>
      <c r="CKG156" s="15"/>
      <c r="CKH156" s="15"/>
      <c r="CKI156" s="15"/>
      <c r="CKJ156" s="15"/>
      <c r="CKK156" s="15"/>
      <c r="CKL156" s="15"/>
      <c r="CKM156" s="15"/>
      <c r="CKN156" s="15"/>
      <c r="CKO156" s="15"/>
      <c r="CKP156" s="15"/>
      <c r="CKQ156" s="15"/>
      <c r="CKR156" s="15"/>
      <c r="CKS156" s="15"/>
      <c r="CKT156" s="15"/>
      <c r="CKU156" s="15"/>
      <c r="CKV156" s="15"/>
      <c r="CKW156" s="15"/>
      <c r="CKX156" s="15"/>
      <c r="CKY156" s="15"/>
      <c r="CKZ156" s="15"/>
      <c r="CLA156" s="15"/>
      <c r="CLB156" s="15"/>
      <c r="CLC156" s="15"/>
      <c r="CLD156" s="15"/>
      <c r="CLE156" s="15"/>
      <c r="CLF156" s="15"/>
      <c r="CLG156" s="15"/>
      <c r="CLH156" s="15"/>
      <c r="CLI156" s="15"/>
      <c r="CLJ156" s="15"/>
      <c r="CLK156" s="15"/>
      <c r="CLL156" s="15"/>
      <c r="CLM156" s="15"/>
      <c r="CLN156" s="15"/>
      <c r="CLO156" s="15"/>
      <c r="CLP156" s="15"/>
      <c r="CLQ156" s="15"/>
      <c r="CLR156" s="15"/>
      <c r="CLS156" s="15"/>
      <c r="CLT156" s="15"/>
      <c r="CLU156" s="15"/>
      <c r="CLV156" s="15"/>
      <c r="CLW156" s="15"/>
      <c r="CLX156" s="15"/>
      <c r="CLY156" s="15"/>
      <c r="CLZ156" s="15"/>
      <c r="CMA156" s="15"/>
      <c r="CMB156" s="15"/>
      <c r="CMC156" s="15"/>
      <c r="CMD156" s="15"/>
      <c r="CME156" s="15"/>
      <c r="CMF156" s="15"/>
      <c r="CMG156" s="15"/>
      <c r="CMH156" s="15"/>
      <c r="CMI156" s="15"/>
      <c r="CMJ156" s="15"/>
      <c r="CMK156" s="15"/>
      <c r="CML156" s="15"/>
      <c r="CMM156" s="15"/>
      <c r="CMN156" s="15"/>
      <c r="CMO156" s="15"/>
      <c r="CMP156" s="15"/>
      <c r="CMQ156" s="15"/>
      <c r="CMR156" s="15"/>
      <c r="CMS156" s="15"/>
      <c r="CMT156" s="15"/>
      <c r="CMU156" s="15"/>
      <c r="CMV156" s="15"/>
      <c r="CMW156" s="15"/>
      <c r="CMX156" s="15"/>
      <c r="CMY156" s="15"/>
      <c r="CMZ156" s="15"/>
      <c r="CNA156" s="15"/>
      <c r="CNB156" s="15"/>
      <c r="CNC156" s="15"/>
      <c r="CND156" s="15"/>
      <c r="CNE156" s="15"/>
      <c r="CNF156" s="15"/>
      <c r="CNG156" s="15"/>
      <c r="CNH156" s="15"/>
      <c r="CNI156" s="15"/>
      <c r="CNJ156" s="15"/>
      <c r="CNK156" s="15"/>
      <c r="CNL156" s="15"/>
      <c r="CNM156" s="15"/>
      <c r="CNN156" s="15"/>
      <c r="CNO156" s="15"/>
      <c r="CNP156" s="15"/>
      <c r="CNQ156" s="15"/>
      <c r="CNR156" s="15"/>
      <c r="CNS156" s="15"/>
      <c r="CNT156" s="15"/>
      <c r="CNU156" s="15"/>
      <c r="CNV156" s="15"/>
      <c r="CNW156" s="15"/>
      <c r="CNX156" s="15"/>
      <c r="CNY156" s="15"/>
      <c r="CNZ156" s="15"/>
      <c r="COA156" s="15"/>
      <c r="COB156" s="15"/>
      <c r="COC156" s="15"/>
      <c r="COD156" s="15"/>
      <c r="COE156" s="15"/>
      <c r="COF156" s="15"/>
      <c r="COG156" s="15"/>
      <c r="COH156" s="15"/>
      <c r="COI156" s="15"/>
      <c r="COJ156" s="15"/>
      <c r="COK156" s="15"/>
      <c r="COL156" s="15"/>
      <c r="COM156" s="15"/>
      <c r="CON156" s="15"/>
      <c r="COO156" s="15"/>
      <c r="COP156" s="15"/>
      <c r="COQ156" s="15"/>
      <c r="COR156" s="15"/>
      <c r="COS156" s="15"/>
      <c r="COT156" s="15"/>
      <c r="COU156" s="15"/>
      <c r="COV156" s="15"/>
      <c r="COW156" s="15"/>
      <c r="COX156" s="15"/>
      <c r="COY156" s="15"/>
      <c r="COZ156" s="15"/>
      <c r="CPA156" s="15"/>
      <c r="CPB156" s="15"/>
      <c r="CPC156" s="15"/>
      <c r="CPD156" s="15"/>
      <c r="CPE156" s="15"/>
      <c r="CPF156" s="15"/>
      <c r="CPG156" s="15"/>
      <c r="CPH156" s="15"/>
      <c r="CPI156" s="15"/>
      <c r="CPJ156" s="15"/>
      <c r="CPK156" s="15"/>
      <c r="CPL156" s="15"/>
      <c r="CPM156" s="15"/>
      <c r="CPN156" s="15"/>
      <c r="CPO156" s="15"/>
      <c r="CPP156" s="15"/>
      <c r="CPQ156" s="15"/>
      <c r="CPR156" s="15"/>
      <c r="CPS156" s="15"/>
      <c r="CPT156" s="15"/>
      <c r="CPU156" s="15"/>
      <c r="CPV156" s="15"/>
      <c r="CPW156" s="15"/>
      <c r="CPX156" s="15"/>
      <c r="CPY156" s="15"/>
      <c r="CPZ156" s="15"/>
      <c r="CQA156" s="15"/>
      <c r="CQB156" s="15"/>
      <c r="CQC156" s="15"/>
      <c r="CQD156" s="15"/>
      <c r="CQE156" s="15"/>
      <c r="CQF156" s="15"/>
      <c r="CQG156" s="15"/>
      <c r="CQH156" s="15"/>
      <c r="CQI156" s="15"/>
      <c r="CQJ156" s="15"/>
      <c r="CQK156" s="15"/>
      <c r="CQL156" s="15"/>
      <c r="CQM156" s="15"/>
      <c r="CQN156" s="15"/>
      <c r="CQO156" s="15"/>
      <c r="CQP156" s="15"/>
      <c r="CQQ156" s="15"/>
      <c r="CQR156" s="15"/>
      <c r="CQS156" s="15"/>
      <c r="CQT156" s="15"/>
      <c r="CQU156" s="15"/>
      <c r="CQV156" s="15"/>
      <c r="CQW156" s="15"/>
      <c r="CQX156" s="15"/>
      <c r="CQY156" s="15"/>
      <c r="CQZ156" s="15"/>
      <c r="CRA156" s="15"/>
      <c r="CRB156" s="15"/>
      <c r="CRC156" s="15"/>
      <c r="CRD156" s="15"/>
      <c r="CRE156" s="15"/>
      <c r="CRF156" s="15"/>
      <c r="CRG156" s="15"/>
      <c r="CRH156" s="15"/>
      <c r="CRI156" s="15"/>
      <c r="CRJ156" s="15"/>
      <c r="CRK156" s="15"/>
      <c r="CRL156" s="15"/>
      <c r="CRM156" s="15"/>
      <c r="CRN156" s="15"/>
      <c r="CRO156" s="15"/>
      <c r="CRP156" s="15"/>
      <c r="CRQ156" s="15"/>
      <c r="CRR156" s="15"/>
      <c r="CRS156" s="15"/>
      <c r="CRT156" s="15"/>
      <c r="CRU156" s="15"/>
      <c r="CRV156" s="15"/>
      <c r="CRW156" s="15"/>
      <c r="CRX156" s="15"/>
      <c r="CRY156" s="15"/>
      <c r="CRZ156" s="15"/>
      <c r="CSA156" s="15"/>
      <c r="CSB156" s="15"/>
      <c r="CSC156" s="15"/>
      <c r="CSD156" s="15"/>
      <c r="CSE156" s="15"/>
      <c r="CSF156" s="15"/>
      <c r="CSG156" s="15"/>
      <c r="CSH156" s="15"/>
      <c r="CSI156" s="15"/>
      <c r="CSJ156" s="15"/>
      <c r="CSK156" s="15"/>
      <c r="CSL156" s="15"/>
      <c r="CSM156" s="15"/>
      <c r="CSN156" s="15"/>
      <c r="CSO156" s="15"/>
      <c r="CSP156" s="15"/>
      <c r="CSQ156" s="15"/>
      <c r="CSR156" s="15"/>
      <c r="CSS156" s="15"/>
      <c r="CST156" s="15"/>
      <c r="CSU156" s="15"/>
      <c r="CSV156" s="15"/>
      <c r="CSW156" s="15"/>
      <c r="CSX156" s="15"/>
      <c r="CSY156" s="15"/>
      <c r="CSZ156" s="15"/>
      <c r="CTA156" s="15"/>
      <c r="CTB156" s="15"/>
      <c r="CTC156" s="15"/>
      <c r="CTD156" s="15"/>
      <c r="CTE156" s="15"/>
      <c r="CTF156" s="15"/>
      <c r="CTG156" s="15"/>
      <c r="CTH156" s="15"/>
      <c r="CTI156" s="15"/>
      <c r="CTJ156" s="15"/>
      <c r="CTK156" s="15"/>
      <c r="CTL156" s="15"/>
      <c r="CTM156" s="15"/>
      <c r="CTN156" s="15"/>
      <c r="CTO156" s="15"/>
      <c r="CTP156" s="15"/>
      <c r="CTQ156" s="15"/>
      <c r="CTR156" s="15"/>
      <c r="CTS156" s="15"/>
      <c r="CTT156" s="15"/>
      <c r="CTU156" s="15"/>
      <c r="CTV156" s="15"/>
      <c r="CTW156" s="15"/>
      <c r="CTX156" s="15"/>
      <c r="CTY156" s="15"/>
      <c r="CTZ156" s="15"/>
      <c r="CUA156" s="15"/>
      <c r="CUB156" s="15"/>
      <c r="CUC156" s="15"/>
      <c r="CUD156" s="15"/>
      <c r="CUE156" s="15"/>
      <c r="CUF156" s="15"/>
      <c r="CUG156" s="15"/>
      <c r="CUH156" s="15"/>
      <c r="CUI156" s="15"/>
      <c r="CUJ156" s="15"/>
      <c r="CUK156" s="15"/>
      <c r="CUL156" s="15"/>
      <c r="CUM156" s="15"/>
      <c r="CUN156" s="15"/>
      <c r="CUO156" s="15"/>
      <c r="CUP156" s="15"/>
      <c r="CUQ156" s="15"/>
      <c r="CUR156" s="15"/>
      <c r="CUS156" s="15"/>
      <c r="CUT156" s="15"/>
      <c r="CUU156" s="15"/>
      <c r="CUV156" s="15"/>
      <c r="CUW156" s="15"/>
      <c r="CUX156" s="15"/>
      <c r="CUY156" s="15"/>
      <c r="CUZ156" s="15"/>
      <c r="CVA156" s="15"/>
      <c r="CVB156" s="15"/>
      <c r="CVC156" s="15"/>
      <c r="CVD156" s="15"/>
      <c r="CVE156" s="15"/>
      <c r="CVF156" s="15"/>
      <c r="CVG156" s="15"/>
      <c r="CVH156" s="15"/>
      <c r="CVI156" s="15"/>
      <c r="CVJ156" s="15"/>
      <c r="CVK156" s="15"/>
      <c r="CVL156" s="15"/>
      <c r="CVM156" s="15"/>
      <c r="CVN156" s="15"/>
      <c r="CVO156" s="15"/>
      <c r="CVP156" s="15"/>
      <c r="CVQ156" s="15"/>
      <c r="CVR156" s="15"/>
      <c r="CVS156" s="15"/>
      <c r="CVT156" s="15"/>
      <c r="CVU156" s="15"/>
      <c r="CVV156" s="15"/>
      <c r="CVW156" s="15"/>
      <c r="CVX156" s="15"/>
      <c r="CVY156" s="15"/>
      <c r="CVZ156" s="15"/>
      <c r="CWA156" s="15"/>
      <c r="CWB156" s="15"/>
      <c r="CWC156" s="15"/>
      <c r="CWD156" s="15"/>
      <c r="CWE156" s="15"/>
      <c r="CWF156" s="15"/>
      <c r="CWG156" s="15"/>
      <c r="CWH156" s="15"/>
      <c r="CWI156" s="15"/>
      <c r="CWJ156" s="15"/>
      <c r="CWK156" s="15"/>
      <c r="CWL156" s="15"/>
      <c r="CWM156" s="15"/>
      <c r="CWN156" s="15"/>
      <c r="CWO156" s="15"/>
      <c r="CWP156" s="15"/>
      <c r="CWQ156" s="15"/>
      <c r="CWR156" s="15"/>
      <c r="CWS156" s="15"/>
      <c r="CWT156" s="15"/>
      <c r="CWU156" s="15"/>
      <c r="CWV156" s="15"/>
      <c r="CWW156" s="15"/>
      <c r="CWX156" s="15"/>
      <c r="CWY156" s="15"/>
      <c r="CWZ156" s="15"/>
      <c r="CXA156" s="15"/>
      <c r="CXB156" s="15"/>
      <c r="CXC156" s="15"/>
      <c r="CXD156" s="15"/>
      <c r="CXE156" s="15"/>
      <c r="CXF156" s="15"/>
      <c r="CXG156" s="15"/>
      <c r="CXH156" s="15"/>
      <c r="CXI156" s="15"/>
      <c r="CXJ156" s="15"/>
      <c r="CXK156" s="15"/>
      <c r="CXL156" s="15"/>
      <c r="CXM156" s="15"/>
      <c r="CXN156" s="15"/>
      <c r="CXO156" s="15"/>
      <c r="CXP156" s="15"/>
      <c r="CXQ156" s="15"/>
      <c r="CXR156" s="15"/>
      <c r="CXS156" s="15"/>
      <c r="CXT156" s="15"/>
      <c r="CXU156" s="15"/>
      <c r="CXV156" s="15"/>
      <c r="CXW156" s="15"/>
      <c r="CXX156" s="15"/>
      <c r="CXY156" s="15"/>
      <c r="CXZ156" s="15"/>
      <c r="CYA156" s="15"/>
      <c r="CYB156" s="15"/>
      <c r="CYC156" s="15"/>
      <c r="CYD156" s="15"/>
      <c r="CYE156" s="15"/>
      <c r="CYF156" s="15"/>
      <c r="CYG156" s="15"/>
      <c r="CYH156" s="15"/>
      <c r="CYI156" s="15"/>
      <c r="CYJ156" s="15"/>
      <c r="CYK156" s="15"/>
      <c r="CYL156" s="15"/>
      <c r="CYM156" s="15"/>
      <c r="CYN156" s="15"/>
      <c r="CYO156" s="15"/>
      <c r="CYP156" s="15"/>
      <c r="CYQ156" s="15"/>
      <c r="CYR156" s="15"/>
      <c r="CYS156" s="15"/>
      <c r="CYT156" s="15"/>
      <c r="CYU156" s="15"/>
      <c r="CYV156" s="15"/>
      <c r="CYW156" s="15"/>
      <c r="CYX156" s="15"/>
      <c r="CYY156" s="15"/>
      <c r="CYZ156" s="15"/>
      <c r="CZA156" s="15"/>
      <c r="CZB156" s="15"/>
      <c r="CZC156" s="15"/>
      <c r="CZD156" s="15"/>
      <c r="CZE156" s="15"/>
      <c r="CZF156" s="15"/>
      <c r="CZG156" s="15"/>
      <c r="CZH156" s="15"/>
      <c r="CZI156" s="15"/>
      <c r="CZJ156" s="15"/>
      <c r="CZK156" s="15"/>
      <c r="CZL156" s="15"/>
      <c r="CZM156" s="15"/>
      <c r="CZN156" s="15"/>
      <c r="CZO156" s="15"/>
      <c r="CZP156" s="15"/>
      <c r="CZQ156" s="15"/>
      <c r="CZR156" s="15"/>
      <c r="CZS156" s="15"/>
      <c r="CZT156" s="15"/>
      <c r="CZU156" s="15"/>
      <c r="CZV156" s="15"/>
      <c r="CZW156" s="15"/>
      <c r="CZX156" s="15"/>
      <c r="CZY156" s="15"/>
      <c r="CZZ156" s="15"/>
      <c r="DAA156" s="15"/>
      <c r="DAB156" s="15"/>
      <c r="DAC156" s="15"/>
      <c r="DAD156" s="15"/>
      <c r="DAE156" s="15"/>
      <c r="DAF156" s="15"/>
      <c r="DAG156" s="15"/>
      <c r="DAH156" s="15"/>
      <c r="DAI156" s="15"/>
      <c r="DAJ156" s="15"/>
      <c r="DAK156" s="15"/>
      <c r="DAL156" s="15"/>
      <c r="DAM156" s="15"/>
      <c r="DAN156" s="15"/>
      <c r="DAO156" s="15"/>
      <c r="DAP156" s="15"/>
      <c r="DAQ156" s="15"/>
      <c r="DAR156" s="15"/>
      <c r="DAS156" s="15"/>
      <c r="DAT156" s="15"/>
      <c r="DAU156" s="15"/>
      <c r="DAV156" s="15"/>
      <c r="DAW156" s="15"/>
      <c r="DAX156" s="15"/>
      <c r="DAY156" s="15"/>
      <c r="DAZ156" s="15"/>
      <c r="DBA156" s="15"/>
      <c r="DBB156" s="15"/>
      <c r="DBC156" s="15"/>
      <c r="DBD156" s="15"/>
      <c r="DBE156" s="15"/>
      <c r="DBF156" s="15"/>
      <c r="DBG156" s="15"/>
      <c r="DBH156" s="15"/>
      <c r="DBI156" s="15"/>
      <c r="DBJ156" s="15"/>
      <c r="DBK156" s="15"/>
      <c r="DBL156" s="15"/>
      <c r="DBM156" s="15"/>
      <c r="DBN156" s="15"/>
      <c r="DBO156" s="15"/>
      <c r="DBP156" s="15"/>
      <c r="DBQ156" s="15"/>
      <c r="DBR156" s="15"/>
      <c r="DBS156" s="15"/>
      <c r="DBT156" s="15"/>
      <c r="DBU156" s="15"/>
      <c r="DBV156" s="15"/>
      <c r="DBW156" s="15"/>
      <c r="DBX156" s="15"/>
      <c r="DBY156" s="15"/>
      <c r="DBZ156" s="15"/>
      <c r="DCA156" s="15"/>
      <c r="DCB156" s="15"/>
      <c r="DCC156" s="15"/>
      <c r="DCD156" s="15"/>
      <c r="DCE156" s="15"/>
      <c r="DCF156" s="15"/>
      <c r="DCG156" s="15"/>
      <c r="DCH156" s="15"/>
      <c r="DCI156" s="15"/>
      <c r="DCJ156" s="15"/>
      <c r="DCK156" s="15"/>
      <c r="DCL156" s="15"/>
      <c r="DCM156" s="15"/>
      <c r="DCN156" s="15"/>
      <c r="DCO156" s="15"/>
      <c r="DCP156" s="15"/>
      <c r="DCQ156" s="15"/>
      <c r="DCR156" s="15"/>
      <c r="DCS156" s="15"/>
      <c r="DCT156" s="15"/>
      <c r="DCU156" s="15"/>
      <c r="DCV156" s="15"/>
      <c r="DCW156" s="15"/>
      <c r="DCX156" s="15"/>
      <c r="DCY156" s="15"/>
      <c r="DCZ156" s="15"/>
      <c r="DDA156" s="15"/>
      <c r="DDB156" s="15"/>
      <c r="DDC156" s="15"/>
      <c r="DDD156" s="15"/>
      <c r="DDE156" s="15"/>
      <c r="DDF156" s="15"/>
      <c r="DDG156" s="15"/>
      <c r="DDH156" s="15"/>
      <c r="DDI156" s="15"/>
      <c r="DDJ156" s="15"/>
      <c r="DDK156" s="15"/>
      <c r="DDL156" s="15"/>
      <c r="DDM156" s="15"/>
      <c r="DDN156" s="15"/>
      <c r="DDO156" s="15"/>
      <c r="DDP156" s="15"/>
      <c r="DDQ156" s="15"/>
      <c r="DDR156" s="15"/>
      <c r="DDS156" s="15"/>
      <c r="DDT156" s="15"/>
      <c r="DDU156" s="15"/>
      <c r="DDV156" s="15"/>
      <c r="DDW156" s="15"/>
      <c r="DDX156" s="15"/>
      <c r="DDY156" s="15"/>
      <c r="DDZ156" s="15"/>
      <c r="DEA156" s="15"/>
      <c r="DEB156" s="15"/>
      <c r="DEC156" s="15"/>
      <c r="DED156" s="15"/>
      <c r="DEE156" s="15"/>
      <c r="DEF156" s="15"/>
      <c r="DEG156" s="15"/>
      <c r="DEH156" s="15"/>
      <c r="DEI156" s="15"/>
      <c r="DEJ156" s="15"/>
      <c r="DEK156" s="15"/>
      <c r="DEL156" s="15"/>
      <c r="DEM156" s="15"/>
      <c r="DEN156" s="15"/>
      <c r="DEO156" s="15"/>
      <c r="DEP156" s="15"/>
      <c r="DEQ156" s="15"/>
      <c r="DER156" s="15"/>
      <c r="DES156" s="15"/>
      <c r="DET156" s="15"/>
      <c r="DEU156" s="15"/>
      <c r="DEV156" s="15"/>
      <c r="DEW156" s="15"/>
      <c r="DEX156" s="15"/>
      <c r="DEY156" s="15"/>
      <c r="DEZ156" s="15"/>
      <c r="DFA156" s="15"/>
      <c r="DFB156" s="15"/>
      <c r="DFC156" s="15"/>
      <c r="DFD156" s="15"/>
      <c r="DFE156" s="15"/>
      <c r="DFF156" s="15"/>
      <c r="DFG156" s="15"/>
      <c r="DFH156" s="15"/>
      <c r="DFI156" s="15"/>
      <c r="DFJ156" s="15"/>
      <c r="DFK156" s="15"/>
      <c r="DFL156" s="15"/>
      <c r="DFM156" s="15"/>
      <c r="DFN156" s="15"/>
      <c r="DFO156" s="15"/>
      <c r="DFP156" s="15"/>
      <c r="DFQ156" s="15"/>
      <c r="DFR156" s="15"/>
      <c r="DFS156" s="15"/>
      <c r="DFT156" s="15"/>
      <c r="DFU156" s="15"/>
      <c r="DFV156" s="15"/>
      <c r="DFW156" s="15"/>
      <c r="DFX156" s="15"/>
      <c r="DFY156" s="15"/>
      <c r="DFZ156" s="15"/>
      <c r="DGA156" s="15"/>
      <c r="DGB156" s="15"/>
      <c r="DGC156" s="15"/>
      <c r="DGD156" s="15"/>
      <c r="DGE156" s="15"/>
      <c r="DGF156" s="15"/>
      <c r="DGG156" s="15"/>
      <c r="DGH156" s="15"/>
      <c r="DGI156" s="15"/>
      <c r="DGJ156" s="15"/>
      <c r="DGK156" s="15"/>
      <c r="DGL156" s="15"/>
      <c r="DGM156" s="15"/>
      <c r="DGN156" s="15"/>
      <c r="DGO156" s="15"/>
      <c r="DGP156" s="15"/>
      <c r="DGQ156" s="15"/>
      <c r="DGR156" s="15"/>
      <c r="DGS156" s="15"/>
      <c r="DGT156" s="15"/>
      <c r="DGU156" s="15"/>
      <c r="DGV156" s="15"/>
      <c r="DGW156" s="15"/>
      <c r="DGX156" s="15"/>
      <c r="DGY156" s="15"/>
      <c r="DGZ156" s="15"/>
      <c r="DHA156" s="15"/>
      <c r="DHB156" s="15"/>
      <c r="DHC156" s="15"/>
      <c r="DHD156" s="15"/>
      <c r="DHE156" s="15"/>
      <c r="DHF156" s="15"/>
      <c r="DHG156" s="15"/>
      <c r="DHH156" s="15"/>
      <c r="DHI156" s="15"/>
      <c r="DHJ156" s="15"/>
      <c r="DHK156" s="15"/>
      <c r="DHL156" s="15"/>
      <c r="DHM156" s="15"/>
      <c r="DHN156" s="15"/>
      <c r="DHO156" s="15"/>
      <c r="DHP156" s="15"/>
      <c r="DHQ156" s="15"/>
      <c r="DHR156" s="15"/>
      <c r="DHS156" s="15"/>
      <c r="DHT156" s="15"/>
      <c r="DHU156" s="15"/>
      <c r="DHV156" s="15"/>
      <c r="DHW156" s="15"/>
      <c r="DHX156" s="15"/>
      <c r="DHY156" s="15"/>
      <c r="DHZ156" s="15"/>
      <c r="DIA156" s="15"/>
      <c r="DIB156" s="15"/>
      <c r="DIC156" s="15"/>
      <c r="DID156" s="15"/>
      <c r="DIE156" s="15"/>
      <c r="DIF156" s="15"/>
      <c r="DIG156" s="15"/>
      <c r="DIH156" s="15"/>
      <c r="DII156" s="15"/>
      <c r="DIJ156" s="15"/>
      <c r="DIK156" s="15"/>
      <c r="DIL156" s="15"/>
      <c r="DIM156" s="15"/>
      <c r="DIN156" s="15"/>
      <c r="DIO156" s="15"/>
      <c r="DIP156" s="15"/>
      <c r="DIQ156" s="15"/>
      <c r="DIR156" s="15"/>
      <c r="DIS156" s="15"/>
      <c r="DIT156" s="15"/>
      <c r="DIU156" s="15"/>
      <c r="DIV156" s="15"/>
      <c r="DIW156" s="15"/>
      <c r="DIX156" s="15"/>
      <c r="DIY156" s="15"/>
      <c r="DIZ156" s="15"/>
      <c r="DJA156" s="15"/>
      <c r="DJB156" s="15"/>
      <c r="DJC156" s="15"/>
      <c r="DJD156" s="15"/>
      <c r="DJE156" s="15"/>
      <c r="DJF156" s="15"/>
      <c r="DJG156" s="15"/>
      <c r="DJH156" s="15"/>
      <c r="DJI156" s="15"/>
      <c r="DJJ156" s="15"/>
      <c r="DJK156" s="15"/>
      <c r="DJL156" s="15"/>
      <c r="DJM156" s="15"/>
      <c r="DJN156" s="15"/>
      <c r="DJO156" s="15"/>
      <c r="DJP156" s="15"/>
      <c r="DJQ156" s="15"/>
      <c r="DJR156" s="15"/>
      <c r="DJS156" s="15"/>
      <c r="DJT156" s="15"/>
      <c r="DJU156" s="15"/>
      <c r="DJV156" s="15"/>
      <c r="DJW156" s="15"/>
      <c r="DJX156" s="15"/>
      <c r="DJY156" s="15"/>
      <c r="DJZ156" s="15"/>
      <c r="DKA156" s="15"/>
      <c r="DKB156" s="15"/>
      <c r="DKC156" s="15"/>
      <c r="DKD156" s="15"/>
      <c r="DKE156" s="15"/>
      <c r="DKF156" s="15"/>
      <c r="DKG156" s="15"/>
      <c r="DKH156" s="15"/>
      <c r="DKI156" s="15"/>
      <c r="DKJ156" s="15"/>
      <c r="DKK156" s="15"/>
      <c r="DKL156" s="15"/>
      <c r="DKM156" s="15"/>
      <c r="DKN156" s="15"/>
      <c r="DKO156" s="15"/>
      <c r="DKP156" s="15"/>
      <c r="DKQ156" s="15"/>
      <c r="DKR156" s="15"/>
      <c r="DKS156" s="15"/>
      <c r="DKT156" s="15"/>
      <c r="DKU156" s="15"/>
      <c r="DKV156" s="15"/>
      <c r="DKW156" s="15"/>
      <c r="DKX156" s="15"/>
      <c r="DKY156" s="15"/>
      <c r="DKZ156" s="15"/>
      <c r="DLA156" s="15"/>
      <c r="DLB156" s="15"/>
      <c r="DLC156" s="15"/>
      <c r="DLD156" s="15"/>
      <c r="DLE156" s="15"/>
      <c r="DLF156" s="15"/>
      <c r="DLG156" s="15"/>
      <c r="DLH156" s="15"/>
      <c r="DLI156" s="15"/>
      <c r="DLJ156" s="15"/>
      <c r="DLK156" s="15"/>
      <c r="DLL156" s="15"/>
      <c r="DLM156" s="15"/>
      <c r="DLN156" s="15"/>
      <c r="DLO156" s="15"/>
      <c r="DLP156" s="15"/>
      <c r="DLQ156" s="15"/>
      <c r="DLR156" s="15"/>
      <c r="DLS156" s="15"/>
      <c r="DLT156" s="15"/>
      <c r="DLU156" s="15"/>
      <c r="DLV156" s="15"/>
      <c r="DLW156" s="15"/>
      <c r="DLX156" s="15"/>
      <c r="DLY156" s="15"/>
      <c r="DLZ156" s="15"/>
      <c r="DMA156" s="15"/>
      <c r="DMB156" s="15"/>
      <c r="DMC156" s="15"/>
      <c r="DMD156" s="15"/>
      <c r="DME156" s="15"/>
      <c r="DMF156" s="15"/>
      <c r="DMG156" s="15"/>
      <c r="DMH156" s="15"/>
      <c r="DMI156" s="15"/>
      <c r="DMJ156" s="15"/>
      <c r="DMK156" s="15"/>
      <c r="DML156" s="15"/>
      <c r="DMM156" s="15"/>
      <c r="DMN156" s="15"/>
      <c r="DMO156" s="15"/>
      <c r="DMP156" s="15"/>
      <c r="DMQ156" s="15"/>
      <c r="DMR156" s="15"/>
      <c r="DMS156" s="15"/>
      <c r="DMT156" s="15"/>
      <c r="DMU156" s="15"/>
      <c r="DMV156" s="15"/>
      <c r="DMW156" s="15"/>
      <c r="DMX156" s="15"/>
      <c r="DMY156" s="15"/>
      <c r="DMZ156" s="15"/>
      <c r="DNA156" s="15"/>
      <c r="DNB156" s="15"/>
      <c r="DNC156" s="15"/>
      <c r="DND156" s="15"/>
      <c r="DNE156" s="15"/>
      <c r="DNF156" s="15"/>
      <c r="DNG156" s="15"/>
      <c r="DNH156" s="15"/>
      <c r="DNI156" s="15"/>
      <c r="DNJ156" s="15"/>
      <c r="DNK156" s="15"/>
      <c r="DNL156" s="15"/>
      <c r="DNM156" s="15"/>
      <c r="DNN156" s="15"/>
      <c r="DNO156" s="15"/>
      <c r="DNP156" s="15"/>
      <c r="DNQ156" s="15"/>
      <c r="DNR156" s="15"/>
      <c r="DNS156" s="15"/>
      <c r="DNT156" s="15"/>
      <c r="DNU156" s="15"/>
      <c r="DNV156" s="15"/>
      <c r="DNW156" s="15"/>
      <c r="DNX156" s="15"/>
      <c r="DNY156" s="15"/>
      <c r="DNZ156" s="15"/>
      <c r="DOA156" s="15"/>
      <c r="DOB156" s="15"/>
      <c r="DOC156" s="15"/>
      <c r="DOD156" s="15"/>
      <c r="DOE156" s="15"/>
      <c r="DOF156" s="15"/>
      <c r="DOG156" s="15"/>
      <c r="DOH156" s="15"/>
      <c r="DOI156" s="15"/>
      <c r="DOJ156" s="15"/>
      <c r="DOK156" s="15"/>
      <c r="DOL156" s="15"/>
      <c r="DOM156" s="15"/>
      <c r="DON156" s="15"/>
      <c r="DOO156" s="15"/>
      <c r="DOP156" s="15"/>
      <c r="DOQ156" s="15"/>
      <c r="DOR156" s="15"/>
      <c r="DOS156" s="15"/>
      <c r="DOT156" s="15"/>
      <c r="DOU156" s="15"/>
      <c r="DOV156" s="15"/>
      <c r="DOW156" s="15"/>
      <c r="DOX156" s="15"/>
      <c r="DOY156" s="15"/>
      <c r="DOZ156" s="15"/>
      <c r="DPA156" s="15"/>
      <c r="DPB156" s="15"/>
      <c r="DPC156" s="15"/>
      <c r="DPD156" s="15"/>
      <c r="DPE156" s="15"/>
      <c r="DPF156" s="15"/>
      <c r="DPG156" s="15"/>
      <c r="DPH156" s="15"/>
      <c r="DPI156" s="15"/>
      <c r="DPJ156" s="15"/>
      <c r="DPK156" s="15"/>
      <c r="DPL156" s="15"/>
      <c r="DPM156" s="15"/>
      <c r="DPN156" s="15"/>
      <c r="DPO156" s="15"/>
      <c r="DPP156" s="15"/>
      <c r="DPQ156" s="15"/>
      <c r="DPR156" s="15"/>
      <c r="DPS156" s="15"/>
      <c r="DPT156" s="15"/>
      <c r="DPU156" s="15"/>
      <c r="DPV156" s="15"/>
      <c r="DPW156" s="15"/>
      <c r="DPX156" s="15"/>
      <c r="DPY156" s="15"/>
      <c r="DPZ156" s="15"/>
      <c r="DQA156" s="15"/>
      <c r="DQB156" s="15"/>
      <c r="DQC156" s="15"/>
      <c r="DQD156" s="15"/>
      <c r="DQE156" s="15"/>
      <c r="DQF156" s="15"/>
      <c r="DQG156" s="15"/>
      <c r="DQH156" s="15"/>
      <c r="DQI156" s="15"/>
      <c r="DQJ156" s="15"/>
      <c r="DQK156" s="15"/>
      <c r="DQL156" s="15"/>
      <c r="DQM156" s="15"/>
      <c r="DQN156" s="15"/>
      <c r="DQO156" s="15"/>
      <c r="DQP156" s="15"/>
      <c r="DQQ156" s="15"/>
      <c r="DQR156" s="15"/>
      <c r="DQS156" s="15"/>
      <c r="DQT156" s="15"/>
      <c r="DQU156" s="15"/>
      <c r="DQV156" s="15"/>
      <c r="DQW156" s="15"/>
      <c r="DQX156" s="15"/>
      <c r="DQY156" s="15"/>
      <c r="DQZ156" s="15"/>
      <c r="DRA156" s="15"/>
      <c r="DRB156" s="15"/>
      <c r="DRC156" s="15"/>
      <c r="DRD156" s="15"/>
      <c r="DRE156" s="15"/>
      <c r="DRF156" s="15"/>
      <c r="DRG156" s="15"/>
      <c r="DRH156" s="15"/>
      <c r="DRI156" s="15"/>
      <c r="DRJ156" s="15"/>
      <c r="DRK156" s="15"/>
      <c r="DRL156" s="15"/>
      <c r="DRM156" s="15"/>
      <c r="DRN156" s="15"/>
      <c r="DRO156" s="15"/>
      <c r="DRP156" s="15"/>
      <c r="DRQ156" s="15"/>
      <c r="DRR156" s="15"/>
      <c r="DRS156" s="15"/>
      <c r="DRT156" s="15"/>
      <c r="DRU156" s="15"/>
      <c r="DRV156" s="15"/>
      <c r="DRW156" s="15"/>
      <c r="DRX156" s="15"/>
      <c r="DRY156" s="15"/>
      <c r="DRZ156" s="15"/>
      <c r="DSA156" s="15"/>
      <c r="DSB156" s="15"/>
      <c r="DSC156" s="15"/>
      <c r="DSD156" s="15"/>
      <c r="DSE156" s="15"/>
      <c r="DSF156" s="15"/>
      <c r="DSG156" s="15"/>
      <c r="DSH156" s="15"/>
      <c r="DSI156" s="15"/>
      <c r="DSJ156" s="15"/>
      <c r="DSK156" s="15"/>
      <c r="DSL156" s="15"/>
      <c r="DSM156" s="15"/>
      <c r="DSN156" s="15"/>
      <c r="DSO156" s="15"/>
      <c r="DSP156" s="15"/>
      <c r="DSQ156" s="15"/>
      <c r="DSR156" s="15"/>
      <c r="DSS156" s="15"/>
      <c r="DST156" s="15"/>
      <c r="DSU156" s="15"/>
      <c r="DSV156" s="15"/>
      <c r="DSW156" s="15"/>
      <c r="DSX156" s="15"/>
      <c r="DSY156" s="15"/>
      <c r="DSZ156" s="15"/>
      <c r="DTA156" s="15"/>
      <c r="DTB156" s="15"/>
      <c r="DTC156" s="15"/>
      <c r="DTD156" s="15"/>
      <c r="DTE156" s="15"/>
      <c r="DTF156" s="15"/>
      <c r="DTG156" s="15"/>
      <c r="DTH156" s="15"/>
      <c r="DTI156" s="15"/>
      <c r="DTJ156" s="15"/>
      <c r="DTK156" s="15"/>
      <c r="DTL156" s="15"/>
      <c r="DTM156" s="15"/>
      <c r="DTN156" s="15"/>
      <c r="DTO156" s="15"/>
      <c r="DTP156" s="15"/>
      <c r="DTQ156" s="15"/>
      <c r="DTR156" s="15"/>
      <c r="DTS156" s="15"/>
      <c r="DTT156" s="15"/>
      <c r="DTU156" s="15"/>
      <c r="DTV156" s="15"/>
      <c r="DTW156" s="15"/>
      <c r="DTX156" s="15"/>
      <c r="DTY156" s="15"/>
      <c r="DTZ156" s="15"/>
      <c r="DUA156" s="15"/>
      <c r="DUB156" s="15"/>
      <c r="DUC156" s="15"/>
      <c r="DUD156" s="15"/>
      <c r="DUE156" s="15"/>
      <c r="DUF156" s="15"/>
      <c r="DUG156" s="15"/>
      <c r="DUH156" s="15"/>
      <c r="DUI156" s="15"/>
      <c r="DUJ156" s="15"/>
      <c r="DUK156" s="15"/>
      <c r="DUL156" s="15"/>
      <c r="DUM156" s="15"/>
      <c r="DUN156" s="15"/>
      <c r="DUO156" s="15"/>
      <c r="DUP156" s="15"/>
      <c r="DUQ156" s="15"/>
      <c r="DUR156" s="15"/>
      <c r="DUS156" s="15"/>
      <c r="DUT156" s="15"/>
      <c r="DUU156" s="15"/>
      <c r="DUV156" s="15"/>
      <c r="DUW156" s="15"/>
      <c r="DUX156" s="15"/>
      <c r="DUY156" s="15"/>
      <c r="DUZ156" s="15"/>
      <c r="DVA156" s="15"/>
      <c r="DVB156" s="15"/>
      <c r="DVC156" s="15"/>
      <c r="DVD156" s="15"/>
      <c r="DVE156" s="15"/>
      <c r="DVF156" s="15"/>
      <c r="DVG156" s="15"/>
      <c r="DVH156" s="15"/>
      <c r="DVI156" s="15"/>
      <c r="DVJ156" s="15"/>
      <c r="DVK156" s="15"/>
      <c r="DVL156" s="15"/>
      <c r="DVM156" s="15"/>
      <c r="DVN156" s="15"/>
      <c r="DVO156" s="15"/>
      <c r="DVP156" s="15"/>
      <c r="DVQ156" s="15"/>
      <c r="DVR156" s="15"/>
      <c r="DVS156" s="15"/>
      <c r="DVT156" s="15"/>
      <c r="DVU156" s="15"/>
      <c r="DVV156" s="15"/>
      <c r="DVW156" s="15"/>
      <c r="DVX156" s="15"/>
      <c r="DVY156" s="15"/>
      <c r="DVZ156" s="15"/>
      <c r="DWA156" s="15"/>
      <c r="DWB156" s="15"/>
      <c r="DWC156" s="15"/>
      <c r="DWD156" s="15"/>
      <c r="DWE156" s="15"/>
      <c r="DWF156" s="15"/>
      <c r="DWG156" s="15"/>
      <c r="DWH156" s="15"/>
      <c r="DWI156" s="15"/>
      <c r="DWJ156" s="15"/>
      <c r="DWK156" s="15"/>
      <c r="DWL156" s="15"/>
      <c r="DWM156" s="15"/>
      <c r="DWN156" s="15"/>
      <c r="DWO156" s="15"/>
      <c r="DWP156" s="15"/>
      <c r="DWQ156" s="15"/>
      <c r="DWR156" s="15"/>
      <c r="DWS156" s="15"/>
      <c r="DWT156" s="15"/>
      <c r="DWU156" s="15"/>
      <c r="DWV156" s="15"/>
      <c r="DWW156" s="15"/>
      <c r="DWX156" s="15"/>
      <c r="DWY156" s="15"/>
      <c r="DWZ156" s="15"/>
      <c r="DXA156" s="15"/>
      <c r="DXB156" s="15"/>
      <c r="DXC156" s="15"/>
      <c r="DXD156" s="15"/>
      <c r="DXE156" s="15"/>
      <c r="DXF156" s="15"/>
      <c r="DXG156" s="15"/>
      <c r="DXH156" s="15"/>
      <c r="DXI156" s="15"/>
      <c r="DXJ156" s="15"/>
      <c r="DXK156" s="15"/>
      <c r="DXL156" s="15"/>
      <c r="DXM156" s="15"/>
      <c r="DXN156" s="15"/>
      <c r="DXO156" s="15"/>
      <c r="DXP156" s="15"/>
      <c r="DXQ156" s="15"/>
      <c r="DXR156" s="15"/>
      <c r="DXS156" s="15"/>
      <c r="DXT156" s="15"/>
      <c r="DXU156" s="15"/>
      <c r="DXV156" s="15"/>
      <c r="DXW156" s="15"/>
      <c r="DXX156" s="15"/>
      <c r="DXY156" s="15"/>
      <c r="DXZ156" s="15"/>
      <c r="DYA156" s="15"/>
      <c r="DYB156" s="15"/>
      <c r="DYC156" s="15"/>
      <c r="DYD156" s="15"/>
      <c r="DYE156" s="15"/>
      <c r="DYF156" s="15"/>
      <c r="DYG156" s="15"/>
      <c r="DYH156" s="15"/>
      <c r="DYI156" s="15"/>
      <c r="DYJ156" s="15"/>
      <c r="DYK156" s="15"/>
      <c r="DYL156" s="15"/>
      <c r="DYM156" s="15"/>
      <c r="DYN156" s="15"/>
      <c r="DYO156" s="15"/>
      <c r="DYP156" s="15"/>
      <c r="DYQ156" s="15"/>
      <c r="DYR156" s="15"/>
      <c r="DYS156" s="15"/>
      <c r="DYT156" s="15"/>
      <c r="DYU156" s="15"/>
      <c r="DYV156" s="15"/>
      <c r="DYW156" s="15"/>
      <c r="DYX156" s="15"/>
      <c r="DYY156" s="15"/>
      <c r="DYZ156" s="15"/>
      <c r="DZA156" s="15"/>
      <c r="DZB156" s="15"/>
      <c r="DZC156" s="15"/>
      <c r="DZD156" s="15"/>
      <c r="DZE156" s="15"/>
      <c r="DZF156" s="15"/>
      <c r="DZG156" s="15"/>
      <c r="DZH156" s="15"/>
      <c r="DZI156" s="15"/>
      <c r="DZJ156" s="15"/>
      <c r="DZK156" s="15"/>
      <c r="DZL156" s="15"/>
      <c r="DZM156" s="15"/>
      <c r="DZN156" s="15"/>
      <c r="DZO156" s="15"/>
      <c r="DZP156" s="15"/>
      <c r="DZQ156" s="15"/>
      <c r="DZR156" s="15"/>
      <c r="DZS156" s="15"/>
      <c r="DZT156" s="15"/>
      <c r="DZU156" s="15"/>
      <c r="DZV156" s="15"/>
      <c r="DZW156" s="15"/>
      <c r="DZX156" s="15"/>
      <c r="DZY156" s="15"/>
      <c r="DZZ156" s="15"/>
      <c r="EAA156" s="15"/>
      <c r="EAB156" s="15"/>
      <c r="EAC156" s="15"/>
      <c r="EAD156" s="15"/>
      <c r="EAE156" s="15"/>
      <c r="EAF156" s="15"/>
      <c r="EAG156" s="15"/>
      <c r="EAH156" s="15"/>
      <c r="EAI156" s="15"/>
      <c r="EAJ156" s="15"/>
      <c r="EAK156" s="15"/>
      <c r="EAL156" s="15"/>
      <c r="EAM156" s="15"/>
      <c r="EAN156" s="15"/>
      <c r="EAO156" s="15"/>
      <c r="EAP156" s="15"/>
      <c r="EAQ156" s="15"/>
      <c r="EAR156" s="15"/>
      <c r="EAS156" s="15"/>
      <c r="EAT156" s="15"/>
      <c r="EAU156" s="15"/>
      <c r="EAV156" s="15"/>
      <c r="EAW156" s="15"/>
      <c r="EAX156" s="15"/>
      <c r="EAY156" s="15"/>
      <c r="EAZ156" s="15"/>
      <c r="EBA156" s="15"/>
      <c r="EBB156" s="15"/>
      <c r="EBC156" s="15"/>
      <c r="EBD156" s="15"/>
      <c r="EBE156" s="15"/>
      <c r="EBF156" s="15"/>
      <c r="EBG156" s="15"/>
      <c r="EBH156" s="15"/>
      <c r="EBI156" s="15"/>
      <c r="EBJ156" s="15"/>
      <c r="EBK156" s="15"/>
      <c r="EBL156" s="15"/>
      <c r="EBM156" s="15"/>
      <c r="EBN156" s="15"/>
      <c r="EBO156" s="15"/>
      <c r="EBP156" s="15"/>
      <c r="EBQ156" s="15"/>
      <c r="EBR156" s="15"/>
      <c r="EBS156" s="15"/>
      <c r="EBT156" s="15"/>
      <c r="EBU156" s="15"/>
      <c r="EBV156" s="15"/>
      <c r="EBW156" s="15"/>
      <c r="EBX156" s="15"/>
      <c r="EBY156" s="15"/>
      <c r="EBZ156" s="15"/>
      <c r="ECA156" s="15"/>
      <c r="ECB156" s="15"/>
      <c r="ECC156" s="15"/>
      <c r="ECD156" s="15"/>
      <c r="ECE156" s="15"/>
      <c r="ECF156" s="15"/>
      <c r="ECG156" s="15"/>
      <c r="ECH156" s="15"/>
      <c r="ECI156" s="15"/>
      <c r="ECJ156" s="15"/>
      <c r="ECK156" s="15"/>
      <c r="ECL156" s="15"/>
      <c r="ECM156" s="15"/>
      <c r="ECN156" s="15"/>
      <c r="ECO156" s="15"/>
      <c r="ECP156" s="15"/>
      <c r="ECQ156" s="15"/>
      <c r="ECR156" s="15"/>
      <c r="ECS156" s="15"/>
      <c r="ECT156" s="15"/>
      <c r="ECU156" s="15"/>
      <c r="ECV156" s="15"/>
      <c r="ECW156" s="15"/>
      <c r="ECX156" s="15"/>
      <c r="ECY156" s="15"/>
      <c r="ECZ156" s="15"/>
      <c r="EDA156" s="15"/>
      <c r="EDB156" s="15"/>
      <c r="EDC156" s="15"/>
      <c r="EDD156" s="15"/>
      <c r="EDE156" s="15"/>
      <c r="EDF156" s="15"/>
      <c r="EDG156" s="15"/>
      <c r="EDH156" s="15"/>
      <c r="EDI156" s="15"/>
      <c r="EDJ156" s="15"/>
      <c r="EDK156" s="15"/>
      <c r="EDL156" s="15"/>
      <c r="EDM156" s="15"/>
      <c r="EDN156" s="15"/>
      <c r="EDO156" s="15"/>
      <c r="EDP156" s="15"/>
      <c r="EDQ156" s="15"/>
      <c r="EDR156" s="15"/>
      <c r="EDS156" s="15"/>
      <c r="EDT156" s="15"/>
      <c r="EDU156" s="15"/>
      <c r="EDV156" s="15"/>
      <c r="EDW156" s="15"/>
      <c r="EDX156" s="15"/>
      <c r="EDY156" s="15"/>
      <c r="EDZ156" s="15"/>
      <c r="EEA156" s="15"/>
      <c r="EEB156" s="15"/>
      <c r="EEC156" s="15"/>
      <c r="EED156" s="15"/>
      <c r="EEE156" s="15"/>
      <c r="EEF156" s="15"/>
      <c r="EEG156" s="15"/>
      <c r="EEH156" s="15"/>
      <c r="EEI156" s="15"/>
      <c r="EEJ156" s="15"/>
      <c r="EEK156" s="15"/>
      <c r="EEL156" s="15"/>
      <c r="EEM156" s="15"/>
      <c r="EEN156" s="15"/>
      <c r="EEO156" s="15"/>
      <c r="EEP156" s="15"/>
      <c r="EEQ156" s="15"/>
      <c r="EER156" s="15"/>
      <c r="EES156" s="15"/>
      <c r="EET156" s="15"/>
      <c r="EEU156" s="15"/>
      <c r="EEV156" s="15"/>
      <c r="EEW156" s="15"/>
      <c r="EEX156" s="15"/>
      <c r="EEY156" s="15"/>
      <c r="EEZ156" s="15"/>
      <c r="EFA156" s="15"/>
      <c r="EFB156" s="15"/>
      <c r="EFC156" s="15"/>
      <c r="EFD156" s="15"/>
      <c r="EFE156" s="15"/>
      <c r="EFF156" s="15"/>
      <c r="EFG156" s="15"/>
      <c r="EFH156" s="15"/>
      <c r="EFI156" s="15"/>
      <c r="EFJ156" s="15"/>
      <c r="EFK156" s="15"/>
      <c r="EFL156" s="15"/>
      <c r="EFM156" s="15"/>
      <c r="EFN156" s="15"/>
      <c r="EFO156" s="15"/>
      <c r="EFP156" s="15"/>
      <c r="EFQ156" s="15"/>
      <c r="EFR156" s="15"/>
      <c r="EFS156" s="15"/>
      <c r="EFT156" s="15"/>
      <c r="EFU156" s="15"/>
      <c r="EFV156" s="15"/>
      <c r="EFW156" s="15"/>
      <c r="EFX156" s="15"/>
      <c r="EFY156" s="15"/>
      <c r="EFZ156" s="15"/>
      <c r="EGA156" s="15"/>
      <c r="EGB156" s="15"/>
      <c r="EGC156" s="15"/>
      <c r="EGD156" s="15"/>
      <c r="EGE156" s="15"/>
      <c r="EGF156" s="15"/>
      <c r="EGG156" s="15"/>
      <c r="EGH156" s="15"/>
      <c r="EGI156" s="15"/>
      <c r="EGJ156" s="15"/>
      <c r="EGK156" s="15"/>
      <c r="EGL156" s="15"/>
      <c r="EGM156" s="15"/>
      <c r="EGN156" s="15"/>
      <c r="EGO156" s="15"/>
      <c r="EGP156" s="15"/>
      <c r="EGQ156" s="15"/>
      <c r="EGR156" s="15"/>
      <c r="EGS156" s="15"/>
      <c r="EGT156" s="15"/>
      <c r="EGU156" s="15"/>
      <c r="EGV156" s="15"/>
      <c r="EGW156" s="15"/>
      <c r="EGX156" s="15"/>
      <c r="EGY156" s="15"/>
      <c r="EGZ156" s="15"/>
      <c r="EHA156" s="15"/>
      <c r="EHB156" s="15"/>
      <c r="EHC156" s="15"/>
      <c r="EHD156" s="15"/>
      <c r="EHE156" s="15"/>
      <c r="EHF156" s="15"/>
      <c r="EHG156" s="15"/>
      <c r="EHH156" s="15"/>
      <c r="EHI156" s="15"/>
      <c r="EHJ156" s="15"/>
      <c r="EHK156" s="15"/>
      <c r="EHL156" s="15"/>
      <c r="EHM156" s="15"/>
      <c r="EHN156" s="15"/>
      <c r="EHO156" s="15"/>
      <c r="EHP156" s="15"/>
      <c r="EHQ156" s="15"/>
      <c r="EHR156" s="15"/>
      <c r="EHS156" s="15"/>
      <c r="EHT156" s="15"/>
      <c r="EHU156" s="15"/>
      <c r="EHV156" s="15"/>
      <c r="EHW156" s="15"/>
      <c r="EHX156" s="15"/>
      <c r="EHY156" s="15"/>
      <c r="EHZ156" s="15"/>
      <c r="EIA156" s="15"/>
      <c r="EIB156" s="15"/>
      <c r="EIC156" s="15"/>
      <c r="EID156" s="15"/>
      <c r="EIE156" s="15"/>
      <c r="EIF156" s="15"/>
      <c r="EIG156" s="15"/>
      <c r="EIH156" s="15"/>
      <c r="EII156" s="15"/>
      <c r="EIJ156" s="15"/>
      <c r="EIK156" s="15"/>
      <c r="EIL156" s="15"/>
      <c r="EIM156" s="15"/>
      <c r="EIN156" s="15"/>
      <c r="EIO156" s="15"/>
      <c r="EIP156" s="15"/>
      <c r="EIQ156" s="15"/>
      <c r="EIR156" s="15"/>
      <c r="EIS156" s="15"/>
      <c r="EIT156" s="15"/>
      <c r="EIU156" s="15"/>
      <c r="EIV156" s="15"/>
      <c r="EIW156" s="15"/>
      <c r="EIX156" s="15"/>
      <c r="EIY156" s="15"/>
      <c r="EIZ156" s="15"/>
      <c r="EJA156" s="15"/>
      <c r="EJB156" s="15"/>
      <c r="EJC156" s="15"/>
      <c r="EJD156" s="15"/>
      <c r="EJE156" s="15"/>
      <c r="EJF156" s="15"/>
      <c r="EJG156" s="15"/>
      <c r="EJH156" s="15"/>
      <c r="EJI156" s="15"/>
      <c r="EJJ156" s="15"/>
      <c r="EJK156" s="15"/>
      <c r="EJL156" s="15"/>
      <c r="EJM156" s="15"/>
      <c r="EJN156" s="15"/>
      <c r="EJO156" s="15"/>
      <c r="EJP156" s="15"/>
      <c r="EJQ156" s="15"/>
      <c r="EJR156" s="15"/>
      <c r="EJS156" s="15"/>
      <c r="EJT156" s="15"/>
      <c r="EJU156" s="15"/>
      <c r="EJV156" s="15"/>
      <c r="EJW156" s="15"/>
      <c r="EJX156" s="15"/>
      <c r="EJY156" s="15"/>
      <c r="EJZ156" s="15"/>
      <c r="EKA156" s="15"/>
      <c r="EKB156" s="15"/>
      <c r="EKC156" s="15"/>
      <c r="EKD156" s="15"/>
      <c r="EKE156" s="15"/>
      <c r="EKF156" s="15"/>
      <c r="EKG156" s="15"/>
      <c r="EKH156" s="15"/>
      <c r="EKI156" s="15"/>
      <c r="EKJ156" s="15"/>
      <c r="EKK156" s="15"/>
      <c r="EKL156" s="15"/>
      <c r="EKM156" s="15"/>
      <c r="EKN156" s="15"/>
      <c r="EKO156" s="15"/>
      <c r="EKP156" s="15"/>
      <c r="EKQ156" s="15"/>
      <c r="EKR156" s="15"/>
      <c r="EKS156" s="15"/>
      <c r="EKT156" s="15"/>
      <c r="EKU156" s="15"/>
      <c r="EKV156" s="15"/>
      <c r="EKW156" s="15"/>
      <c r="EKX156" s="15"/>
      <c r="EKY156" s="15"/>
      <c r="EKZ156" s="15"/>
      <c r="ELA156" s="15"/>
      <c r="ELB156" s="15"/>
      <c r="ELC156" s="15"/>
      <c r="ELD156" s="15"/>
      <c r="ELE156" s="15"/>
      <c r="ELF156" s="15"/>
      <c r="ELG156" s="15"/>
      <c r="ELH156" s="15"/>
      <c r="ELI156" s="15"/>
      <c r="ELJ156" s="15"/>
      <c r="ELK156" s="15"/>
      <c r="ELL156" s="15"/>
      <c r="ELM156" s="15"/>
      <c r="ELN156" s="15"/>
      <c r="ELO156" s="15"/>
      <c r="ELP156" s="15"/>
      <c r="ELQ156" s="15"/>
      <c r="ELR156" s="15"/>
      <c r="ELS156" s="15"/>
      <c r="ELT156" s="15"/>
      <c r="ELU156" s="15"/>
      <c r="ELV156" s="15"/>
      <c r="ELW156" s="15"/>
      <c r="ELX156" s="15"/>
      <c r="ELY156" s="15"/>
      <c r="ELZ156" s="15"/>
      <c r="EMA156" s="15"/>
      <c r="EMB156" s="15"/>
      <c r="EMC156" s="15"/>
      <c r="EMD156" s="15"/>
      <c r="EME156" s="15"/>
      <c r="EMF156" s="15"/>
      <c r="EMG156" s="15"/>
      <c r="EMH156" s="15"/>
      <c r="EMI156" s="15"/>
      <c r="EMJ156" s="15"/>
      <c r="EMK156" s="15"/>
      <c r="EML156" s="15"/>
      <c r="EMM156" s="15"/>
      <c r="EMN156" s="15"/>
      <c r="EMO156" s="15"/>
      <c r="EMP156" s="15"/>
      <c r="EMQ156" s="15"/>
      <c r="EMR156" s="15"/>
      <c r="EMS156" s="15"/>
      <c r="EMT156" s="15"/>
      <c r="EMU156" s="15"/>
      <c r="EMV156" s="15"/>
      <c r="EMW156" s="15"/>
      <c r="EMX156" s="15"/>
      <c r="EMY156" s="15"/>
      <c r="EMZ156" s="15"/>
      <c r="ENA156" s="15"/>
      <c r="ENB156" s="15"/>
      <c r="ENC156" s="15"/>
      <c r="END156" s="15"/>
      <c r="ENE156" s="15"/>
      <c r="ENF156" s="15"/>
      <c r="ENG156" s="15"/>
      <c r="ENH156" s="15"/>
      <c r="ENI156" s="15"/>
      <c r="ENJ156" s="15"/>
      <c r="ENK156" s="15"/>
      <c r="ENL156" s="15"/>
      <c r="ENM156" s="15"/>
      <c r="ENN156" s="15"/>
      <c r="ENO156" s="15"/>
      <c r="ENP156" s="15"/>
      <c r="ENQ156" s="15"/>
      <c r="ENR156" s="15"/>
      <c r="ENS156" s="15"/>
      <c r="ENT156" s="15"/>
      <c r="ENU156" s="15"/>
      <c r="ENV156" s="15"/>
      <c r="ENW156" s="15"/>
      <c r="ENX156" s="15"/>
      <c r="ENY156" s="15"/>
      <c r="ENZ156" s="15"/>
      <c r="EOA156" s="15"/>
      <c r="EOB156" s="15"/>
      <c r="EOC156" s="15"/>
      <c r="EOD156" s="15"/>
      <c r="EOE156" s="15"/>
      <c r="EOF156" s="15"/>
      <c r="EOG156" s="15"/>
      <c r="EOH156" s="15"/>
      <c r="EOI156" s="15"/>
      <c r="EOJ156" s="15"/>
      <c r="EOK156" s="15"/>
      <c r="EOL156" s="15"/>
      <c r="EOM156" s="15"/>
      <c r="EON156" s="15"/>
      <c r="EOO156" s="15"/>
      <c r="EOP156" s="15"/>
      <c r="EOQ156" s="15"/>
      <c r="EOR156" s="15"/>
      <c r="EOS156" s="15"/>
      <c r="EOT156" s="15"/>
      <c r="EOU156" s="15"/>
      <c r="EOV156" s="15"/>
      <c r="EOW156" s="15"/>
      <c r="EOX156" s="15"/>
      <c r="EOY156" s="15"/>
      <c r="EOZ156" s="15"/>
      <c r="EPA156" s="15"/>
      <c r="EPB156" s="15"/>
      <c r="EPC156" s="15"/>
      <c r="EPD156" s="15"/>
      <c r="EPE156" s="15"/>
      <c r="EPF156" s="15"/>
      <c r="EPG156" s="15"/>
      <c r="EPH156" s="15"/>
      <c r="EPI156" s="15"/>
      <c r="EPJ156" s="15"/>
      <c r="EPK156" s="15"/>
      <c r="EPL156" s="15"/>
      <c r="EPM156" s="15"/>
      <c r="EPN156" s="15"/>
      <c r="EPO156" s="15"/>
      <c r="EPP156" s="15"/>
      <c r="EPQ156" s="15"/>
      <c r="EPR156" s="15"/>
      <c r="EPS156" s="15"/>
      <c r="EPT156" s="15"/>
      <c r="EPU156" s="15"/>
      <c r="EPV156" s="15"/>
      <c r="EPW156" s="15"/>
      <c r="EPX156" s="15"/>
      <c r="EPY156" s="15"/>
      <c r="EPZ156" s="15"/>
      <c r="EQA156" s="15"/>
      <c r="EQB156" s="15"/>
      <c r="EQC156" s="15"/>
      <c r="EQD156" s="15"/>
      <c r="EQE156" s="15"/>
      <c r="EQF156" s="15"/>
      <c r="EQG156" s="15"/>
      <c r="EQH156" s="15"/>
      <c r="EQI156" s="15"/>
      <c r="EQJ156" s="15"/>
      <c r="EQK156" s="15"/>
      <c r="EQL156" s="15"/>
      <c r="EQM156" s="15"/>
      <c r="EQN156" s="15"/>
      <c r="EQO156" s="15"/>
      <c r="EQP156" s="15"/>
      <c r="EQQ156" s="15"/>
      <c r="EQR156" s="15"/>
      <c r="EQS156" s="15"/>
      <c r="EQT156" s="15"/>
      <c r="EQU156" s="15"/>
      <c r="EQV156" s="15"/>
      <c r="EQW156" s="15"/>
      <c r="EQX156" s="15"/>
      <c r="EQY156" s="15"/>
      <c r="EQZ156" s="15"/>
      <c r="ERA156" s="15"/>
      <c r="ERB156" s="15"/>
      <c r="ERC156" s="15"/>
      <c r="ERD156" s="15"/>
      <c r="ERE156" s="15"/>
      <c r="ERF156" s="15"/>
      <c r="ERG156" s="15"/>
      <c r="ERH156" s="15"/>
      <c r="ERI156" s="15"/>
      <c r="ERJ156" s="15"/>
      <c r="ERK156" s="15"/>
      <c r="ERL156" s="15"/>
      <c r="ERM156" s="15"/>
      <c r="ERN156" s="15"/>
      <c r="ERO156" s="15"/>
      <c r="ERP156" s="15"/>
      <c r="ERQ156" s="15"/>
      <c r="ERR156" s="15"/>
      <c r="ERS156" s="15"/>
      <c r="ERT156" s="15"/>
      <c r="ERU156" s="15"/>
      <c r="ERV156" s="15"/>
      <c r="ERW156" s="15"/>
      <c r="ERX156" s="15"/>
      <c r="ERY156" s="15"/>
      <c r="ERZ156" s="15"/>
      <c r="ESA156" s="15"/>
      <c r="ESB156" s="15"/>
      <c r="ESC156" s="15"/>
      <c r="ESD156" s="15"/>
      <c r="ESE156" s="15"/>
      <c r="ESF156" s="15"/>
      <c r="ESG156" s="15"/>
      <c r="ESH156" s="15"/>
      <c r="ESI156" s="15"/>
      <c r="ESJ156" s="15"/>
      <c r="ESK156" s="15"/>
      <c r="ESL156" s="15"/>
      <c r="ESM156" s="15"/>
      <c r="ESN156" s="15"/>
      <c r="ESO156" s="15"/>
      <c r="ESP156" s="15"/>
      <c r="ESQ156" s="15"/>
      <c r="ESR156" s="15"/>
      <c r="ESS156" s="15"/>
      <c r="EST156" s="15"/>
      <c r="ESU156" s="15"/>
      <c r="ESV156" s="15"/>
      <c r="ESW156" s="15"/>
      <c r="ESX156" s="15"/>
      <c r="ESY156" s="15"/>
      <c r="ESZ156" s="15"/>
      <c r="ETA156" s="15"/>
      <c r="ETB156" s="15"/>
      <c r="ETC156" s="15"/>
      <c r="ETD156" s="15"/>
      <c r="ETE156" s="15"/>
      <c r="ETF156" s="15"/>
      <c r="ETG156" s="15"/>
      <c r="ETH156" s="15"/>
      <c r="ETI156" s="15"/>
      <c r="ETJ156" s="15"/>
      <c r="ETK156" s="15"/>
      <c r="ETL156" s="15"/>
      <c r="ETM156" s="15"/>
      <c r="ETN156" s="15"/>
      <c r="ETO156" s="15"/>
      <c r="ETP156" s="15"/>
      <c r="ETQ156" s="15"/>
      <c r="ETR156" s="15"/>
      <c r="ETS156" s="15"/>
      <c r="ETT156" s="15"/>
      <c r="ETU156" s="15"/>
      <c r="ETV156" s="15"/>
      <c r="ETW156" s="15"/>
      <c r="ETX156" s="15"/>
      <c r="ETY156" s="15"/>
      <c r="ETZ156" s="15"/>
      <c r="EUA156" s="15"/>
      <c r="EUB156" s="15"/>
      <c r="EUC156" s="15"/>
      <c r="EUD156" s="15"/>
      <c r="EUE156" s="15"/>
      <c r="EUF156" s="15"/>
      <c r="EUG156" s="15"/>
      <c r="EUH156" s="15"/>
      <c r="EUI156" s="15"/>
      <c r="EUJ156" s="15"/>
      <c r="EUK156" s="15"/>
      <c r="EUL156" s="15"/>
      <c r="EUM156" s="15"/>
      <c r="EUN156" s="15"/>
      <c r="EUO156" s="15"/>
      <c r="EUP156" s="15"/>
      <c r="EUQ156" s="15"/>
      <c r="EUR156" s="15"/>
      <c r="EUS156" s="15"/>
      <c r="EUT156" s="15"/>
      <c r="EUU156" s="15"/>
      <c r="EUV156" s="15"/>
      <c r="EUW156" s="15"/>
      <c r="EUX156" s="15"/>
      <c r="EUY156" s="15"/>
      <c r="EUZ156" s="15"/>
      <c r="EVA156" s="15"/>
      <c r="EVB156" s="15"/>
      <c r="EVC156" s="15"/>
      <c r="EVD156" s="15"/>
      <c r="EVE156" s="15"/>
      <c r="EVF156" s="15"/>
      <c r="EVG156" s="15"/>
      <c r="EVH156" s="15"/>
      <c r="EVI156" s="15"/>
      <c r="EVJ156" s="15"/>
      <c r="EVK156" s="15"/>
      <c r="EVL156" s="15"/>
      <c r="EVM156" s="15"/>
      <c r="EVN156" s="15"/>
      <c r="EVO156" s="15"/>
      <c r="EVP156" s="15"/>
      <c r="EVQ156" s="15"/>
      <c r="EVR156" s="15"/>
      <c r="EVS156" s="15"/>
      <c r="EVT156" s="15"/>
      <c r="EVU156" s="15"/>
      <c r="EVV156" s="15"/>
      <c r="EVW156" s="15"/>
      <c r="EVX156" s="15"/>
      <c r="EVY156" s="15"/>
      <c r="EVZ156" s="15"/>
      <c r="EWA156" s="15"/>
      <c r="EWB156" s="15"/>
      <c r="EWC156" s="15"/>
      <c r="EWD156" s="15"/>
      <c r="EWE156" s="15"/>
      <c r="EWF156" s="15"/>
      <c r="EWG156" s="15"/>
      <c r="EWH156" s="15"/>
      <c r="EWI156" s="15"/>
      <c r="EWJ156" s="15"/>
      <c r="EWK156" s="15"/>
      <c r="EWL156" s="15"/>
      <c r="EWM156" s="15"/>
      <c r="EWN156" s="15"/>
      <c r="EWO156" s="15"/>
      <c r="EWP156" s="15"/>
      <c r="EWQ156" s="15"/>
      <c r="EWR156" s="15"/>
      <c r="EWS156" s="15"/>
      <c r="EWT156" s="15"/>
      <c r="EWU156" s="15"/>
      <c r="EWV156" s="15"/>
      <c r="EWW156" s="15"/>
      <c r="EWX156" s="15"/>
      <c r="EWY156" s="15"/>
      <c r="EWZ156" s="15"/>
      <c r="EXA156" s="15"/>
      <c r="EXB156" s="15"/>
      <c r="EXC156" s="15"/>
      <c r="EXD156" s="15"/>
      <c r="EXE156" s="15"/>
      <c r="EXF156" s="15"/>
      <c r="EXG156" s="15"/>
      <c r="EXH156" s="15"/>
      <c r="EXI156" s="15"/>
      <c r="EXJ156" s="15"/>
      <c r="EXK156" s="15"/>
      <c r="EXL156" s="15"/>
      <c r="EXM156" s="15"/>
      <c r="EXN156" s="15"/>
      <c r="EXO156" s="15"/>
      <c r="EXP156" s="15"/>
      <c r="EXQ156" s="15"/>
      <c r="EXR156" s="15"/>
      <c r="EXS156" s="15"/>
      <c r="EXT156" s="15"/>
      <c r="EXU156" s="15"/>
      <c r="EXV156" s="15"/>
      <c r="EXW156" s="15"/>
      <c r="EXX156" s="15"/>
      <c r="EXY156" s="15"/>
      <c r="EXZ156" s="15"/>
      <c r="EYA156" s="15"/>
      <c r="EYB156" s="15"/>
      <c r="EYC156" s="15"/>
      <c r="EYD156" s="15"/>
      <c r="EYE156" s="15"/>
      <c r="EYF156" s="15"/>
      <c r="EYG156" s="15"/>
      <c r="EYH156" s="15"/>
      <c r="EYI156" s="15"/>
      <c r="EYJ156" s="15"/>
      <c r="EYK156" s="15"/>
      <c r="EYL156" s="15"/>
      <c r="EYM156" s="15"/>
      <c r="EYN156" s="15"/>
      <c r="EYO156" s="15"/>
      <c r="EYP156" s="15"/>
      <c r="EYQ156" s="15"/>
      <c r="EYR156" s="15"/>
      <c r="EYS156" s="15"/>
      <c r="EYT156" s="15"/>
      <c r="EYU156" s="15"/>
      <c r="EYV156" s="15"/>
      <c r="EYW156" s="15"/>
      <c r="EYX156" s="15"/>
      <c r="EYY156" s="15"/>
      <c r="EYZ156" s="15"/>
      <c r="EZA156" s="15"/>
      <c r="EZB156" s="15"/>
      <c r="EZC156" s="15"/>
      <c r="EZD156" s="15"/>
      <c r="EZE156" s="15"/>
      <c r="EZF156" s="15"/>
      <c r="EZG156" s="15"/>
      <c r="EZH156" s="15"/>
      <c r="EZI156" s="15"/>
      <c r="EZJ156" s="15"/>
      <c r="EZK156" s="15"/>
      <c r="EZL156" s="15"/>
      <c r="EZM156" s="15"/>
      <c r="EZN156" s="15"/>
      <c r="EZO156" s="15"/>
      <c r="EZP156" s="15"/>
      <c r="EZQ156" s="15"/>
      <c r="EZR156" s="15"/>
      <c r="EZS156" s="15"/>
      <c r="EZT156" s="15"/>
      <c r="EZU156" s="15"/>
      <c r="EZV156" s="15"/>
      <c r="EZW156" s="15"/>
      <c r="EZX156" s="15"/>
      <c r="EZY156" s="15"/>
      <c r="EZZ156" s="15"/>
      <c r="FAA156" s="15"/>
      <c r="FAB156" s="15"/>
      <c r="FAC156" s="15"/>
      <c r="FAD156" s="15"/>
      <c r="FAE156" s="15"/>
      <c r="FAF156" s="15"/>
      <c r="FAG156" s="15"/>
      <c r="FAH156" s="15"/>
      <c r="FAI156" s="15"/>
      <c r="FAJ156" s="15"/>
      <c r="FAK156" s="15"/>
      <c r="FAL156" s="15"/>
      <c r="FAM156" s="15"/>
      <c r="FAN156" s="15"/>
      <c r="FAO156" s="15"/>
      <c r="FAP156" s="15"/>
      <c r="FAQ156" s="15"/>
      <c r="FAR156" s="15"/>
      <c r="FAS156" s="15"/>
      <c r="FAT156" s="15"/>
      <c r="FAU156" s="15"/>
      <c r="FAV156" s="15"/>
      <c r="FAW156" s="15"/>
      <c r="FAX156" s="15"/>
      <c r="FAY156" s="15"/>
      <c r="FAZ156" s="15"/>
      <c r="FBA156" s="15"/>
      <c r="FBB156" s="15"/>
      <c r="FBC156" s="15"/>
      <c r="FBD156" s="15"/>
      <c r="FBE156" s="15"/>
      <c r="FBF156" s="15"/>
      <c r="FBG156" s="15"/>
      <c r="FBH156" s="15"/>
      <c r="FBI156" s="15"/>
      <c r="FBJ156" s="15"/>
      <c r="FBK156" s="15"/>
      <c r="FBL156" s="15"/>
      <c r="FBM156" s="15"/>
      <c r="FBN156" s="15"/>
      <c r="FBO156" s="15"/>
      <c r="FBP156" s="15"/>
      <c r="FBQ156" s="15"/>
      <c r="FBR156" s="15"/>
      <c r="FBS156" s="15"/>
      <c r="FBT156" s="15"/>
      <c r="FBU156" s="15"/>
      <c r="FBV156" s="15"/>
      <c r="FBW156" s="15"/>
      <c r="FBX156" s="15"/>
      <c r="FBY156" s="15"/>
      <c r="FBZ156" s="15"/>
      <c r="FCA156" s="15"/>
      <c r="FCB156" s="15"/>
      <c r="FCC156" s="15"/>
      <c r="FCD156" s="15"/>
      <c r="FCE156" s="15"/>
      <c r="FCF156" s="15"/>
      <c r="FCG156" s="15"/>
      <c r="FCH156" s="15"/>
      <c r="FCI156" s="15"/>
      <c r="FCJ156" s="15"/>
      <c r="FCK156" s="15"/>
      <c r="FCL156" s="15"/>
      <c r="FCM156" s="15"/>
      <c r="FCN156" s="15"/>
      <c r="FCO156" s="15"/>
      <c r="FCP156" s="15"/>
      <c r="FCQ156" s="15"/>
      <c r="FCR156" s="15"/>
      <c r="FCS156" s="15"/>
      <c r="FCT156" s="15"/>
      <c r="FCU156" s="15"/>
      <c r="FCV156" s="15"/>
      <c r="FCW156" s="15"/>
      <c r="FCX156" s="15"/>
      <c r="FCY156" s="15"/>
      <c r="FCZ156" s="15"/>
      <c r="FDA156" s="15"/>
      <c r="FDB156" s="15"/>
      <c r="FDC156" s="15"/>
      <c r="FDD156" s="15"/>
      <c r="FDE156" s="15"/>
      <c r="FDF156" s="15"/>
      <c r="FDG156" s="15"/>
      <c r="FDH156" s="15"/>
      <c r="FDI156" s="15"/>
      <c r="FDJ156" s="15"/>
      <c r="FDK156" s="15"/>
      <c r="FDL156" s="15"/>
      <c r="FDM156" s="15"/>
      <c r="FDN156" s="15"/>
      <c r="FDO156" s="15"/>
      <c r="FDP156" s="15"/>
      <c r="FDQ156" s="15"/>
      <c r="FDR156" s="15"/>
      <c r="FDS156" s="15"/>
      <c r="FDT156" s="15"/>
      <c r="FDU156" s="15"/>
      <c r="FDV156" s="15"/>
      <c r="FDW156" s="15"/>
      <c r="FDX156" s="15"/>
      <c r="FDY156" s="15"/>
      <c r="FDZ156" s="15"/>
      <c r="FEA156" s="15"/>
      <c r="FEB156" s="15"/>
      <c r="FEC156" s="15"/>
      <c r="FED156" s="15"/>
      <c r="FEE156" s="15"/>
      <c r="FEF156" s="15"/>
      <c r="FEG156" s="15"/>
      <c r="FEH156" s="15"/>
      <c r="FEI156" s="15"/>
      <c r="FEJ156" s="15"/>
      <c r="FEK156" s="15"/>
      <c r="FEL156" s="15"/>
      <c r="FEM156" s="15"/>
      <c r="FEN156" s="15"/>
      <c r="FEO156" s="15"/>
      <c r="FEP156" s="15"/>
      <c r="FEQ156" s="15"/>
      <c r="FER156" s="15"/>
      <c r="FES156" s="15"/>
      <c r="FET156" s="15"/>
      <c r="FEU156" s="15"/>
      <c r="FEV156" s="15"/>
      <c r="FEW156" s="15"/>
      <c r="FEX156" s="15"/>
      <c r="FEY156" s="15"/>
      <c r="FEZ156" s="15"/>
      <c r="FFA156" s="15"/>
      <c r="FFB156" s="15"/>
      <c r="FFC156" s="15"/>
      <c r="FFD156" s="15"/>
      <c r="FFE156" s="15"/>
      <c r="FFF156" s="15"/>
      <c r="FFG156" s="15"/>
      <c r="FFH156" s="15"/>
      <c r="FFI156" s="15"/>
      <c r="FFJ156" s="15"/>
      <c r="FFK156" s="15"/>
      <c r="FFL156" s="15"/>
      <c r="FFM156" s="15"/>
      <c r="FFN156" s="15"/>
      <c r="FFO156" s="15"/>
      <c r="FFP156" s="15"/>
      <c r="FFQ156" s="15"/>
      <c r="FFR156" s="15"/>
      <c r="FFS156" s="15"/>
      <c r="FFT156" s="15"/>
      <c r="FFU156" s="15"/>
      <c r="FFV156" s="15"/>
      <c r="FFW156" s="15"/>
      <c r="FFX156" s="15"/>
      <c r="FFY156" s="15"/>
      <c r="FFZ156" s="15"/>
      <c r="FGA156" s="15"/>
      <c r="FGB156" s="15"/>
      <c r="FGC156" s="15"/>
      <c r="FGD156" s="15"/>
      <c r="FGE156" s="15"/>
      <c r="FGF156" s="15"/>
      <c r="FGG156" s="15"/>
      <c r="FGH156" s="15"/>
      <c r="FGI156" s="15"/>
      <c r="FGJ156" s="15"/>
      <c r="FGK156" s="15"/>
      <c r="FGL156" s="15"/>
      <c r="FGM156" s="15"/>
      <c r="FGN156" s="15"/>
      <c r="FGO156" s="15"/>
      <c r="FGP156" s="15"/>
      <c r="FGQ156" s="15"/>
      <c r="FGR156" s="15"/>
      <c r="FGS156" s="15"/>
      <c r="FGT156" s="15"/>
      <c r="FGU156" s="15"/>
      <c r="FGV156" s="15"/>
      <c r="FGW156" s="15"/>
      <c r="FGX156" s="15"/>
      <c r="FGY156" s="15"/>
      <c r="FGZ156" s="15"/>
      <c r="FHA156" s="15"/>
      <c r="FHB156" s="15"/>
      <c r="FHC156" s="15"/>
      <c r="FHD156" s="15"/>
      <c r="FHE156" s="15"/>
      <c r="FHF156" s="15"/>
      <c r="FHG156" s="15"/>
      <c r="FHH156" s="15"/>
      <c r="FHI156" s="15"/>
      <c r="FHJ156" s="15"/>
      <c r="FHK156" s="15"/>
      <c r="FHL156" s="15"/>
      <c r="FHM156" s="15"/>
      <c r="FHN156" s="15"/>
      <c r="FHO156" s="15"/>
      <c r="FHP156" s="15"/>
      <c r="FHQ156" s="15"/>
      <c r="FHR156" s="15"/>
      <c r="FHS156" s="15"/>
      <c r="FHT156" s="15"/>
      <c r="FHU156" s="15"/>
      <c r="FHV156" s="15"/>
      <c r="FHW156" s="15"/>
      <c r="FHX156" s="15"/>
      <c r="FHY156" s="15"/>
      <c r="FHZ156" s="15"/>
      <c r="FIA156" s="15"/>
      <c r="FIB156" s="15"/>
      <c r="FIC156" s="15"/>
      <c r="FID156" s="15"/>
      <c r="FIE156" s="15"/>
      <c r="FIF156" s="15"/>
      <c r="FIG156" s="15"/>
      <c r="FIH156" s="15"/>
      <c r="FII156" s="15"/>
      <c r="FIJ156" s="15"/>
      <c r="FIK156" s="15"/>
      <c r="FIL156" s="15"/>
      <c r="FIM156" s="15"/>
      <c r="FIN156" s="15"/>
      <c r="FIO156" s="15"/>
      <c r="FIP156" s="15"/>
      <c r="FIQ156" s="15"/>
      <c r="FIR156" s="15"/>
      <c r="FIS156" s="15"/>
      <c r="FIT156" s="15"/>
      <c r="FIU156" s="15"/>
      <c r="FIV156" s="15"/>
      <c r="FIW156" s="15"/>
      <c r="FIX156" s="15"/>
      <c r="FIY156" s="15"/>
      <c r="FIZ156" s="15"/>
      <c r="FJA156" s="15"/>
      <c r="FJB156" s="15"/>
      <c r="FJC156" s="15"/>
      <c r="FJD156" s="15"/>
      <c r="FJE156" s="15"/>
      <c r="FJF156" s="15"/>
      <c r="FJG156" s="15"/>
      <c r="FJH156" s="15"/>
      <c r="FJI156" s="15"/>
      <c r="FJJ156" s="15"/>
      <c r="FJK156" s="15"/>
      <c r="FJL156" s="15"/>
      <c r="FJM156" s="15"/>
      <c r="FJN156" s="15"/>
      <c r="FJO156" s="15"/>
      <c r="FJP156" s="15"/>
      <c r="FJQ156" s="15"/>
      <c r="FJR156" s="15"/>
      <c r="FJS156" s="15"/>
      <c r="FJT156" s="15"/>
      <c r="FJU156" s="15"/>
      <c r="FJV156" s="15"/>
      <c r="FJW156" s="15"/>
      <c r="FJX156" s="15"/>
      <c r="FJY156" s="15"/>
      <c r="FJZ156" s="15"/>
      <c r="FKA156" s="15"/>
      <c r="FKB156" s="15"/>
      <c r="FKC156" s="15"/>
      <c r="FKD156" s="15"/>
      <c r="FKE156" s="15"/>
      <c r="FKF156" s="15"/>
      <c r="FKG156" s="15"/>
      <c r="FKH156" s="15"/>
      <c r="FKI156" s="15"/>
      <c r="FKJ156" s="15"/>
      <c r="FKK156" s="15"/>
      <c r="FKL156" s="15"/>
      <c r="FKM156" s="15"/>
      <c r="FKN156" s="15"/>
      <c r="FKO156" s="15"/>
      <c r="FKP156" s="15"/>
      <c r="FKQ156" s="15"/>
      <c r="FKR156" s="15"/>
      <c r="FKS156" s="15"/>
      <c r="FKT156" s="15"/>
      <c r="FKU156" s="15"/>
      <c r="FKV156" s="15"/>
      <c r="FKW156" s="15"/>
      <c r="FKX156" s="15"/>
      <c r="FKY156" s="15"/>
      <c r="FKZ156" s="15"/>
      <c r="FLA156" s="15"/>
      <c r="FLB156" s="15"/>
      <c r="FLC156" s="15"/>
      <c r="FLD156" s="15"/>
      <c r="FLE156" s="15"/>
      <c r="FLF156" s="15"/>
      <c r="FLG156" s="15"/>
      <c r="FLH156" s="15"/>
      <c r="FLI156" s="15"/>
      <c r="FLJ156" s="15"/>
      <c r="FLK156" s="15"/>
      <c r="FLL156" s="15"/>
      <c r="FLM156" s="15"/>
      <c r="FLN156" s="15"/>
      <c r="FLO156" s="15"/>
      <c r="FLP156" s="15"/>
      <c r="FLQ156" s="15"/>
      <c r="FLR156" s="15"/>
      <c r="FLS156" s="15"/>
      <c r="FLT156" s="15"/>
      <c r="FLU156" s="15"/>
      <c r="FLV156" s="15"/>
      <c r="FLW156" s="15"/>
      <c r="FLX156" s="15"/>
      <c r="FLY156" s="15"/>
      <c r="FLZ156" s="15"/>
      <c r="FMA156" s="15"/>
      <c r="FMB156" s="15"/>
      <c r="FMC156" s="15"/>
      <c r="FMD156" s="15"/>
      <c r="FME156" s="15"/>
      <c r="FMF156" s="15"/>
      <c r="FMG156" s="15"/>
      <c r="FMH156" s="15"/>
      <c r="FMI156" s="15"/>
      <c r="FMJ156" s="15"/>
      <c r="FMK156" s="15"/>
      <c r="FML156" s="15"/>
      <c r="FMM156" s="15"/>
      <c r="FMN156" s="15"/>
      <c r="FMO156" s="15"/>
      <c r="FMP156" s="15"/>
      <c r="FMQ156" s="15"/>
      <c r="FMR156" s="15"/>
      <c r="FMS156" s="15"/>
      <c r="FMT156" s="15"/>
      <c r="FMU156" s="15"/>
      <c r="FMV156" s="15"/>
      <c r="FMW156" s="15"/>
      <c r="FMX156" s="15"/>
      <c r="FMY156" s="15"/>
      <c r="FMZ156" s="15"/>
      <c r="FNA156" s="15"/>
      <c r="FNB156" s="15"/>
      <c r="FNC156" s="15"/>
      <c r="FND156" s="15"/>
      <c r="FNE156" s="15"/>
      <c r="FNF156" s="15"/>
      <c r="FNG156" s="15"/>
      <c r="FNH156" s="15"/>
      <c r="FNI156" s="15"/>
      <c r="FNJ156" s="15"/>
      <c r="FNK156" s="15"/>
      <c r="FNL156" s="15"/>
      <c r="FNM156" s="15"/>
      <c r="FNN156" s="15"/>
      <c r="FNO156" s="15"/>
      <c r="FNP156" s="15"/>
      <c r="FNQ156" s="15"/>
      <c r="FNR156" s="15"/>
      <c r="FNS156" s="15"/>
      <c r="FNT156" s="15"/>
      <c r="FNU156" s="15"/>
      <c r="FNV156" s="15"/>
      <c r="FNW156" s="15"/>
      <c r="FNX156" s="15"/>
      <c r="FNY156" s="15"/>
      <c r="FNZ156" s="15"/>
      <c r="FOA156" s="15"/>
      <c r="FOB156" s="15"/>
      <c r="FOC156" s="15"/>
      <c r="FOD156" s="15"/>
      <c r="FOE156" s="15"/>
      <c r="FOF156" s="15"/>
      <c r="FOG156" s="15"/>
      <c r="FOH156" s="15"/>
      <c r="FOI156" s="15"/>
      <c r="FOJ156" s="15"/>
      <c r="FOK156" s="15"/>
      <c r="FOL156" s="15"/>
      <c r="FOM156" s="15"/>
      <c r="FON156" s="15"/>
      <c r="FOO156" s="15"/>
      <c r="FOP156" s="15"/>
      <c r="FOQ156" s="15"/>
      <c r="FOR156" s="15"/>
      <c r="FOS156" s="15"/>
      <c r="FOT156" s="15"/>
      <c r="FOU156" s="15"/>
      <c r="FOV156" s="15"/>
      <c r="FOW156" s="15"/>
      <c r="FOX156" s="15"/>
      <c r="FOY156" s="15"/>
      <c r="FOZ156" s="15"/>
      <c r="FPA156" s="15"/>
      <c r="FPB156" s="15"/>
      <c r="FPC156" s="15"/>
      <c r="FPD156" s="15"/>
      <c r="FPE156" s="15"/>
      <c r="FPF156" s="15"/>
      <c r="FPG156" s="15"/>
      <c r="FPH156" s="15"/>
      <c r="FPI156" s="15"/>
      <c r="FPJ156" s="15"/>
      <c r="FPK156" s="15"/>
      <c r="FPL156" s="15"/>
      <c r="FPM156" s="15"/>
      <c r="FPN156" s="15"/>
      <c r="FPO156" s="15"/>
      <c r="FPP156" s="15"/>
      <c r="FPQ156" s="15"/>
      <c r="FPR156" s="15"/>
      <c r="FPS156" s="15"/>
      <c r="FPT156" s="15"/>
      <c r="FPU156" s="15"/>
      <c r="FPV156" s="15"/>
      <c r="FPW156" s="15"/>
      <c r="FPX156" s="15"/>
      <c r="FPY156" s="15"/>
      <c r="FPZ156" s="15"/>
      <c r="FQA156" s="15"/>
      <c r="FQB156" s="15"/>
      <c r="FQC156" s="15"/>
      <c r="FQD156" s="15"/>
      <c r="FQE156" s="15"/>
      <c r="FQF156" s="15"/>
      <c r="FQG156" s="15"/>
      <c r="FQH156" s="15"/>
      <c r="FQI156" s="15"/>
      <c r="FQJ156" s="15"/>
      <c r="FQK156" s="15"/>
      <c r="FQL156" s="15"/>
      <c r="FQM156" s="15"/>
      <c r="FQN156" s="15"/>
      <c r="FQO156" s="15"/>
      <c r="FQP156" s="15"/>
      <c r="FQQ156" s="15"/>
      <c r="FQR156" s="15"/>
      <c r="FQS156" s="15"/>
      <c r="FQT156" s="15"/>
      <c r="FQU156" s="15"/>
      <c r="FQV156" s="15"/>
      <c r="FQW156" s="15"/>
      <c r="FQX156" s="15"/>
      <c r="FQY156" s="15"/>
      <c r="FQZ156" s="15"/>
      <c r="FRA156" s="15"/>
      <c r="FRB156" s="15"/>
      <c r="FRC156" s="15"/>
      <c r="FRD156" s="15"/>
      <c r="FRE156" s="15"/>
      <c r="FRF156" s="15"/>
      <c r="FRG156" s="15"/>
      <c r="FRH156" s="15"/>
      <c r="FRI156" s="15"/>
      <c r="FRJ156" s="15"/>
      <c r="FRK156" s="15"/>
      <c r="FRL156" s="15"/>
      <c r="FRM156" s="15"/>
      <c r="FRN156" s="15"/>
      <c r="FRO156" s="15"/>
      <c r="FRP156" s="15"/>
      <c r="FRQ156" s="15"/>
      <c r="FRR156" s="15"/>
      <c r="FRS156" s="15"/>
      <c r="FRT156" s="15"/>
      <c r="FRU156" s="15"/>
      <c r="FRV156" s="15"/>
      <c r="FRW156" s="15"/>
      <c r="FRX156" s="15"/>
      <c r="FRY156" s="15"/>
      <c r="FRZ156" s="15"/>
      <c r="FSA156" s="15"/>
      <c r="FSB156" s="15"/>
      <c r="FSC156" s="15"/>
      <c r="FSD156" s="15"/>
      <c r="FSE156" s="15"/>
      <c r="FSF156" s="15"/>
      <c r="FSG156" s="15"/>
      <c r="FSH156" s="15"/>
      <c r="FSI156" s="15"/>
      <c r="FSJ156" s="15"/>
      <c r="FSK156" s="15"/>
      <c r="FSL156" s="15"/>
      <c r="FSM156" s="15"/>
      <c r="FSN156" s="15"/>
      <c r="FSO156" s="15"/>
      <c r="FSP156" s="15"/>
      <c r="FSQ156" s="15"/>
      <c r="FSR156" s="15"/>
      <c r="FSS156" s="15"/>
      <c r="FST156" s="15"/>
      <c r="FSU156" s="15"/>
      <c r="FSV156" s="15"/>
      <c r="FSW156" s="15"/>
      <c r="FSX156" s="15"/>
      <c r="FSY156" s="15"/>
      <c r="FSZ156" s="15"/>
      <c r="FTA156" s="15"/>
      <c r="FTB156" s="15"/>
      <c r="FTC156" s="15"/>
      <c r="FTD156" s="15"/>
      <c r="FTE156" s="15"/>
      <c r="FTF156" s="15"/>
      <c r="FTG156" s="15"/>
      <c r="FTH156" s="15"/>
      <c r="FTI156" s="15"/>
      <c r="FTJ156" s="15"/>
      <c r="FTK156" s="15"/>
      <c r="FTL156" s="15"/>
      <c r="FTM156" s="15"/>
      <c r="FTN156" s="15"/>
      <c r="FTO156" s="15"/>
      <c r="FTP156" s="15"/>
      <c r="FTQ156" s="15"/>
      <c r="FTR156" s="15"/>
      <c r="FTS156" s="15"/>
      <c r="FTT156" s="15"/>
      <c r="FTU156" s="15"/>
      <c r="FTV156" s="15"/>
      <c r="FTW156" s="15"/>
      <c r="FTX156" s="15"/>
      <c r="FTY156" s="15"/>
      <c r="FTZ156" s="15"/>
      <c r="FUA156" s="15"/>
      <c r="FUB156" s="15"/>
      <c r="FUC156" s="15"/>
      <c r="FUD156" s="15"/>
      <c r="FUE156" s="15"/>
      <c r="FUF156" s="15"/>
      <c r="FUG156" s="15"/>
      <c r="FUH156" s="15"/>
      <c r="FUI156" s="15"/>
      <c r="FUJ156" s="15"/>
      <c r="FUK156" s="15"/>
      <c r="FUL156" s="15"/>
      <c r="FUM156" s="15"/>
      <c r="FUN156" s="15"/>
      <c r="FUO156" s="15"/>
      <c r="FUP156" s="15"/>
      <c r="FUQ156" s="15"/>
      <c r="FUR156" s="15"/>
      <c r="FUS156" s="15"/>
      <c r="FUT156" s="15"/>
      <c r="FUU156" s="15"/>
      <c r="FUV156" s="15"/>
      <c r="FUW156" s="15"/>
      <c r="FUX156" s="15"/>
      <c r="FUY156" s="15"/>
      <c r="FUZ156" s="15"/>
      <c r="FVA156" s="15"/>
      <c r="FVB156" s="15"/>
      <c r="FVC156" s="15"/>
      <c r="FVD156" s="15"/>
      <c r="FVE156" s="15"/>
      <c r="FVF156" s="15"/>
      <c r="FVG156" s="15"/>
      <c r="FVH156" s="15"/>
      <c r="FVI156" s="15"/>
      <c r="FVJ156" s="15"/>
      <c r="FVK156" s="15"/>
      <c r="FVL156" s="15"/>
      <c r="FVM156" s="15"/>
      <c r="FVN156" s="15"/>
      <c r="FVO156" s="15"/>
      <c r="FVP156" s="15"/>
      <c r="FVQ156" s="15"/>
      <c r="FVR156" s="15"/>
      <c r="FVS156" s="15"/>
      <c r="FVT156" s="15"/>
      <c r="FVU156" s="15"/>
      <c r="FVV156" s="15"/>
      <c r="FVW156" s="15"/>
      <c r="FVX156" s="15"/>
      <c r="FVY156" s="15"/>
      <c r="FVZ156" s="15"/>
      <c r="FWA156" s="15"/>
      <c r="FWB156" s="15"/>
      <c r="FWC156" s="15"/>
      <c r="FWD156" s="15"/>
      <c r="FWE156" s="15"/>
      <c r="FWF156" s="15"/>
      <c r="FWG156" s="15"/>
      <c r="FWH156" s="15"/>
      <c r="FWI156" s="15"/>
      <c r="FWJ156" s="15"/>
      <c r="FWK156" s="15"/>
      <c r="FWL156" s="15"/>
      <c r="FWM156" s="15"/>
      <c r="FWN156" s="15"/>
      <c r="FWO156" s="15"/>
      <c r="FWP156" s="15"/>
      <c r="FWQ156" s="15"/>
      <c r="FWR156" s="15"/>
      <c r="FWS156" s="15"/>
      <c r="FWT156" s="15"/>
      <c r="FWU156" s="15"/>
      <c r="FWV156" s="15"/>
      <c r="FWW156" s="15"/>
      <c r="FWX156" s="15"/>
      <c r="FWY156" s="15"/>
      <c r="FWZ156" s="15"/>
      <c r="FXA156" s="15"/>
      <c r="FXB156" s="15"/>
      <c r="FXC156" s="15"/>
      <c r="FXD156" s="15"/>
      <c r="FXE156" s="15"/>
      <c r="FXF156" s="15"/>
      <c r="FXG156" s="15"/>
      <c r="FXH156" s="15"/>
      <c r="FXI156" s="15"/>
      <c r="FXJ156" s="15"/>
      <c r="FXK156" s="15"/>
      <c r="FXL156" s="15"/>
      <c r="FXM156" s="15"/>
      <c r="FXN156" s="15"/>
      <c r="FXO156" s="15"/>
      <c r="FXP156" s="15"/>
      <c r="FXQ156" s="15"/>
      <c r="FXR156" s="15"/>
      <c r="FXS156" s="15"/>
      <c r="FXT156" s="15"/>
      <c r="FXU156" s="15"/>
      <c r="FXV156" s="15"/>
      <c r="FXW156" s="15"/>
      <c r="FXX156" s="15"/>
      <c r="FXY156" s="15"/>
      <c r="FXZ156" s="15"/>
      <c r="FYA156" s="15"/>
      <c r="FYB156" s="15"/>
      <c r="FYC156" s="15"/>
      <c r="FYD156" s="15"/>
      <c r="FYE156" s="15"/>
      <c r="FYF156" s="15"/>
      <c r="FYG156" s="15"/>
      <c r="FYH156" s="15"/>
      <c r="FYI156" s="15"/>
      <c r="FYJ156" s="15"/>
      <c r="FYK156" s="15"/>
      <c r="FYL156" s="15"/>
      <c r="FYM156" s="15"/>
      <c r="FYN156" s="15"/>
      <c r="FYO156" s="15"/>
      <c r="FYP156" s="15"/>
      <c r="FYQ156" s="15"/>
      <c r="FYR156" s="15"/>
      <c r="FYS156" s="15"/>
      <c r="FYT156" s="15"/>
      <c r="FYU156" s="15"/>
      <c r="FYV156" s="15"/>
      <c r="FYW156" s="15"/>
      <c r="FYX156" s="15"/>
      <c r="FYY156" s="15"/>
      <c r="FYZ156" s="15"/>
      <c r="FZA156" s="15"/>
      <c r="FZB156" s="15"/>
      <c r="FZC156" s="15"/>
      <c r="FZD156" s="15"/>
      <c r="FZE156" s="15"/>
      <c r="FZF156" s="15"/>
      <c r="FZG156" s="15"/>
      <c r="FZH156" s="15"/>
      <c r="FZI156" s="15"/>
      <c r="FZJ156" s="15"/>
      <c r="FZK156" s="15"/>
      <c r="FZL156" s="15"/>
      <c r="FZM156" s="15"/>
      <c r="FZN156" s="15"/>
      <c r="FZO156" s="15"/>
      <c r="FZP156" s="15"/>
      <c r="FZQ156" s="15"/>
      <c r="FZR156" s="15"/>
      <c r="FZS156" s="15"/>
      <c r="FZT156" s="15"/>
      <c r="FZU156" s="15"/>
      <c r="FZV156" s="15"/>
      <c r="FZW156" s="15"/>
      <c r="FZX156" s="15"/>
      <c r="FZY156" s="15"/>
      <c r="FZZ156" s="15"/>
      <c r="GAA156" s="15"/>
      <c r="GAB156" s="15"/>
      <c r="GAC156" s="15"/>
      <c r="GAD156" s="15"/>
      <c r="GAE156" s="15"/>
      <c r="GAF156" s="15"/>
      <c r="GAG156" s="15"/>
      <c r="GAH156" s="15"/>
      <c r="GAI156" s="15"/>
      <c r="GAJ156" s="15"/>
      <c r="GAK156" s="15"/>
      <c r="GAL156" s="15"/>
      <c r="GAM156" s="15"/>
      <c r="GAN156" s="15"/>
      <c r="GAO156" s="15"/>
      <c r="GAP156" s="15"/>
      <c r="GAQ156" s="15"/>
      <c r="GAR156" s="15"/>
      <c r="GAS156" s="15"/>
      <c r="GAT156" s="15"/>
      <c r="GAU156" s="15"/>
      <c r="GAV156" s="15"/>
      <c r="GAW156" s="15"/>
      <c r="GAX156" s="15"/>
      <c r="GAY156" s="15"/>
      <c r="GAZ156" s="15"/>
      <c r="GBA156" s="15"/>
      <c r="GBB156" s="15"/>
      <c r="GBC156" s="15"/>
      <c r="GBD156" s="15"/>
      <c r="GBE156" s="15"/>
      <c r="GBF156" s="15"/>
      <c r="GBG156" s="15"/>
      <c r="GBH156" s="15"/>
      <c r="GBI156" s="15"/>
      <c r="GBJ156" s="15"/>
      <c r="GBK156" s="15"/>
      <c r="GBL156" s="15"/>
      <c r="GBM156" s="15"/>
      <c r="GBN156" s="15"/>
      <c r="GBO156" s="15"/>
      <c r="GBP156" s="15"/>
      <c r="GBQ156" s="15"/>
      <c r="GBR156" s="15"/>
      <c r="GBS156" s="15"/>
      <c r="GBT156" s="15"/>
      <c r="GBU156" s="15"/>
      <c r="GBV156" s="15"/>
      <c r="GBW156" s="15"/>
      <c r="GBX156" s="15"/>
      <c r="GBY156" s="15"/>
      <c r="GBZ156" s="15"/>
      <c r="GCA156" s="15"/>
      <c r="GCB156" s="15"/>
      <c r="GCC156" s="15"/>
      <c r="GCD156" s="15"/>
      <c r="GCE156" s="15"/>
      <c r="GCF156" s="15"/>
      <c r="GCG156" s="15"/>
      <c r="GCH156" s="15"/>
      <c r="GCI156" s="15"/>
      <c r="GCJ156" s="15"/>
      <c r="GCK156" s="15"/>
      <c r="GCL156" s="15"/>
      <c r="GCM156" s="15"/>
      <c r="GCN156" s="15"/>
      <c r="GCO156" s="15"/>
      <c r="GCP156" s="15"/>
      <c r="GCQ156" s="15"/>
      <c r="GCR156" s="15"/>
      <c r="GCS156" s="15"/>
      <c r="GCT156" s="15"/>
      <c r="GCU156" s="15"/>
      <c r="GCV156" s="15"/>
      <c r="GCW156" s="15"/>
      <c r="GCX156" s="15"/>
      <c r="GCY156" s="15"/>
      <c r="GCZ156" s="15"/>
      <c r="GDA156" s="15"/>
      <c r="GDB156" s="15"/>
      <c r="GDC156" s="15"/>
      <c r="GDD156" s="15"/>
      <c r="GDE156" s="15"/>
      <c r="GDF156" s="15"/>
      <c r="GDG156" s="15"/>
      <c r="GDH156" s="15"/>
      <c r="GDI156" s="15"/>
      <c r="GDJ156" s="15"/>
      <c r="GDK156" s="15"/>
      <c r="GDL156" s="15"/>
      <c r="GDM156" s="15"/>
      <c r="GDN156" s="15"/>
      <c r="GDO156" s="15"/>
      <c r="GDP156" s="15"/>
      <c r="GDQ156" s="15"/>
      <c r="GDR156" s="15"/>
      <c r="GDS156" s="15"/>
      <c r="GDT156" s="15"/>
      <c r="GDU156" s="15"/>
      <c r="GDV156" s="15"/>
      <c r="GDW156" s="15"/>
      <c r="GDX156" s="15"/>
      <c r="GDY156" s="15"/>
      <c r="GDZ156" s="15"/>
      <c r="GEA156" s="15"/>
      <c r="GEB156" s="15"/>
      <c r="GEC156" s="15"/>
      <c r="GED156" s="15"/>
      <c r="GEE156" s="15"/>
      <c r="GEF156" s="15"/>
      <c r="GEG156" s="15"/>
      <c r="GEH156" s="15"/>
      <c r="GEI156" s="15"/>
      <c r="GEJ156" s="15"/>
      <c r="GEK156" s="15"/>
      <c r="GEL156" s="15"/>
      <c r="GEM156" s="15"/>
      <c r="GEN156" s="15"/>
      <c r="GEO156" s="15"/>
      <c r="GEP156" s="15"/>
      <c r="GEQ156" s="15"/>
      <c r="GER156" s="15"/>
      <c r="GES156" s="15"/>
      <c r="GET156" s="15"/>
      <c r="GEU156" s="15"/>
      <c r="GEV156" s="15"/>
      <c r="GEW156" s="15"/>
      <c r="GEX156" s="15"/>
      <c r="GEY156" s="15"/>
      <c r="GEZ156" s="15"/>
      <c r="GFA156" s="15"/>
      <c r="GFB156" s="15"/>
      <c r="GFC156" s="15"/>
      <c r="GFD156" s="15"/>
      <c r="GFE156" s="15"/>
      <c r="GFF156" s="15"/>
      <c r="GFG156" s="15"/>
      <c r="GFH156" s="15"/>
      <c r="GFI156" s="15"/>
      <c r="GFJ156" s="15"/>
      <c r="GFK156" s="15"/>
      <c r="GFL156" s="15"/>
      <c r="GFM156" s="15"/>
      <c r="GFN156" s="15"/>
      <c r="GFO156" s="15"/>
      <c r="GFP156" s="15"/>
      <c r="GFQ156" s="15"/>
      <c r="GFR156" s="15"/>
      <c r="GFS156" s="15"/>
      <c r="GFT156" s="15"/>
      <c r="GFU156" s="15"/>
      <c r="GFV156" s="15"/>
      <c r="GFW156" s="15"/>
      <c r="GFX156" s="15"/>
      <c r="GFY156" s="15"/>
      <c r="GFZ156" s="15"/>
      <c r="GGA156" s="15"/>
      <c r="GGB156" s="15"/>
      <c r="GGC156" s="15"/>
      <c r="GGD156" s="15"/>
      <c r="GGE156" s="15"/>
      <c r="GGF156" s="15"/>
      <c r="GGG156" s="15"/>
      <c r="GGH156" s="15"/>
      <c r="GGI156" s="15"/>
      <c r="GGJ156" s="15"/>
      <c r="GGK156" s="15"/>
      <c r="GGL156" s="15"/>
      <c r="GGM156" s="15"/>
      <c r="GGN156" s="15"/>
      <c r="GGO156" s="15"/>
      <c r="GGP156" s="15"/>
      <c r="GGQ156" s="15"/>
      <c r="GGR156" s="15"/>
      <c r="GGS156" s="15"/>
      <c r="GGT156" s="15"/>
      <c r="GGU156" s="15"/>
      <c r="GGV156" s="15"/>
      <c r="GGW156" s="15"/>
      <c r="GGX156" s="15"/>
      <c r="GGY156" s="15"/>
      <c r="GGZ156" s="15"/>
      <c r="GHA156" s="15"/>
      <c r="GHB156" s="15"/>
      <c r="GHC156" s="15"/>
      <c r="GHD156" s="15"/>
      <c r="GHE156" s="15"/>
      <c r="GHF156" s="15"/>
      <c r="GHG156" s="15"/>
      <c r="GHH156" s="15"/>
      <c r="GHI156" s="15"/>
      <c r="GHJ156" s="15"/>
      <c r="GHK156" s="15"/>
      <c r="GHL156" s="15"/>
      <c r="GHM156" s="15"/>
      <c r="GHN156" s="15"/>
      <c r="GHO156" s="15"/>
      <c r="GHP156" s="15"/>
      <c r="GHQ156" s="15"/>
      <c r="GHR156" s="15"/>
      <c r="GHS156" s="15"/>
      <c r="GHT156" s="15"/>
      <c r="GHU156" s="15"/>
      <c r="GHV156" s="15"/>
      <c r="GHW156" s="15"/>
      <c r="GHX156" s="15"/>
      <c r="GHY156" s="15"/>
      <c r="GHZ156" s="15"/>
      <c r="GIA156" s="15"/>
      <c r="GIB156" s="15"/>
      <c r="GIC156" s="15"/>
      <c r="GID156" s="15"/>
      <c r="GIE156" s="15"/>
      <c r="GIF156" s="15"/>
      <c r="GIG156" s="15"/>
      <c r="GIH156" s="15"/>
      <c r="GII156" s="15"/>
      <c r="GIJ156" s="15"/>
      <c r="GIK156" s="15"/>
      <c r="GIL156" s="15"/>
      <c r="GIM156" s="15"/>
      <c r="GIN156" s="15"/>
      <c r="GIO156" s="15"/>
      <c r="GIP156" s="15"/>
      <c r="GIQ156" s="15"/>
      <c r="GIR156" s="15"/>
      <c r="GIS156" s="15"/>
      <c r="GIT156" s="15"/>
      <c r="GIU156" s="15"/>
      <c r="GIV156" s="15"/>
      <c r="GIW156" s="15"/>
      <c r="GIX156" s="15"/>
      <c r="GIY156" s="15"/>
      <c r="GIZ156" s="15"/>
      <c r="GJA156" s="15"/>
      <c r="GJB156" s="15"/>
      <c r="GJC156" s="15"/>
      <c r="GJD156" s="15"/>
      <c r="GJE156" s="15"/>
      <c r="GJF156" s="15"/>
      <c r="GJG156" s="15"/>
      <c r="GJH156" s="15"/>
      <c r="GJI156" s="15"/>
      <c r="GJJ156" s="15"/>
      <c r="GJK156" s="15"/>
      <c r="GJL156" s="15"/>
      <c r="GJM156" s="15"/>
      <c r="GJN156" s="15"/>
      <c r="GJO156" s="15"/>
      <c r="GJP156" s="15"/>
      <c r="GJQ156" s="15"/>
      <c r="GJR156" s="15"/>
      <c r="GJS156" s="15"/>
      <c r="GJT156" s="15"/>
      <c r="GJU156" s="15"/>
      <c r="GJV156" s="15"/>
      <c r="GJW156" s="15"/>
      <c r="GJX156" s="15"/>
      <c r="GJY156" s="15"/>
      <c r="GJZ156" s="15"/>
      <c r="GKA156" s="15"/>
      <c r="GKB156" s="15"/>
      <c r="GKC156" s="15"/>
      <c r="GKD156" s="15"/>
      <c r="GKE156" s="15"/>
      <c r="GKF156" s="15"/>
      <c r="GKG156" s="15"/>
      <c r="GKH156" s="15"/>
      <c r="GKI156" s="15"/>
      <c r="GKJ156" s="15"/>
      <c r="GKK156" s="15"/>
      <c r="GKL156" s="15"/>
      <c r="GKM156" s="15"/>
      <c r="GKN156" s="15"/>
      <c r="GKO156" s="15"/>
      <c r="GKP156" s="15"/>
      <c r="GKQ156" s="15"/>
      <c r="GKR156" s="15"/>
      <c r="GKS156" s="15"/>
      <c r="GKT156" s="15"/>
      <c r="GKU156" s="15"/>
      <c r="GKV156" s="15"/>
      <c r="GKW156" s="15"/>
      <c r="GKX156" s="15"/>
      <c r="GKY156" s="15"/>
      <c r="GKZ156" s="15"/>
      <c r="GLA156" s="15"/>
      <c r="GLB156" s="15"/>
      <c r="GLC156" s="15"/>
      <c r="GLD156" s="15"/>
      <c r="GLE156" s="15"/>
      <c r="GLF156" s="15"/>
      <c r="GLG156" s="15"/>
      <c r="GLH156" s="15"/>
      <c r="GLI156" s="15"/>
      <c r="GLJ156" s="15"/>
      <c r="GLK156" s="15"/>
      <c r="GLL156" s="15"/>
      <c r="GLM156" s="15"/>
      <c r="GLN156" s="15"/>
      <c r="GLO156" s="15"/>
      <c r="GLP156" s="15"/>
      <c r="GLQ156" s="15"/>
      <c r="GLR156" s="15"/>
      <c r="GLS156" s="15"/>
      <c r="GLT156" s="15"/>
      <c r="GLU156" s="15"/>
      <c r="GLV156" s="15"/>
      <c r="GLW156" s="15"/>
      <c r="GLX156" s="15"/>
      <c r="GLY156" s="15"/>
      <c r="GLZ156" s="15"/>
      <c r="GMA156" s="15"/>
      <c r="GMB156" s="15"/>
      <c r="GMC156" s="15"/>
      <c r="GMD156" s="15"/>
      <c r="GME156" s="15"/>
      <c r="GMF156" s="15"/>
      <c r="GMG156" s="15"/>
      <c r="GMH156" s="15"/>
      <c r="GMI156" s="15"/>
      <c r="GMJ156" s="15"/>
      <c r="GMK156" s="15"/>
      <c r="GML156" s="15"/>
      <c r="GMM156" s="15"/>
      <c r="GMN156" s="15"/>
      <c r="GMO156" s="15"/>
      <c r="GMP156" s="15"/>
      <c r="GMQ156" s="15"/>
      <c r="GMR156" s="15"/>
      <c r="GMS156" s="15"/>
      <c r="GMT156" s="15"/>
      <c r="GMU156" s="15"/>
      <c r="GMV156" s="15"/>
      <c r="GMW156" s="15"/>
      <c r="GMX156" s="15"/>
      <c r="GMY156" s="15"/>
      <c r="GMZ156" s="15"/>
      <c r="GNA156" s="15"/>
      <c r="GNB156" s="15"/>
      <c r="GNC156" s="15"/>
      <c r="GND156" s="15"/>
      <c r="GNE156" s="15"/>
      <c r="GNF156" s="15"/>
      <c r="GNG156" s="15"/>
      <c r="GNH156" s="15"/>
      <c r="GNI156" s="15"/>
      <c r="GNJ156" s="15"/>
      <c r="GNK156" s="15"/>
      <c r="GNL156" s="15"/>
      <c r="GNM156" s="15"/>
      <c r="GNN156" s="15"/>
      <c r="GNO156" s="15"/>
      <c r="GNP156" s="15"/>
      <c r="GNQ156" s="15"/>
      <c r="GNR156" s="15"/>
      <c r="GNS156" s="15"/>
      <c r="GNT156" s="15"/>
      <c r="GNU156" s="15"/>
      <c r="GNV156" s="15"/>
      <c r="GNW156" s="15"/>
      <c r="GNX156" s="15"/>
      <c r="GNY156" s="15"/>
      <c r="GNZ156" s="15"/>
      <c r="GOA156" s="15"/>
      <c r="GOB156" s="15"/>
      <c r="GOC156" s="15"/>
      <c r="GOD156" s="15"/>
      <c r="GOE156" s="15"/>
      <c r="GOF156" s="15"/>
      <c r="GOG156" s="15"/>
      <c r="GOH156" s="15"/>
      <c r="GOI156" s="15"/>
      <c r="GOJ156" s="15"/>
      <c r="GOK156" s="15"/>
      <c r="GOL156" s="15"/>
      <c r="GOM156" s="15"/>
      <c r="GON156" s="15"/>
      <c r="GOO156" s="15"/>
      <c r="GOP156" s="15"/>
      <c r="GOQ156" s="15"/>
      <c r="GOR156" s="15"/>
      <c r="GOS156" s="15"/>
      <c r="GOT156" s="15"/>
      <c r="GOU156" s="15"/>
      <c r="GOV156" s="15"/>
      <c r="GOW156" s="15"/>
      <c r="GOX156" s="15"/>
      <c r="GOY156" s="15"/>
      <c r="GOZ156" s="15"/>
      <c r="GPA156" s="15"/>
      <c r="GPB156" s="15"/>
      <c r="GPC156" s="15"/>
      <c r="GPD156" s="15"/>
      <c r="GPE156" s="15"/>
      <c r="GPF156" s="15"/>
      <c r="GPG156" s="15"/>
      <c r="GPH156" s="15"/>
      <c r="GPI156" s="15"/>
      <c r="GPJ156" s="15"/>
      <c r="GPK156" s="15"/>
      <c r="GPL156" s="15"/>
      <c r="GPM156" s="15"/>
      <c r="GPN156" s="15"/>
      <c r="GPO156" s="15"/>
      <c r="GPP156" s="15"/>
      <c r="GPQ156" s="15"/>
      <c r="GPR156" s="15"/>
      <c r="GPS156" s="15"/>
      <c r="GPT156" s="15"/>
      <c r="GPU156" s="15"/>
      <c r="GPV156" s="15"/>
      <c r="GPW156" s="15"/>
      <c r="GPX156" s="15"/>
      <c r="GPY156" s="15"/>
      <c r="GPZ156" s="15"/>
      <c r="GQA156" s="15"/>
      <c r="GQB156" s="15"/>
      <c r="GQC156" s="15"/>
      <c r="GQD156" s="15"/>
      <c r="GQE156" s="15"/>
      <c r="GQF156" s="15"/>
      <c r="GQG156" s="15"/>
      <c r="GQH156" s="15"/>
      <c r="GQI156" s="15"/>
      <c r="GQJ156" s="15"/>
      <c r="GQK156" s="15"/>
      <c r="GQL156" s="15"/>
      <c r="GQM156" s="15"/>
      <c r="GQN156" s="15"/>
      <c r="GQO156" s="15"/>
      <c r="GQP156" s="15"/>
      <c r="GQQ156" s="15"/>
      <c r="GQR156" s="15"/>
      <c r="GQS156" s="15"/>
      <c r="GQT156" s="15"/>
      <c r="GQU156" s="15"/>
      <c r="GQV156" s="15"/>
      <c r="GQW156" s="15"/>
      <c r="GQX156" s="15"/>
      <c r="GQY156" s="15"/>
      <c r="GQZ156" s="15"/>
      <c r="GRA156" s="15"/>
      <c r="GRB156" s="15"/>
      <c r="GRC156" s="15"/>
      <c r="GRD156" s="15"/>
      <c r="GRE156" s="15"/>
      <c r="GRF156" s="15"/>
      <c r="GRG156" s="15"/>
      <c r="GRH156" s="15"/>
      <c r="GRI156" s="15"/>
      <c r="GRJ156" s="15"/>
      <c r="GRK156" s="15"/>
      <c r="GRL156" s="15"/>
      <c r="GRM156" s="15"/>
      <c r="GRN156" s="15"/>
      <c r="GRO156" s="15"/>
      <c r="GRP156" s="15"/>
      <c r="GRQ156" s="15"/>
      <c r="GRR156" s="15"/>
      <c r="GRS156" s="15"/>
      <c r="GRT156" s="15"/>
      <c r="GRU156" s="15"/>
      <c r="GRV156" s="15"/>
      <c r="GRW156" s="15"/>
      <c r="GRX156" s="15"/>
      <c r="GRY156" s="15"/>
      <c r="GRZ156" s="15"/>
      <c r="GSA156" s="15"/>
      <c r="GSB156" s="15"/>
      <c r="GSC156" s="15"/>
      <c r="GSD156" s="15"/>
      <c r="GSE156" s="15"/>
      <c r="GSF156" s="15"/>
      <c r="GSG156" s="15"/>
      <c r="GSH156" s="15"/>
      <c r="GSI156" s="15"/>
      <c r="GSJ156" s="15"/>
      <c r="GSK156" s="15"/>
      <c r="GSL156" s="15"/>
      <c r="GSM156" s="15"/>
      <c r="GSN156" s="15"/>
      <c r="GSO156" s="15"/>
      <c r="GSP156" s="15"/>
      <c r="GSQ156" s="15"/>
      <c r="GSR156" s="15"/>
      <c r="GSS156" s="15"/>
      <c r="GST156" s="15"/>
      <c r="GSU156" s="15"/>
      <c r="GSV156" s="15"/>
      <c r="GSW156" s="15"/>
      <c r="GSX156" s="15"/>
      <c r="GSY156" s="15"/>
      <c r="GSZ156" s="15"/>
      <c r="GTA156" s="15"/>
      <c r="GTB156" s="15"/>
      <c r="GTC156" s="15"/>
      <c r="GTD156" s="15"/>
      <c r="GTE156" s="15"/>
      <c r="GTF156" s="15"/>
      <c r="GTG156" s="15"/>
      <c r="GTH156" s="15"/>
      <c r="GTI156" s="15"/>
      <c r="GTJ156" s="15"/>
      <c r="GTK156" s="15"/>
      <c r="GTL156" s="15"/>
      <c r="GTM156" s="15"/>
      <c r="GTN156" s="15"/>
      <c r="GTO156" s="15"/>
      <c r="GTP156" s="15"/>
      <c r="GTQ156" s="15"/>
      <c r="GTR156" s="15"/>
      <c r="GTS156" s="15"/>
      <c r="GTT156" s="15"/>
      <c r="GTU156" s="15"/>
      <c r="GTV156" s="15"/>
      <c r="GTW156" s="15"/>
      <c r="GTX156" s="15"/>
      <c r="GTY156" s="15"/>
      <c r="GTZ156" s="15"/>
      <c r="GUA156" s="15"/>
      <c r="GUB156" s="15"/>
      <c r="GUC156" s="15"/>
      <c r="GUD156" s="15"/>
      <c r="GUE156" s="15"/>
      <c r="GUF156" s="15"/>
      <c r="GUG156" s="15"/>
      <c r="GUH156" s="15"/>
      <c r="GUI156" s="15"/>
      <c r="GUJ156" s="15"/>
      <c r="GUK156" s="15"/>
      <c r="GUL156" s="15"/>
      <c r="GUM156" s="15"/>
      <c r="GUN156" s="15"/>
      <c r="GUO156" s="15"/>
      <c r="GUP156" s="15"/>
      <c r="GUQ156" s="15"/>
      <c r="GUR156" s="15"/>
      <c r="GUS156" s="15"/>
      <c r="GUT156" s="15"/>
      <c r="GUU156" s="15"/>
      <c r="GUV156" s="15"/>
      <c r="GUW156" s="15"/>
      <c r="GUX156" s="15"/>
      <c r="GUY156" s="15"/>
      <c r="GUZ156" s="15"/>
      <c r="GVA156" s="15"/>
      <c r="GVB156" s="15"/>
      <c r="GVC156" s="15"/>
      <c r="GVD156" s="15"/>
      <c r="GVE156" s="15"/>
      <c r="GVF156" s="15"/>
      <c r="GVG156" s="15"/>
      <c r="GVH156" s="15"/>
      <c r="GVI156" s="15"/>
      <c r="GVJ156" s="15"/>
      <c r="GVK156" s="15"/>
      <c r="GVL156" s="15"/>
      <c r="GVM156" s="15"/>
      <c r="GVN156" s="15"/>
      <c r="GVO156" s="15"/>
      <c r="GVP156" s="15"/>
      <c r="GVQ156" s="15"/>
      <c r="GVR156" s="15"/>
      <c r="GVS156" s="15"/>
      <c r="GVT156" s="15"/>
      <c r="GVU156" s="15"/>
      <c r="GVV156" s="15"/>
      <c r="GVW156" s="15"/>
      <c r="GVX156" s="15"/>
      <c r="GVY156" s="15"/>
      <c r="GVZ156" s="15"/>
      <c r="GWA156" s="15"/>
      <c r="GWB156" s="15"/>
      <c r="GWC156" s="15"/>
      <c r="GWD156" s="15"/>
      <c r="GWE156" s="15"/>
      <c r="GWF156" s="15"/>
      <c r="GWG156" s="15"/>
      <c r="GWH156" s="15"/>
      <c r="GWI156" s="15"/>
      <c r="GWJ156" s="15"/>
      <c r="GWK156" s="15"/>
      <c r="GWL156" s="15"/>
      <c r="GWM156" s="15"/>
      <c r="GWN156" s="15"/>
      <c r="GWO156" s="15"/>
      <c r="GWP156" s="15"/>
      <c r="GWQ156" s="15"/>
      <c r="GWR156" s="15"/>
      <c r="GWS156" s="15"/>
      <c r="GWT156" s="15"/>
      <c r="GWU156" s="15"/>
      <c r="GWV156" s="15"/>
      <c r="GWW156" s="15"/>
      <c r="GWX156" s="15"/>
      <c r="GWY156" s="15"/>
      <c r="GWZ156" s="15"/>
      <c r="GXA156" s="15"/>
      <c r="GXB156" s="15"/>
      <c r="GXC156" s="15"/>
      <c r="GXD156" s="15"/>
      <c r="GXE156" s="15"/>
      <c r="GXF156" s="15"/>
      <c r="GXG156" s="15"/>
      <c r="GXH156" s="15"/>
      <c r="GXI156" s="15"/>
      <c r="GXJ156" s="15"/>
      <c r="GXK156" s="15"/>
      <c r="GXL156" s="15"/>
      <c r="GXM156" s="15"/>
      <c r="GXN156" s="15"/>
      <c r="GXO156" s="15"/>
      <c r="GXP156" s="15"/>
      <c r="GXQ156" s="15"/>
      <c r="GXR156" s="15"/>
      <c r="GXS156" s="15"/>
      <c r="GXT156" s="15"/>
      <c r="GXU156" s="15"/>
      <c r="GXV156" s="15"/>
      <c r="GXW156" s="15"/>
      <c r="GXX156" s="15"/>
      <c r="GXY156" s="15"/>
      <c r="GXZ156" s="15"/>
      <c r="GYA156" s="15"/>
      <c r="GYB156" s="15"/>
      <c r="GYC156" s="15"/>
      <c r="GYD156" s="15"/>
      <c r="GYE156" s="15"/>
      <c r="GYF156" s="15"/>
      <c r="GYG156" s="15"/>
      <c r="GYH156" s="15"/>
      <c r="GYI156" s="15"/>
      <c r="GYJ156" s="15"/>
      <c r="GYK156" s="15"/>
      <c r="GYL156" s="15"/>
      <c r="GYM156" s="15"/>
      <c r="GYN156" s="15"/>
      <c r="GYO156" s="15"/>
      <c r="GYP156" s="15"/>
      <c r="GYQ156" s="15"/>
      <c r="GYR156" s="15"/>
      <c r="GYS156" s="15"/>
      <c r="GYT156" s="15"/>
      <c r="GYU156" s="15"/>
      <c r="GYV156" s="15"/>
      <c r="GYW156" s="15"/>
      <c r="GYX156" s="15"/>
      <c r="GYY156" s="15"/>
      <c r="GYZ156" s="15"/>
      <c r="GZA156" s="15"/>
      <c r="GZB156" s="15"/>
      <c r="GZC156" s="15"/>
      <c r="GZD156" s="15"/>
      <c r="GZE156" s="15"/>
      <c r="GZF156" s="15"/>
      <c r="GZG156" s="15"/>
      <c r="GZH156" s="15"/>
      <c r="GZI156" s="15"/>
      <c r="GZJ156" s="15"/>
      <c r="GZK156" s="15"/>
      <c r="GZL156" s="15"/>
      <c r="GZM156" s="15"/>
      <c r="GZN156" s="15"/>
      <c r="GZO156" s="15"/>
      <c r="GZP156" s="15"/>
      <c r="GZQ156" s="15"/>
      <c r="GZR156" s="15"/>
      <c r="GZS156" s="15"/>
      <c r="GZT156" s="15"/>
      <c r="GZU156" s="15"/>
      <c r="GZV156" s="15"/>
      <c r="GZW156" s="15"/>
      <c r="GZX156" s="15"/>
      <c r="GZY156" s="15"/>
      <c r="GZZ156" s="15"/>
      <c r="HAA156" s="15"/>
      <c r="HAB156" s="15"/>
      <c r="HAC156" s="15"/>
      <c r="HAD156" s="15"/>
      <c r="HAE156" s="15"/>
      <c r="HAF156" s="15"/>
      <c r="HAG156" s="15"/>
      <c r="HAH156" s="15"/>
      <c r="HAI156" s="15"/>
      <c r="HAJ156" s="15"/>
      <c r="HAK156" s="15"/>
      <c r="HAL156" s="15"/>
      <c r="HAM156" s="15"/>
      <c r="HAN156" s="15"/>
      <c r="HAO156" s="15"/>
      <c r="HAP156" s="15"/>
      <c r="HAQ156" s="15"/>
      <c r="HAR156" s="15"/>
      <c r="HAS156" s="15"/>
      <c r="HAT156" s="15"/>
      <c r="HAU156" s="15"/>
      <c r="HAV156" s="15"/>
      <c r="HAW156" s="15"/>
      <c r="HAX156" s="15"/>
      <c r="HAY156" s="15"/>
      <c r="HAZ156" s="15"/>
      <c r="HBA156" s="15"/>
      <c r="HBB156" s="15"/>
      <c r="HBC156" s="15"/>
      <c r="HBD156" s="15"/>
      <c r="HBE156" s="15"/>
      <c r="HBF156" s="15"/>
      <c r="HBG156" s="15"/>
      <c r="HBH156" s="15"/>
      <c r="HBI156" s="15"/>
      <c r="HBJ156" s="15"/>
      <c r="HBK156" s="15"/>
      <c r="HBL156" s="15"/>
      <c r="HBM156" s="15"/>
      <c r="HBN156" s="15"/>
      <c r="HBO156" s="15"/>
      <c r="HBP156" s="15"/>
      <c r="HBQ156" s="15"/>
      <c r="HBR156" s="15"/>
      <c r="HBS156" s="15"/>
      <c r="HBT156" s="15"/>
      <c r="HBU156" s="15"/>
      <c r="HBV156" s="15"/>
      <c r="HBW156" s="15"/>
      <c r="HBX156" s="15"/>
      <c r="HBY156" s="15"/>
      <c r="HBZ156" s="15"/>
      <c r="HCA156" s="15"/>
      <c r="HCB156" s="15"/>
      <c r="HCC156" s="15"/>
      <c r="HCD156" s="15"/>
      <c r="HCE156" s="15"/>
      <c r="HCF156" s="15"/>
      <c r="HCG156" s="15"/>
      <c r="HCH156" s="15"/>
      <c r="HCI156" s="15"/>
      <c r="HCJ156" s="15"/>
      <c r="HCK156" s="15"/>
      <c r="HCL156" s="15"/>
      <c r="HCM156" s="15"/>
      <c r="HCN156" s="15"/>
      <c r="HCO156" s="15"/>
      <c r="HCP156" s="15"/>
      <c r="HCQ156" s="15"/>
      <c r="HCR156" s="15"/>
      <c r="HCS156" s="15"/>
      <c r="HCT156" s="15"/>
      <c r="HCU156" s="15"/>
      <c r="HCV156" s="15"/>
      <c r="HCW156" s="15"/>
      <c r="HCX156" s="15"/>
      <c r="HCY156" s="15"/>
      <c r="HCZ156" s="15"/>
      <c r="HDA156" s="15"/>
      <c r="HDB156" s="15"/>
      <c r="HDC156" s="15"/>
      <c r="HDD156" s="15"/>
      <c r="HDE156" s="15"/>
      <c r="HDF156" s="15"/>
      <c r="HDG156" s="15"/>
      <c r="HDH156" s="15"/>
      <c r="HDI156" s="15"/>
      <c r="HDJ156" s="15"/>
      <c r="HDK156" s="15"/>
      <c r="HDL156" s="15"/>
      <c r="HDM156" s="15"/>
      <c r="HDN156" s="15"/>
      <c r="HDO156" s="15"/>
      <c r="HDP156" s="15"/>
      <c r="HDQ156" s="15"/>
      <c r="HDR156" s="15"/>
      <c r="HDS156" s="15"/>
      <c r="HDT156" s="15"/>
      <c r="HDU156" s="15"/>
      <c r="HDV156" s="15"/>
      <c r="HDW156" s="15"/>
      <c r="HDX156" s="15"/>
      <c r="HDY156" s="15"/>
      <c r="HDZ156" s="15"/>
      <c r="HEA156" s="15"/>
      <c r="HEB156" s="15"/>
      <c r="HEC156" s="15"/>
      <c r="HED156" s="15"/>
      <c r="HEE156" s="15"/>
      <c r="HEF156" s="15"/>
      <c r="HEG156" s="15"/>
      <c r="HEH156" s="15"/>
      <c r="HEI156" s="15"/>
      <c r="HEJ156" s="15"/>
      <c r="HEK156" s="15"/>
      <c r="HEL156" s="15"/>
      <c r="HEM156" s="15"/>
      <c r="HEN156" s="15"/>
      <c r="HEO156" s="15"/>
      <c r="HEP156" s="15"/>
      <c r="HEQ156" s="15"/>
      <c r="HER156" s="15"/>
      <c r="HES156" s="15"/>
      <c r="HET156" s="15"/>
      <c r="HEU156" s="15"/>
      <c r="HEV156" s="15"/>
      <c r="HEW156" s="15"/>
      <c r="HEX156" s="15"/>
      <c r="HEY156" s="15"/>
      <c r="HEZ156" s="15"/>
      <c r="HFA156" s="15"/>
      <c r="HFB156" s="15"/>
      <c r="HFC156" s="15"/>
      <c r="HFD156" s="15"/>
      <c r="HFE156" s="15"/>
      <c r="HFF156" s="15"/>
      <c r="HFG156" s="15"/>
      <c r="HFH156" s="15"/>
      <c r="HFI156" s="15"/>
      <c r="HFJ156" s="15"/>
      <c r="HFK156" s="15"/>
      <c r="HFL156" s="15"/>
      <c r="HFM156" s="15"/>
      <c r="HFN156" s="15"/>
      <c r="HFO156" s="15"/>
      <c r="HFP156" s="15"/>
      <c r="HFQ156" s="15"/>
      <c r="HFR156" s="15"/>
      <c r="HFS156" s="15"/>
      <c r="HFT156" s="15"/>
      <c r="HFU156" s="15"/>
      <c r="HFV156" s="15"/>
      <c r="HFW156" s="15"/>
      <c r="HFX156" s="15"/>
      <c r="HFY156" s="15"/>
      <c r="HFZ156" s="15"/>
      <c r="HGA156" s="15"/>
      <c r="HGB156" s="15"/>
      <c r="HGC156" s="15"/>
      <c r="HGD156" s="15"/>
      <c r="HGE156" s="15"/>
      <c r="HGF156" s="15"/>
      <c r="HGG156" s="15"/>
      <c r="HGH156" s="15"/>
      <c r="HGI156" s="15"/>
      <c r="HGJ156" s="15"/>
      <c r="HGK156" s="15"/>
      <c r="HGL156" s="15"/>
      <c r="HGM156" s="15"/>
      <c r="HGN156" s="15"/>
      <c r="HGO156" s="15"/>
      <c r="HGP156" s="15"/>
      <c r="HGQ156" s="15"/>
      <c r="HGR156" s="15"/>
      <c r="HGS156" s="15"/>
      <c r="HGT156" s="15"/>
      <c r="HGU156" s="15"/>
      <c r="HGV156" s="15"/>
      <c r="HGW156" s="15"/>
      <c r="HGX156" s="15"/>
      <c r="HGY156" s="15"/>
      <c r="HGZ156" s="15"/>
      <c r="HHA156" s="15"/>
      <c r="HHB156" s="15"/>
      <c r="HHC156" s="15"/>
      <c r="HHD156" s="15"/>
      <c r="HHE156" s="15"/>
      <c r="HHF156" s="15"/>
      <c r="HHG156" s="15"/>
      <c r="HHH156" s="15"/>
      <c r="HHI156" s="15"/>
      <c r="HHJ156" s="15"/>
      <c r="HHK156" s="15"/>
      <c r="HHL156" s="15"/>
      <c r="HHM156" s="15"/>
      <c r="HHN156" s="15"/>
      <c r="HHO156" s="15"/>
      <c r="HHP156" s="15"/>
      <c r="HHQ156" s="15"/>
      <c r="HHR156" s="15"/>
      <c r="HHS156" s="15"/>
      <c r="HHT156" s="15"/>
      <c r="HHU156" s="15"/>
      <c r="HHV156" s="15"/>
      <c r="HHW156" s="15"/>
      <c r="HHX156" s="15"/>
      <c r="HHY156" s="15"/>
      <c r="HHZ156" s="15"/>
      <c r="HIA156" s="15"/>
      <c r="HIB156" s="15"/>
      <c r="HIC156" s="15"/>
      <c r="HID156" s="15"/>
      <c r="HIE156" s="15"/>
      <c r="HIF156" s="15"/>
      <c r="HIG156" s="15"/>
      <c r="HIH156" s="15"/>
      <c r="HII156" s="15"/>
      <c r="HIJ156" s="15"/>
      <c r="HIK156" s="15"/>
      <c r="HIL156" s="15"/>
      <c r="HIM156" s="15"/>
      <c r="HIN156" s="15"/>
      <c r="HIO156" s="15"/>
      <c r="HIP156" s="15"/>
      <c r="HIQ156" s="15"/>
      <c r="HIR156" s="15"/>
      <c r="HIS156" s="15"/>
      <c r="HIT156" s="15"/>
      <c r="HIU156" s="15"/>
      <c r="HIV156" s="15"/>
      <c r="HIW156" s="15"/>
      <c r="HIX156" s="15"/>
      <c r="HIY156" s="15"/>
      <c r="HIZ156" s="15"/>
      <c r="HJA156" s="15"/>
      <c r="HJB156" s="15"/>
      <c r="HJC156" s="15"/>
      <c r="HJD156" s="15"/>
      <c r="HJE156" s="15"/>
      <c r="HJF156" s="15"/>
      <c r="HJG156" s="15"/>
      <c r="HJH156" s="15"/>
      <c r="HJI156" s="15"/>
      <c r="HJJ156" s="15"/>
      <c r="HJK156" s="15"/>
      <c r="HJL156" s="15"/>
      <c r="HJM156" s="15"/>
      <c r="HJN156" s="15"/>
      <c r="HJO156" s="15"/>
      <c r="HJP156" s="15"/>
      <c r="HJQ156" s="15"/>
      <c r="HJR156" s="15"/>
      <c r="HJS156" s="15"/>
      <c r="HJT156" s="15"/>
      <c r="HJU156" s="15"/>
      <c r="HJV156" s="15"/>
      <c r="HJW156" s="15"/>
      <c r="HJX156" s="15"/>
      <c r="HJY156" s="15"/>
      <c r="HJZ156" s="15"/>
      <c r="HKA156" s="15"/>
      <c r="HKB156" s="15"/>
      <c r="HKC156" s="15"/>
      <c r="HKD156" s="15"/>
      <c r="HKE156" s="15"/>
      <c r="HKF156" s="15"/>
      <c r="HKG156" s="15"/>
      <c r="HKH156" s="15"/>
      <c r="HKI156" s="15"/>
      <c r="HKJ156" s="15"/>
      <c r="HKK156" s="15"/>
      <c r="HKL156" s="15"/>
      <c r="HKM156" s="15"/>
      <c r="HKN156" s="15"/>
      <c r="HKO156" s="15"/>
      <c r="HKP156" s="15"/>
      <c r="HKQ156" s="15"/>
      <c r="HKR156" s="15"/>
      <c r="HKS156" s="15"/>
      <c r="HKT156" s="15"/>
      <c r="HKU156" s="15"/>
      <c r="HKV156" s="15"/>
      <c r="HKW156" s="15"/>
      <c r="HKX156" s="15"/>
      <c r="HKY156" s="15"/>
      <c r="HKZ156" s="15"/>
      <c r="HLA156" s="15"/>
      <c r="HLB156" s="15"/>
      <c r="HLC156" s="15"/>
      <c r="HLD156" s="15"/>
      <c r="HLE156" s="15"/>
      <c r="HLF156" s="15"/>
      <c r="HLG156" s="15"/>
      <c r="HLH156" s="15"/>
      <c r="HLI156" s="15"/>
      <c r="HLJ156" s="15"/>
      <c r="HLK156" s="15"/>
      <c r="HLL156" s="15"/>
      <c r="HLM156" s="15"/>
      <c r="HLN156" s="15"/>
      <c r="HLO156" s="15"/>
      <c r="HLP156" s="15"/>
      <c r="HLQ156" s="15"/>
      <c r="HLR156" s="15"/>
      <c r="HLS156" s="15"/>
      <c r="HLT156" s="15"/>
      <c r="HLU156" s="15"/>
      <c r="HLV156" s="15"/>
      <c r="HLW156" s="15"/>
      <c r="HLX156" s="15"/>
      <c r="HLY156" s="15"/>
      <c r="HLZ156" s="15"/>
      <c r="HMA156" s="15"/>
      <c r="HMB156" s="15"/>
      <c r="HMC156" s="15"/>
      <c r="HMD156" s="15"/>
      <c r="HME156" s="15"/>
      <c r="HMF156" s="15"/>
      <c r="HMG156" s="15"/>
      <c r="HMH156" s="15"/>
      <c r="HMI156" s="15"/>
      <c r="HMJ156" s="15"/>
      <c r="HMK156" s="15"/>
      <c r="HML156" s="15"/>
      <c r="HMM156" s="15"/>
      <c r="HMN156" s="15"/>
      <c r="HMO156" s="15"/>
      <c r="HMP156" s="15"/>
      <c r="HMQ156" s="15"/>
      <c r="HMR156" s="15"/>
      <c r="HMS156" s="15"/>
      <c r="HMT156" s="15"/>
      <c r="HMU156" s="15"/>
      <c r="HMV156" s="15"/>
      <c r="HMW156" s="15"/>
      <c r="HMX156" s="15"/>
      <c r="HMY156" s="15"/>
      <c r="HMZ156" s="15"/>
      <c r="HNA156" s="15"/>
      <c r="HNB156" s="15"/>
      <c r="HNC156" s="15"/>
      <c r="HND156" s="15"/>
      <c r="HNE156" s="15"/>
      <c r="HNF156" s="15"/>
      <c r="HNG156" s="15"/>
      <c r="HNH156" s="15"/>
      <c r="HNI156" s="15"/>
      <c r="HNJ156" s="15"/>
      <c r="HNK156" s="15"/>
      <c r="HNL156" s="15"/>
      <c r="HNM156" s="15"/>
      <c r="HNN156" s="15"/>
      <c r="HNO156" s="15"/>
      <c r="HNP156" s="15"/>
      <c r="HNQ156" s="15"/>
      <c r="HNR156" s="15"/>
      <c r="HNS156" s="15"/>
      <c r="HNT156" s="15"/>
      <c r="HNU156" s="15"/>
      <c r="HNV156" s="15"/>
      <c r="HNW156" s="15"/>
      <c r="HNX156" s="15"/>
      <c r="HNY156" s="15"/>
      <c r="HNZ156" s="15"/>
      <c r="HOA156" s="15"/>
      <c r="HOB156" s="15"/>
      <c r="HOC156" s="15"/>
      <c r="HOD156" s="15"/>
      <c r="HOE156" s="15"/>
      <c r="HOF156" s="15"/>
      <c r="HOG156" s="15"/>
      <c r="HOH156" s="15"/>
      <c r="HOI156" s="15"/>
      <c r="HOJ156" s="15"/>
      <c r="HOK156" s="15"/>
      <c r="HOL156" s="15"/>
      <c r="HOM156" s="15"/>
      <c r="HON156" s="15"/>
      <c r="HOO156" s="15"/>
      <c r="HOP156" s="15"/>
      <c r="HOQ156" s="15"/>
      <c r="HOR156" s="15"/>
      <c r="HOS156" s="15"/>
      <c r="HOT156" s="15"/>
      <c r="HOU156" s="15"/>
      <c r="HOV156" s="15"/>
      <c r="HOW156" s="15"/>
      <c r="HOX156" s="15"/>
      <c r="HOY156" s="15"/>
      <c r="HOZ156" s="15"/>
      <c r="HPA156" s="15"/>
      <c r="HPB156" s="15"/>
      <c r="HPC156" s="15"/>
      <c r="HPD156" s="15"/>
      <c r="HPE156" s="15"/>
      <c r="HPF156" s="15"/>
      <c r="HPG156" s="15"/>
      <c r="HPH156" s="15"/>
      <c r="HPI156" s="15"/>
      <c r="HPJ156" s="15"/>
      <c r="HPK156" s="15"/>
      <c r="HPL156" s="15"/>
      <c r="HPM156" s="15"/>
      <c r="HPN156" s="15"/>
      <c r="HPO156" s="15"/>
      <c r="HPP156" s="15"/>
      <c r="HPQ156" s="15"/>
      <c r="HPR156" s="15"/>
      <c r="HPS156" s="15"/>
      <c r="HPT156" s="15"/>
      <c r="HPU156" s="15"/>
      <c r="HPV156" s="15"/>
      <c r="HPW156" s="15"/>
      <c r="HPX156" s="15"/>
      <c r="HPY156" s="15"/>
      <c r="HPZ156" s="15"/>
      <c r="HQA156" s="15"/>
      <c r="HQB156" s="15"/>
      <c r="HQC156" s="15"/>
      <c r="HQD156" s="15"/>
      <c r="HQE156" s="15"/>
      <c r="HQF156" s="15"/>
      <c r="HQG156" s="15"/>
      <c r="HQH156" s="15"/>
      <c r="HQI156" s="15"/>
      <c r="HQJ156" s="15"/>
      <c r="HQK156" s="15"/>
      <c r="HQL156" s="15"/>
      <c r="HQM156" s="15"/>
      <c r="HQN156" s="15"/>
      <c r="HQO156" s="15"/>
      <c r="HQP156" s="15"/>
      <c r="HQQ156" s="15"/>
      <c r="HQR156" s="15"/>
      <c r="HQS156" s="15"/>
      <c r="HQT156" s="15"/>
      <c r="HQU156" s="15"/>
      <c r="HQV156" s="15"/>
      <c r="HQW156" s="15"/>
      <c r="HQX156" s="15"/>
      <c r="HQY156" s="15"/>
      <c r="HQZ156" s="15"/>
      <c r="HRA156" s="15"/>
      <c r="HRB156" s="15"/>
      <c r="HRC156" s="15"/>
      <c r="HRD156" s="15"/>
      <c r="HRE156" s="15"/>
      <c r="HRF156" s="15"/>
      <c r="HRG156" s="15"/>
      <c r="HRH156" s="15"/>
      <c r="HRI156" s="15"/>
      <c r="HRJ156" s="15"/>
      <c r="HRK156" s="15"/>
      <c r="HRL156" s="15"/>
      <c r="HRM156" s="15"/>
      <c r="HRN156" s="15"/>
      <c r="HRO156" s="15"/>
      <c r="HRP156" s="15"/>
      <c r="HRQ156" s="15"/>
      <c r="HRR156" s="15"/>
      <c r="HRS156" s="15"/>
      <c r="HRT156" s="15"/>
      <c r="HRU156" s="15"/>
      <c r="HRV156" s="15"/>
      <c r="HRW156" s="15"/>
      <c r="HRX156" s="15"/>
      <c r="HRY156" s="15"/>
      <c r="HRZ156" s="15"/>
      <c r="HSA156" s="15"/>
      <c r="HSB156" s="15"/>
      <c r="HSC156" s="15"/>
      <c r="HSD156" s="15"/>
      <c r="HSE156" s="15"/>
      <c r="HSF156" s="15"/>
      <c r="HSG156" s="15"/>
      <c r="HSH156" s="15"/>
      <c r="HSI156" s="15"/>
      <c r="HSJ156" s="15"/>
      <c r="HSK156" s="15"/>
      <c r="HSL156" s="15"/>
      <c r="HSM156" s="15"/>
      <c r="HSN156" s="15"/>
      <c r="HSO156" s="15"/>
      <c r="HSP156" s="15"/>
      <c r="HSQ156" s="15"/>
      <c r="HSR156" s="15"/>
      <c r="HSS156" s="15"/>
      <c r="HST156" s="15"/>
      <c r="HSU156" s="15"/>
      <c r="HSV156" s="15"/>
      <c r="HSW156" s="15"/>
      <c r="HSX156" s="15"/>
      <c r="HSY156" s="15"/>
      <c r="HSZ156" s="15"/>
      <c r="HTA156" s="15"/>
      <c r="HTB156" s="15"/>
      <c r="HTC156" s="15"/>
      <c r="HTD156" s="15"/>
      <c r="HTE156" s="15"/>
      <c r="HTF156" s="15"/>
      <c r="HTG156" s="15"/>
      <c r="HTH156" s="15"/>
      <c r="HTI156" s="15"/>
      <c r="HTJ156" s="15"/>
      <c r="HTK156" s="15"/>
      <c r="HTL156" s="15"/>
      <c r="HTM156" s="15"/>
      <c r="HTN156" s="15"/>
      <c r="HTO156" s="15"/>
      <c r="HTP156" s="15"/>
      <c r="HTQ156" s="15"/>
      <c r="HTR156" s="15"/>
      <c r="HTS156" s="15"/>
      <c r="HTT156" s="15"/>
      <c r="HTU156" s="15"/>
      <c r="HTV156" s="15"/>
      <c r="HTW156" s="15"/>
      <c r="HTX156" s="15"/>
      <c r="HTY156" s="15"/>
      <c r="HTZ156" s="15"/>
      <c r="HUA156" s="15"/>
      <c r="HUB156" s="15"/>
      <c r="HUC156" s="15"/>
      <c r="HUD156" s="15"/>
      <c r="HUE156" s="15"/>
      <c r="HUF156" s="15"/>
      <c r="HUG156" s="15"/>
      <c r="HUH156" s="15"/>
      <c r="HUI156" s="15"/>
      <c r="HUJ156" s="15"/>
      <c r="HUK156" s="15"/>
      <c r="HUL156" s="15"/>
      <c r="HUM156" s="15"/>
      <c r="HUN156" s="15"/>
      <c r="HUO156" s="15"/>
      <c r="HUP156" s="15"/>
      <c r="HUQ156" s="15"/>
      <c r="HUR156" s="15"/>
      <c r="HUS156" s="15"/>
      <c r="HUT156" s="15"/>
      <c r="HUU156" s="15"/>
      <c r="HUV156" s="15"/>
      <c r="HUW156" s="15"/>
      <c r="HUX156" s="15"/>
      <c r="HUY156" s="15"/>
      <c r="HUZ156" s="15"/>
      <c r="HVA156" s="15"/>
      <c r="HVB156" s="15"/>
      <c r="HVC156" s="15"/>
      <c r="HVD156" s="15"/>
      <c r="HVE156" s="15"/>
      <c r="HVF156" s="15"/>
      <c r="HVG156" s="15"/>
      <c r="HVH156" s="15"/>
      <c r="HVI156" s="15"/>
      <c r="HVJ156" s="15"/>
      <c r="HVK156" s="15"/>
      <c r="HVL156" s="15"/>
      <c r="HVM156" s="15"/>
      <c r="HVN156" s="15"/>
      <c r="HVO156" s="15"/>
      <c r="HVP156" s="15"/>
      <c r="HVQ156" s="15"/>
      <c r="HVR156" s="15"/>
      <c r="HVS156" s="15"/>
      <c r="HVT156" s="15"/>
      <c r="HVU156" s="15"/>
      <c r="HVV156" s="15"/>
      <c r="HVW156" s="15"/>
      <c r="HVX156" s="15"/>
      <c r="HVY156" s="15"/>
      <c r="HVZ156" s="15"/>
      <c r="HWA156" s="15"/>
      <c r="HWB156" s="15"/>
      <c r="HWC156" s="15"/>
      <c r="HWD156" s="15"/>
      <c r="HWE156" s="15"/>
      <c r="HWF156" s="15"/>
      <c r="HWG156" s="15"/>
      <c r="HWH156" s="15"/>
      <c r="HWI156" s="15"/>
      <c r="HWJ156" s="15"/>
      <c r="HWK156" s="15"/>
      <c r="HWL156" s="15"/>
      <c r="HWM156" s="15"/>
      <c r="HWN156" s="15"/>
      <c r="HWO156" s="15"/>
      <c r="HWP156" s="15"/>
      <c r="HWQ156" s="15"/>
      <c r="HWR156" s="15"/>
      <c r="HWS156" s="15"/>
      <c r="HWT156" s="15"/>
      <c r="HWU156" s="15"/>
      <c r="HWV156" s="15"/>
      <c r="HWW156" s="15"/>
      <c r="HWX156" s="15"/>
      <c r="HWY156" s="15"/>
      <c r="HWZ156" s="15"/>
      <c r="HXA156" s="15"/>
      <c r="HXB156" s="15"/>
      <c r="HXC156" s="15"/>
      <c r="HXD156" s="15"/>
      <c r="HXE156" s="15"/>
      <c r="HXF156" s="15"/>
      <c r="HXG156" s="15"/>
      <c r="HXH156" s="15"/>
      <c r="HXI156" s="15"/>
      <c r="HXJ156" s="15"/>
      <c r="HXK156" s="15"/>
      <c r="HXL156" s="15"/>
      <c r="HXM156" s="15"/>
      <c r="HXN156" s="15"/>
      <c r="HXO156" s="15"/>
      <c r="HXP156" s="15"/>
      <c r="HXQ156" s="15"/>
      <c r="HXR156" s="15"/>
      <c r="HXS156" s="15"/>
      <c r="HXT156" s="15"/>
      <c r="HXU156" s="15"/>
      <c r="HXV156" s="15"/>
      <c r="HXW156" s="15"/>
      <c r="HXX156" s="15"/>
      <c r="HXY156" s="15"/>
      <c r="HXZ156" s="15"/>
      <c r="HYA156" s="15"/>
      <c r="HYB156" s="15"/>
      <c r="HYC156" s="15"/>
      <c r="HYD156" s="15"/>
      <c r="HYE156" s="15"/>
      <c r="HYF156" s="15"/>
      <c r="HYG156" s="15"/>
      <c r="HYH156" s="15"/>
      <c r="HYI156" s="15"/>
      <c r="HYJ156" s="15"/>
      <c r="HYK156" s="15"/>
      <c r="HYL156" s="15"/>
      <c r="HYM156" s="15"/>
      <c r="HYN156" s="15"/>
      <c r="HYO156" s="15"/>
      <c r="HYP156" s="15"/>
      <c r="HYQ156" s="15"/>
      <c r="HYR156" s="15"/>
      <c r="HYS156" s="15"/>
      <c r="HYT156" s="15"/>
      <c r="HYU156" s="15"/>
      <c r="HYV156" s="15"/>
      <c r="HYW156" s="15"/>
      <c r="HYX156" s="15"/>
      <c r="HYY156" s="15"/>
      <c r="HYZ156" s="15"/>
      <c r="HZA156" s="15"/>
      <c r="HZB156" s="15"/>
      <c r="HZC156" s="15"/>
      <c r="HZD156" s="15"/>
      <c r="HZE156" s="15"/>
      <c r="HZF156" s="15"/>
      <c r="HZG156" s="15"/>
      <c r="HZH156" s="15"/>
      <c r="HZI156" s="15"/>
      <c r="HZJ156" s="15"/>
      <c r="HZK156" s="15"/>
      <c r="HZL156" s="15"/>
      <c r="HZM156" s="15"/>
      <c r="HZN156" s="15"/>
      <c r="HZO156" s="15"/>
      <c r="HZP156" s="15"/>
      <c r="HZQ156" s="15"/>
      <c r="HZR156" s="15"/>
      <c r="HZS156" s="15"/>
      <c r="HZT156" s="15"/>
      <c r="HZU156" s="15"/>
      <c r="HZV156" s="15"/>
      <c r="HZW156" s="15"/>
      <c r="HZX156" s="15"/>
      <c r="HZY156" s="15"/>
      <c r="HZZ156" s="15"/>
      <c r="IAA156" s="15"/>
      <c r="IAB156" s="15"/>
      <c r="IAC156" s="15"/>
      <c r="IAD156" s="15"/>
      <c r="IAE156" s="15"/>
      <c r="IAF156" s="15"/>
      <c r="IAG156" s="15"/>
      <c r="IAH156" s="15"/>
      <c r="IAI156" s="15"/>
      <c r="IAJ156" s="15"/>
      <c r="IAK156" s="15"/>
      <c r="IAL156" s="15"/>
      <c r="IAM156" s="15"/>
      <c r="IAN156" s="15"/>
      <c r="IAO156" s="15"/>
      <c r="IAP156" s="15"/>
      <c r="IAQ156" s="15"/>
      <c r="IAR156" s="15"/>
      <c r="IAS156" s="15"/>
      <c r="IAT156" s="15"/>
      <c r="IAU156" s="15"/>
      <c r="IAV156" s="15"/>
      <c r="IAW156" s="15"/>
      <c r="IAX156" s="15"/>
      <c r="IAY156" s="15"/>
      <c r="IAZ156" s="15"/>
      <c r="IBA156" s="15"/>
      <c r="IBB156" s="15"/>
      <c r="IBC156" s="15"/>
      <c r="IBD156" s="15"/>
      <c r="IBE156" s="15"/>
      <c r="IBF156" s="15"/>
      <c r="IBG156" s="15"/>
      <c r="IBH156" s="15"/>
      <c r="IBI156" s="15"/>
      <c r="IBJ156" s="15"/>
      <c r="IBK156" s="15"/>
      <c r="IBL156" s="15"/>
      <c r="IBM156" s="15"/>
      <c r="IBN156" s="15"/>
      <c r="IBO156" s="15"/>
      <c r="IBP156" s="15"/>
      <c r="IBQ156" s="15"/>
      <c r="IBR156" s="15"/>
      <c r="IBS156" s="15"/>
      <c r="IBT156" s="15"/>
      <c r="IBU156" s="15"/>
      <c r="IBV156" s="15"/>
      <c r="IBW156" s="15"/>
      <c r="IBX156" s="15"/>
      <c r="IBY156" s="15"/>
      <c r="IBZ156" s="15"/>
      <c r="ICA156" s="15"/>
      <c r="ICB156" s="15"/>
      <c r="ICC156" s="15"/>
      <c r="ICD156" s="15"/>
      <c r="ICE156" s="15"/>
      <c r="ICF156" s="15"/>
      <c r="ICG156" s="15"/>
      <c r="ICH156" s="15"/>
      <c r="ICI156" s="15"/>
      <c r="ICJ156" s="15"/>
      <c r="ICK156" s="15"/>
      <c r="ICL156" s="15"/>
      <c r="ICM156" s="15"/>
      <c r="ICN156" s="15"/>
      <c r="ICO156" s="15"/>
      <c r="ICP156" s="15"/>
      <c r="ICQ156" s="15"/>
      <c r="ICR156" s="15"/>
      <c r="ICS156" s="15"/>
      <c r="ICT156" s="15"/>
      <c r="ICU156" s="15"/>
      <c r="ICV156" s="15"/>
      <c r="ICW156" s="15"/>
      <c r="ICX156" s="15"/>
      <c r="ICY156" s="15"/>
      <c r="ICZ156" s="15"/>
      <c r="IDA156" s="15"/>
      <c r="IDB156" s="15"/>
      <c r="IDC156" s="15"/>
      <c r="IDD156" s="15"/>
      <c r="IDE156" s="15"/>
      <c r="IDF156" s="15"/>
      <c r="IDG156" s="15"/>
      <c r="IDH156" s="15"/>
      <c r="IDI156" s="15"/>
      <c r="IDJ156" s="15"/>
      <c r="IDK156" s="15"/>
      <c r="IDL156" s="15"/>
      <c r="IDM156" s="15"/>
      <c r="IDN156" s="15"/>
      <c r="IDO156" s="15"/>
      <c r="IDP156" s="15"/>
      <c r="IDQ156" s="15"/>
      <c r="IDR156" s="15"/>
      <c r="IDS156" s="15"/>
      <c r="IDT156" s="15"/>
      <c r="IDU156" s="15"/>
      <c r="IDV156" s="15"/>
      <c r="IDW156" s="15"/>
      <c r="IDX156" s="15"/>
      <c r="IDY156" s="15"/>
      <c r="IDZ156" s="15"/>
      <c r="IEA156" s="15"/>
      <c r="IEB156" s="15"/>
      <c r="IEC156" s="15"/>
      <c r="IED156" s="15"/>
      <c r="IEE156" s="15"/>
      <c r="IEF156" s="15"/>
      <c r="IEG156" s="15"/>
      <c r="IEH156" s="15"/>
      <c r="IEI156" s="15"/>
      <c r="IEJ156" s="15"/>
      <c r="IEK156" s="15"/>
      <c r="IEL156" s="15"/>
      <c r="IEM156" s="15"/>
      <c r="IEN156" s="15"/>
      <c r="IEO156" s="15"/>
      <c r="IEP156" s="15"/>
      <c r="IEQ156" s="15"/>
      <c r="IER156" s="15"/>
      <c r="IES156" s="15"/>
      <c r="IET156" s="15"/>
      <c r="IEU156" s="15"/>
      <c r="IEV156" s="15"/>
      <c r="IEW156" s="15"/>
      <c r="IEX156" s="15"/>
      <c r="IEY156" s="15"/>
      <c r="IEZ156" s="15"/>
      <c r="IFA156" s="15"/>
      <c r="IFB156" s="15"/>
      <c r="IFC156" s="15"/>
      <c r="IFD156" s="15"/>
      <c r="IFE156" s="15"/>
      <c r="IFF156" s="15"/>
      <c r="IFG156" s="15"/>
      <c r="IFH156" s="15"/>
      <c r="IFI156" s="15"/>
      <c r="IFJ156" s="15"/>
      <c r="IFK156" s="15"/>
      <c r="IFL156" s="15"/>
      <c r="IFM156" s="15"/>
      <c r="IFN156" s="15"/>
      <c r="IFO156" s="15"/>
      <c r="IFP156" s="15"/>
      <c r="IFQ156" s="15"/>
      <c r="IFR156" s="15"/>
      <c r="IFS156" s="15"/>
      <c r="IFT156" s="15"/>
      <c r="IFU156" s="15"/>
      <c r="IFV156" s="15"/>
      <c r="IFW156" s="15"/>
      <c r="IFX156" s="15"/>
      <c r="IFY156" s="15"/>
      <c r="IFZ156" s="15"/>
      <c r="IGA156" s="15"/>
      <c r="IGB156" s="15"/>
      <c r="IGC156" s="15"/>
      <c r="IGD156" s="15"/>
      <c r="IGE156" s="15"/>
      <c r="IGF156" s="15"/>
      <c r="IGG156" s="15"/>
      <c r="IGH156" s="15"/>
      <c r="IGI156" s="15"/>
      <c r="IGJ156" s="15"/>
      <c r="IGK156" s="15"/>
      <c r="IGL156" s="15"/>
      <c r="IGM156" s="15"/>
      <c r="IGN156" s="15"/>
      <c r="IGO156" s="15"/>
      <c r="IGP156" s="15"/>
      <c r="IGQ156" s="15"/>
      <c r="IGR156" s="15"/>
      <c r="IGS156" s="15"/>
      <c r="IGT156" s="15"/>
      <c r="IGU156" s="15"/>
      <c r="IGV156" s="15"/>
      <c r="IGW156" s="15"/>
      <c r="IGX156" s="15"/>
      <c r="IGY156" s="15"/>
      <c r="IGZ156" s="15"/>
      <c r="IHA156" s="15"/>
      <c r="IHB156" s="15"/>
      <c r="IHC156" s="15"/>
      <c r="IHD156" s="15"/>
      <c r="IHE156" s="15"/>
      <c r="IHF156" s="15"/>
      <c r="IHG156" s="15"/>
      <c r="IHH156" s="15"/>
      <c r="IHI156" s="15"/>
      <c r="IHJ156" s="15"/>
      <c r="IHK156" s="15"/>
      <c r="IHL156" s="15"/>
      <c r="IHM156" s="15"/>
      <c r="IHN156" s="15"/>
      <c r="IHO156" s="15"/>
      <c r="IHP156" s="15"/>
      <c r="IHQ156" s="15"/>
      <c r="IHR156" s="15"/>
      <c r="IHS156" s="15"/>
      <c r="IHT156" s="15"/>
      <c r="IHU156" s="15"/>
      <c r="IHV156" s="15"/>
      <c r="IHW156" s="15"/>
      <c r="IHX156" s="15"/>
      <c r="IHY156" s="15"/>
      <c r="IHZ156" s="15"/>
      <c r="IIA156" s="15"/>
      <c r="IIB156" s="15"/>
      <c r="IIC156" s="15"/>
      <c r="IID156" s="15"/>
      <c r="IIE156" s="15"/>
      <c r="IIF156" s="15"/>
      <c r="IIG156" s="15"/>
      <c r="IIH156" s="15"/>
      <c r="III156" s="15"/>
      <c r="IIJ156" s="15"/>
      <c r="IIK156" s="15"/>
      <c r="IIL156" s="15"/>
      <c r="IIM156" s="15"/>
      <c r="IIN156" s="15"/>
      <c r="IIO156" s="15"/>
      <c r="IIP156" s="15"/>
      <c r="IIQ156" s="15"/>
      <c r="IIR156" s="15"/>
      <c r="IIS156" s="15"/>
      <c r="IIT156" s="15"/>
      <c r="IIU156" s="15"/>
      <c r="IIV156" s="15"/>
      <c r="IIW156" s="15"/>
      <c r="IIX156" s="15"/>
      <c r="IIY156" s="15"/>
      <c r="IIZ156" s="15"/>
      <c r="IJA156" s="15"/>
      <c r="IJB156" s="15"/>
      <c r="IJC156" s="15"/>
      <c r="IJD156" s="15"/>
      <c r="IJE156" s="15"/>
      <c r="IJF156" s="15"/>
      <c r="IJG156" s="15"/>
      <c r="IJH156" s="15"/>
      <c r="IJI156" s="15"/>
      <c r="IJJ156" s="15"/>
      <c r="IJK156" s="15"/>
      <c r="IJL156" s="15"/>
      <c r="IJM156" s="15"/>
      <c r="IJN156" s="15"/>
      <c r="IJO156" s="15"/>
      <c r="IJP156" s="15"/>
      <c r="IJQ156" s="15"/>
      <c r="IJR156" s="15"/>
      <c r="IJS156" s="15"/>
      <c r="IJT156" s="15"/>
      <c r="IJU156" s="15"/>
      <c r="IJV156" s="15"/>
      <c r="IJW156" s="15"/>
      <c r="IJX156" s="15"/>
      <c r="IJY156" s="15"/>
      <c r="IJZ156" s="15"/>
      <c r="IKA156" s="15"/>
      <c r="IKB156" s="15"/>
      <c r="IKC156" s="15"/>
      <c r="IKD156" s="15"/>
      <c r="IKE156" s="15"/>
      <c r="IKF156" s="15"/>
      <c r="IKG156" s="15"/>
      <c r="IKH156" s="15"/>
      <c r="IKI156" s="15"/>
      <c r="IKJ156" s="15"/>
      <c r="IKK156" s="15"/>
      <c r="IKL156" s="15"/>
      <c r="IKM156" s="15"/>
      <c r="IKN156" s="15"/>
      <c r="IKO156" s="15"/>
      <c r="IKP156" s="15"/>
      <c r="IKQ156" s="15"/>
      <c r="IKR156" s="15"/>
      <c r="IKS156" s="15"/>
      <c r="IKT156" s="15"/>
      <c r="IKU156" s="15"/>
      <c r="IKV156" s="15"/>
      <c r="IKW156" s="15"/>
      <c r="IKX156" s="15"/>
      <c r="IKY156" s="15"/>
      <c r="IKZ156" s="15"/>
      <c r="ILA156" s="15"/>
      <c r="ILB156" s="15"/>
      <c r="ILC156" s="15"/>
      <c r="ILD156" s="15"/>
      <c r="ILE156" s="15"/>
      <c r="ILF156" s="15"/>
      <c r="ILG156" s="15"/>
      <c r="ILH156" s="15"/>
      <c r="ILI156" s="15"/>
      <c r="ILJ156" s="15"/>
      <c r="ILK156" s="15"/>
      <c r="ILL156" s="15"/>
      <c r="ILM156" s="15"/>
      <c r="ILN156" s="15"/>
      <c r="ILO156" s="15"/>
      <c r="ILP156" s="15"/>
      <c r="ILQ156" s="15"/>
      <c r="ILR156" s="15"/>
      <c r="ILS156" s="15"/>
      <c r="ILT156" s="15"/>
      <c r="ILU156" s="15"/>
      <c r="ILV156" s="15"/>
      <c r="ILW156" s="15"/>
      <c r="ILX156" s="15"/>
      <c r="ILY156" s="15"/>
      <c r="ILZ156" s="15"/>
      <c r="IMA156" s="15"/>
      <c r="IMB156" s="15"/>
      <c r="IMC156" s="15"/>
      <c r="IMD156" s="15"/>
      <c r="IME156" s="15"/>
      <c r="IMF156" s="15"/>
      <c r="IMG156" s="15"/>
      <c r="IMH156" s="15"/>
      <c r="IMI156" s="15"/>
      <c r="IMJ156" s="15"/>
      <c r="IMK156" s="15"/>
      <c r="IML156" s="15"/>
      <c r="IMM156" s="15"/>
      <c r="IMN156" s="15"/>
      <c r="IMO156" s="15"/>
      <c r="IMP156" s="15"/>
      <c r="IMQ156" s="15"/>
      <c r="IMR156" s="15"/>
      <c r="IMS156" s="15"/>
      <c r="IMT156" s="15"/>
      <c r="IMU156" s="15"/>
      <c r="IMV156" s="15"/>
      <c r="IMW156" s="15"/>
      <c r="IMX156" s="15"/>
      <c r="IMY156" s="15"/>
      <c r="IMZ156" s="15"/>
      <c r="INA156" s="15"/>
      <c r="INB156" s="15"/>
      <c r="INC156" s="15"/>
      <c r="IND156" s="15"/>
      <c r="INE156" s="15"/>
      <c r="INF156" s="15"/>
      <c r="ING156" s="15"/>
      <c r="INH156" s="15"/>
      <c r="INI156" s="15"/>
      <c r="INJ156" s="15"/>
      <c r="INK156" s="15"/>
      <c r="INL156" s="15"/>
      <c r="INM156" s="15"/>
      <c r="INN156" s="15"/>
      <c r="INO156" s="15"/>
      <c r="INP156" s="15"/>
      <c r="INQ156" s="15"/>
      <c r="INR156" s="15"/>
      <c r="INS156" s="15"/>
      <c r="INT156" s="15"/>
      <c r="INU156" s="15"/>
      <c r="INV156" s="15"/>
      <c r="INW156" s="15"/>
      <c r="INX156" s="15"/>
      <c r="INY156" s="15"/>
      <c r="INZ156" s="15"/>
      <c r="IOA156" s="15"/>
      <c r="IOB156" s="15"/>
      <c r="IOC156" s="15"/>
      <c r="IOD156" s="15"/>
      <c r="IOE156" s="15"/>
      <c r="IOF156" s="15"/>
      <c r="IOG156" s="15"/>
      <c r="IOH156" s="15"/>
      <c r="IOI156" s="15"/>
      <c r="IOJ156" s="15"/>
      <c r="IOK156" s="15"/>
      <c r="IOL156" s="15"/>
      <c r="IOM156" s="15"/>
      <c r="ION156" s="15"/>
      <c r="IOO156" s="15"/>
      <c r="IOP156" s="15"/>
      <c r="IOQ156" s="15"/>
      <c r="IOR156" s="15"/>
      <c r="IOS156" s="15"/>
      <c r="IOT156" s="15"/>
      <c r="IOU156" s="15"/>
      <c r="IOV156" s="15"/>
      <c r="IOW156" s="15"/>
      <c r="IOX156" s="15"/>
      <c r="IOY156" s="15"/>
      <c r="IOZ156" s="15"/>
      <c r="IPA156" s="15"/>
      <c r="IPB156" s="15"/>
      <c r="IPC156" s="15"/>
      <c r="IPD156" s="15"/>
      <c r="IPE156" s="15"/>
      <c r="IPF156" s="15"/>
      <c r="IPG156" s="15"/>
      <c r="IPH156" s="15"/>
      <c r="IPI156" s="15"/>
      <c r="IPJ156" s="15"/>
      <c r="IPK156" s="15"/>
      <c r="IPL156" s="15"/>
      <c r="IPM156" s="15"/>
      <c r="IPN156" s="15"/>
      <c r="IPO156" s="15"/>
      <c r="IPP156" s="15"/>
      <c r="IPQ156" s="15"/>
      <c r="IPR156" s="15"/>
      <c r="IPS156" s="15"/>
      <c r="IPT156" s="15"/>
      <c r="IPU156" s="15"/>
      <c r="IPV156" s="15"/>
      <c r="IPW156" s="15"/>
      <c r="IPX156" s="15"/>
      <c r="IPY156" s="15"/>
      <c r="IPZ156" s="15"/>
      <c r="IQA156" s="15"/>
      <c r="IQB156" s="15"/>
      <c r="IQC156" s="15"/>
      <c r="IQD156" s="15"/>
      <c r="IQE156" s="15"/>
      <c r="IQF156" s="15"/>
      <c r="IQG156" s="15"/>
      <c r="IQH156" s="15"/>
      <c r="IQI156" s="15"/>
      <c r="IQJ156" s="15"/>
      <c r="IQK156" s="15"/>
      <c r="IQL156" s="15"/>
      <c r="IQM156" s="15"/>
      <c r="IQN156" s="15"/>
      <c r="IQO156" s="15"/>
      <c r="IQP156" s="15"/>
      <c r="IQQ156" s="15"/>
      <c r="IQR156" s="15"/>
      <c r="IQS156" s="15"/>
      <c r="IQT156" s="15"/>
      <c r="IQU156" s="15"/>
      <c r="IQV156" s="15"/>
      <c r="IQW156" s="15"/>
      <c r="IQX156" s="15"/>
      <c r="IQY156" s="15"/>
      <c r="IQZ156" s="15"/>
      <c r="IRA156" s="15"/>
      <c r="IRB156" s="15"/>
      <c r="IRC156" s="15"/>
      <c r="IRD156" s="15"/>
      <c r="IRE156" s="15"/>
      <c r="IRF156" s="15"/>
      <c r="IRG156" s="15"/>
      <c r="IRH156" s="15"/>
      <c r="IRI156" s="15"/>
      <c r="IRJ156" s="15"/>
      <c r="IRK156" s="15"/>
      <c r="IRL156" s="15"/>
      <c r="IRM156" s="15"/>
      <c r="IRN156" s="15"/>
      <c r="IRO156" s="15"/>
      <c r="IRP156" s="15"/>
      <c r="IRQ156" s="15"/>
      <c r="IRR156" s="15"/>
      <c r="IRS156" s="15"/>
      <c r="IRT156" s="15"/>
      <c r="IRU156" s="15"/>
      <c r="IRV156" s="15"/>
      <c r="IRW156" s="15"/>
      <c r="IRX156" s="15"/>
      <c r="IRY156" s="15"/>
      <c r="IRZ156" s="15"/>
      <c r="ISA156" s="15"/>
      <c r="ISB156" s="15"/>
      <c r="ISC156" s="15"/>
      <c r="ISD156" s="15"/>
      <c r="ISE156" s="15"/>
      <c r="ISF156" s="15"/>
      <c r="ISG156" s="15"/>
      <c r="ISH156" s="15"/>
      <c r="ISI156" s="15"/>
      <c r="ISJ156" s="15"/>
      <c r="ISK156" s="15"/>
      <c r="ISL156" s="15"/>
      <c r="ISM156" s="15"/>
      <c r="ISN156" s="15"/>
      <c r="ISO156" s="15"/>
      <c r="ISP156" s="15"/>
      <c r="ISQ156" s="15"/>
      <c r="ISR156" s="15"/>
      <c r="ISS156" s="15"/>
      <c r="IST156" s="15"/>
      <c r="ISU156" s="15"/>
      <c r="ISV156" s="15"/>
      <c r="ISW156" s="15"/>
      <c r="ISX156" s="15"/>
      <c r="ISY156" s="15"/>
      <c r="ISZ156" s="15"/>
      <c r="ITA156" s="15"/>
      <c r="ITB156" s="15"/>
      <c r="ITC156" s="15"/>
      <c r="ITD156" s="15"/>
      <c r="ITE156" s="15"/>
      <c r="ITF156" s="15"/>
      <c r="ITG156" s="15"/>
      <c r="ITH156" s="15"/>
      <c r="ITI156" s="15"/>
      <c r="ITJ156" s="15"/>
      <c r="ITK156" s="15"/>
      <c r="ITL156" s="15"/>
      <c r="ITM156" s="15"/>
      <c r="ITN156" s="15"/>
      <c r="ITO156" s="15"/>
      <c r="ITP156" s="15"/>
      <c r="ITQ156" s="15"/>
      <c r="ITR156" s="15"/>
      <c r="ITS156" s="15"/>
      <c r="ITT156" s="15"/>
      <c r="ITU156" s="15"/>
      <c r="ITV156" s="15"/>
      <c r="ITW156" s="15"/>
      <c r="ITX156" s="15"/>
      <c r="ITY156" s="15"/>
      <c r="ITZ156" s="15"/>
      <c r="IUA156" s="15"/>
      <c r="IUB156" s="15"/>
      <c r="IUC156" s="15"/>
      <c r="IUD156" s="15"/>
      <c r="IUE156" s="15"/>
      <c r="IUF156" s="15"/>
      <c r="IUG156" s="15"/>
      <c r="IUH156" s="15"/>
      <c r="IUI156" s="15"/>
      <c r="IUJ156" s="15"/>
      <c r="IUK156" s="15"/>
      <c r="IUL156" s="15"/>
      <c r="IUM156" s="15"/>
      <c r="IUN156" s="15"/>
      <c r="IUO156" s="15"/>
      <c r="IUP156" s="15"/>
      <c r="IUQ156" s="15"/>
      <c r="IUR156" s="15"/>
      <c r="IUS156" s="15"/>
      <c r="IUT156" s="15"/>
      <c r="IUU156" s="15"/>
      <c r="IUV156" s="15"/>
      <c r="IUW156" s="15"/>
      <c r="IUX156" s="15"/>
      <c r="IUY156" s="15"/>
      <c r="IUZ156" s="15"/>
      <c r="IVA156" s="15"/>
      <c r="IVB156" s="15"/>
      <c r="IVC156" s="15"/>
      <c r="IVD156" s="15"/>
      <c r="IVE156" s="15"/>
      <c r="IVF156" s="15"/>
      <c r="IVG156" s="15"/>
      <c r="IVH156" s="15"/>
      <c r="IVI156" s="15"/>
      <c r="IVJ156" s="15"/>
      <c r="IVK156" s="15"/>
      <c r="IVL156" s="15"/>
      <c r="IVM156" s="15"/>
      <c r="IVN156" s="15"/>
      <c r="IVO156" s="15"/>
      <c r="IVP156" s="15"/>
      <c r="IVQ156" s="15"/>
      <c r="IVR156" s="15"/>
      <c r="IVS156" s="15"/>
      <c r="IVT156" s="15"/>
      <c r="IVU156" s="15"/>
      <c r="IVV156" s="15"/>
      <c r="IVW156" s="15"/>
      <c r="IVX156" s="15"/>
      <c r="IVY156" s="15"/>
      <c r="IVZ156" s="15"/>
      <c r="IWA156" s="15"/>
      <c r="IWB156" s="15"/>
      <c r="IWC156" s="15"/>
      <c r="IWD156" s="15"/>
      <c r="IWE156" s="15"/>
      <c r="IWF156" s="15"/>
      <c r="IWG156" s="15"/>
      <c r="IWH156" s="15"/>
      <c r="IWI156" s="15"/>
      <c r="IWJ156" s="15"/>
      <c r="IWK156" s="15"/>
      <c r="IWL156" s="15"/>
      <c r="IWM156" s="15"/>
      <c r="IWN156" s="15"/>
      <c r="IWO156" s="15"/>
      <c r="IWP156" s="15"/>
      <c r="IWQ156" s="15"/>
      <c r="IWR156" s="15"/>
      <c r="IWS156" s="15"/>
      <c r="IWT156" s="15"/>
      <c r="IWU156" s="15"/>
      <c r="IWV156" s="15"/>
      <c r="IWW156" s="15"/>
      <c r="IWX156" s="15"/>
      <c r="IWY156" s="15"/>
      <c r="IWZ156" s="15"/>
      <c r="IXA156" s="15"/>
      <c r="IXB156" s="15"/>
      <c r="IXC156" s="15"/>
      <c r="IXD156" s="15"/>
      <c r="IXE156" s="15"/>
      <c r="IXF156" s="15"/>
      <c r="IXG156" s="15"/>
      <c r="IXH156" s="15"/>
      <c r="IXI156" s="15"/>
      <c r="IXJ156" s="15"/>
      <c r="IXK156" s="15"/>
      <c r="IXL156" s="15"/>
      <c r="IXM156" s="15"/>
      <c r="IXN156" s="15"/>
      <c r="IXO156" s="15"/>
      <c r="IXP156" s="15"/>
      <c r="IXQ156" s="15"/>
      <c r="IXR156" s="15"/>
      <c r="IXS156" s="15"/>
      <c r="IXT156" s="15"/>
      <c r="IXU156" s="15"/>
      <c r="IXV156" s="15"/>
      <c r="IXW156" s="15"/>
      <c r="IXX156" s="15"/>
      <c r="IXY156" s="15"/>
      <c r="IXZ156" s="15"/>
      <c r="IYA156" s="15"/>
      <c r="IYB156" s="15"/>
      <c r="IYC156" s="15"/>
      <c r="IYD156" s="15"/>
      <c r="IYE156" s="15"/>
      <c r="IYF156" s="15"/>
      <c r="IYG156" s="15"/>
      <c r="IYH156" s="15"/>
      <c r="IYI156" s="15"/>
      <c r="IYJ156" s="15"/>
      <c r="IYK156" s="15"/>
      <c r="IYL156" s="15"/>
      <c r="IYM156" s="15"/>
      <c r="IYN156" s="15"/>
      <c r="IYO156" s="15"/>
      <c r="IYP156" s="15"/>
      <c r="IYQ156" s="15"/>
      <c r="IYR156" s="15"/>
      <c r="IYS156" s="15"/>
      <c r="IYT156" s="15"/>
      <c r="IYU156" s="15"/>
      <c r="IYV156" s="15"/>
      <c r="IYW156" s="15"/>
      <c r="IYX156" s="15"/>
      <c r="IYY156" s="15"/>
      <c r="IYZ156" s="15"/>
      <c r="IZA156" s="15"/>
      <c r="IZB156" s="15"/>
      <c r="IZC156" s="15"/>
      <c r="IZD156" s="15"/>
      <c r="IZE156" s="15"/>
      <c r="IZF156" s="15"/>
      <c r="IZG156" s="15"/>
      <c r="IZH156" s="15"/>
      <c r="IZI156" s="15"/>
      <c r="IZJ156" s="15"/>
      <c r="IZK156" s="15"/>
      <c r="IZL156" s="15"/>
      <c r="IZM156" s="15"/>
      <c r="IZN156" s="15"/>
      <c r="IZO156" s="15"/>
      <c r="IZP156" s="15"/>
      <c r="IZQ156" s="15"/>
      <c r="IZR156" s="15"/>
      <c r="IZS156" s="15"/>
      <c r="IZT156" s="15"/>
      <c r="IZU156" s="15"/>
      <c r="IZV156" s="15"/>
      <c r="IZW156" s="15"/>
      <c r="IZX156" s="15"/>
      <c r="IZY156" s="15"/>
      <c r="IZZ156" s="15"/>
      <c r="JAA156" s="15"/>
      <c r="JAB156" s="15"/>
      <c r="JAC156" s="15"/>
      <c r="JAD156" s="15"/>
      <c r="JAE156" s="15"/>
      <c r="JAF156" s="15"/>
      <c r="JAG156" s="15"/>
      <c r="JAH156" s="15"/>
      <c r="JAI156" s="15"/>
      <c r="JAJ156" s="15"/>
      <c r="JAK156" s="15"/>
      <c r="JAL156" s="15"/>
      <c r="JAM156" s="15"/>
      <c r="JAN156" s="15"/>
      <c r="JAO156" s="15"/>
      <c r="JAP156" s="15"/>
      <c r="JAQ156" s="15"/>
      <c r="JAR156" s="15"/>
      <c r="JAS156" s="15"/>
      <c r="JAT156" s="15"/>
      <c r="JAU156" s="15"/>
      <c r="JAV156" s="15"/>
      <c r="JAW156" s="15"/>
      <c r="JAX156" s="15"/>
      <c r="JAY156" s="15"/>
      <c r="JAZ156" s="15"/>
      <c r="JBA156" s="15"/>
      <c r="JBB156" s="15"/>
      <c r="JBC156" s="15"/>
      <c r="JBD156" s="15"/>
      <c r="JBE156" s="15"/>
      <c r="JBF156" s="15"/>
      <c r="JBG156" s="15"/>
      <c r="JBH156" s="15"/>
      <c r="JBI156" s="15"/>
      <c r="JBJ156" s="15"/>
      <c r="JBK156" s="15"/>
      <c r="JBL156" s="15"/>
      <c r="JBM156" s="15"/>
      <c r="JBN156" s="15"/>
      <c r="JBO156" s="15"/>
      <c r="JBP156" s="15"/>
      <c r="JBQ156" s="15"/>
      <c r="JBR156" s="15"/>
      <c r="JBS156" s="15"/>
      <c r="JBT156" s="15"/>
      <c r="JBU156" s="15"/>
      <c r="JBV156" s="15"/>
      <c r="JBW156" s="15"/>
      <c r="JBX156" s="15"/>
      <c r="JBY156" s="15"/>
      <c r="JBZ156" s="15"/>
      <c r="JCA156" s="15"/>
      <c r="JCB156" s="15"/>
      <c r="JCC156" s="15"/>
      <c r="JCD156" s="15"/>
      <c r="JCE156" s="15"/>
      <c r="JCF156" s="15"/>
      <c r="JCG156" s="15"/>
      <c r="JCH156" s="15"/>
      <c r="JCI156" s="15"/>
      <c r="JCJ156" s="15"/>
      <c r="JCK156" s="15"/>
      <c r="JCL156" s="15"/>
      <c r="JCM156" s="15"/>
      <c r="JCN156" s="15"/>
      <c r="JCO156" s="15"/>
      <c r="JCP156" s="15"/>
      <c r="JCQ156" s="15"/>
      <c r="JCR156" s="15"/>
      <c r="JCS156" s="15"/>
      <c r="JCT156" s="15"/>
      <c r="JCU156" s="15"/>
      <c r="JCV156" s="15"/>
      <c r="JCW156" s="15"/>
      <c r="JCX156" s="15"/>
      <c r="JCY156" s="15"/>
      <c r="JCZ156" s="15"/>
      <c r="JDA156" s="15"/>
      <c r="JDB156" s="15"/>
      <c r="JDC156" s="15"/>
      <c r="JDD156" s="15"/>
      <c r="JDE156" s="15"/>
      <c r="JDF156" s="15"/>
      <c r="JDG156" s="15"/>
      <c r="JDH156" s="15"/>
      <c r="JDI156" s="15"/>
      <c r="JDJ156" s="15"/>
      <c r="JDK156" s="15"/>
      <c r="JDL156" s="15"/>
      <c r="JDM156" s="15"/>
      <c r="JDN156" s="15"/>
      <c r="JDO156" s="15"/>
      <c r="JDP156" s="15"/>
      <c r="JDQ156" s="15"/>
      <c r="JDR156" s="15"/>
      <c r="JDS156" s="15"/>
      <c r="JDT156" s="15"/>
      <c r="JDU156" s="15"/>
      <c r="JDV156" s="15"/>
      <c r="JDW156" s="15"/>
      <c r="JDX156" s="15"/>
      <c r="JDY156" s="15"/>
      <c r="JDZ156" s="15"/>
      <c r="JEA156" s="15"/>
      <c r="JEB156" s="15"/>
      <c r="JEC156" s="15"/>
      <c r="JED156" s="15"/>
      <c r="JEE156" s="15"/>
      <c r="JEF156" s="15"/>
      <c r="JEG156" s="15"/>
      <c r="JEH156" s="15"/>
      <c r="JEI156" s="15"/>
      <c r="JEJ156" s="15"/>
      <c r="JEK156" s="15"/>
      <c r="JEL156" s="15"/>
      <c r="JEM156" s="15"/>
      <c r="JEN156" s="15"/>
      <c r="JEO156" s="15"/>
      <c r="JEP156" s="15"/>
      <c r="JEQ156" s="15"/>
      <c r="JER156" s="15"/>
      <c r="JES156" s="15"/>
      <c r="JET156" s="15"/>
      <c r="JEU156" s="15"/>
      <c r="JEV156" s="15"/>
      <c r="JEW156" s="15"/>
      <c r="JEX156" s="15"/>
      <c r="JEY156" s="15"/>
      <c r="JEZ156" s="15"/>
      <c r="JFA156" s="15"/>
      <c r="JFB156" s="15"/>
      <c r="JFC156" s="15"/>
      <c r="JFD156" s="15"/>
      <c r="JFE156" s="15"/>
      <c r="JFF156" s="15"/>
      <c r="JFG156" s="15"/>
      <c r="JFH156" s="15"/>
      <c r="JFI156" s="15"/>
      <c r="JFJ156" s="15"/>
      <c r="JFK156" s="15"/>
      <c r="JFL156" s="15"/>
      <c r="JFM156" s="15"/>
      <c r="JFN156" s="15"/>
      <c r="JFO156" s="15"/>
      <c r="JFP156" s="15"/>
      <c r="JFQ156" s="15"/>
      <c r="JFR156" s="15"/>
      <c r="JFS156" s="15"/>
      <c r="JFT156" s="15"/>
      <c r="JFU156" s="15"/>
      <c r="JFV156" s="15"/>
      <c r="JFW156" s="15"/>
      <c r="JFX156" s="15"/>
      <c r="JFY156" s="15"/>
      <c r="JFZ156" s="15"/>
      <c r="JGA156" s="15"/>
      <c r="JGB156" s="15"/>
      <c r="JGC156" s="15"/>
      <c r="JGD156" s="15"/>
      <c r="JGE156" s="15"/>
      <c r="JGF156" s="15"/>
      <c r="JGG156" s="15"/>
      <c r="JGH156" s="15"/>
      <c r="JGI156" s="15"/>
      <c r="JGJ156" s="15"/>
      <c r="JGK156" s="15"/>
      <c r="JGL156" s="15"/>
      <c r="JGM156" s="15"/>
      <c r="JGN156" s="15"/>
      <c r="JGO156" s="15"/>
      <c r="JGP156" s="15"/>
      <c r="JGQ156" s="15"/>
      <c r="JGR156" s="15"/>
      <c r="JGS156" s="15"/>
      <c r="JGT156" s="15"/>
      <c r="JGU156" s="15"/>
      <c r="JGV156" s="15"/>
      <c r="JGW156" s="15"/>
      <c r="JGX156" s="15"/>
      <c r="JGY156" s="15"/>
      <c r="JGZ156" s="15"/>
      <c r="JHA156" s="15"/>
      <c r="JHB156" s="15"/>
      <c r="JHC156" s="15"/>
      <c r="JHD156" s="15"/>
      <c r="JHE156" s="15"/>
      <c r="JHF156" s="15"/>
      <c r="JHG156" s="15"/>
      <c r="JHH156" s="15"/>
      <c r="JHI156" s="15"/>
      <c r="JHJ156" s="15"/>
      <c r="JHK156" s="15"/>
      <c r="JHL156" s="15"/>
      <c r="JHM156" s="15"/>
      <c r="JHN156" s="15"/>
      <c r="JHO156" s="15"/>
      <c r="JHP156" s="15"/>
      <c r="JHQ156" s="15"/>
      <c r="JHR156" s="15"/>
      <c r="JHS156" s="15"/>
      <c r="JHT156" s="15"/>
      <c r="JHU156" s="15"/>
      <c r="JHV156" s="15"/>
      <c r="JHW156" s="15"/>
      <c r="JHX156" s="15"/>
      <c r="JHY156" s="15"/>
      <c r="JHZ156" s="15"/>
      <c r="JIA156" s="15"/>
      <c r="JIB156" s="15"/>
      <c r="JIC156" s="15"/>
      <c r="JID156" s="15"/>
      <c r="JIE156" s="15"/>
      <c r="JIF156" s="15"/>
      <c r="JIG156" s="15"/>
      <c r="JIH156" s="15"/>
      <c r="JII156" s="15"/>
      <c r="JIJ156" s="15"/>
      <c r="JIK156" s="15"/>
      <c r="JIL156" s="15"/>
      <c r="JIM156" s="15"/>
      <c r="JIN156" s="15"/>
      <c r="JIO156" s="15"/>
      <c r="JIP156" s="15"/>
      <c r="JIQ156" s="15"/>
      <c r="JIR156" s="15"/>
      <c r="JIS156" s="15"/>
      <c r="JIT156" s="15"/>
      <c r="JIU156" s="15"/>
      <c r="JIV156" s="15"/>
      <c r="JIW156" s="15"/>
      <c r="JIX156" s="15"/>
      <c r="JIY156" s="15"/>
      <c r="JIZ156" s="15"/>
      <c r="JJA156" s="15"/>
      <c r="JJB156" s="15"/>
      <c r="JJC156" s="15"/>
      <c r="JJD156" s="15"/>
      <c r="JJE156" s="15"/>
      <c r="JJF156" s="15"/>
      <c r="JJG156" s="15"/>
      <c r="JJH156" s="15"/>
      <c r="JJI156" s="15"/>
      <c r="JJJ156" s="15"/>
      <c r="JJK156" s="15"/>
      <c r="JJL156" s="15"/>
      <c r="JJM156" s="15"/>
      <c r="JJN156" s="15"/>
      <c r="JJO156" s="15"/>
      <c r="JJP156" s="15"/>
      <c r="JJQ156" s="15"/>
      <c r="JJR156" s="15"/>
      <c r="JJS156" s="15"/>
      <c r="JJT156" s="15"/>
      <c r="JJU156" s="15"/>
      <c r="JJV156" s="15"/>
      <c r="JJW156" s="15"/>
      <c r="JJX156" s="15"/>
      <c r="JJY156" s="15"/>
      <c r="JJZ156" s="15"/>
      <c r="JKA156" s="15"/>
      <c r="JKB156" s="15"/>
      <c r="JKC156" s="15"/>
      <c r="JKD156" s="15"/>
      <c r="JKE156" s="15"/>
      <c r="JKF156" s="15"/>
      <c r="JKG156" s="15"/>
      <c r="JKH156" s="15"/>
      <c r="JKI156" s="15"/>
      <c r="JKJ156" s="15"/>
      <c r="JKK156" s="15"/>
      <c r="JKL156" s="15"/>
      <c r="JKM156" s="15"/>
      <c r="JKN156" s="15"/>
      <c r="JKO156" s="15"/>
      <c r="JKP156" s="15"/>
      <c r="JKQ156" s="15"/>
      <c r="JKR156" s="15"/>
      <c r="JKS156" s="15"/>
      <c r="JKT156" s="15"/>
      <c r="JKU156" s="15"/>
      <c r="JKV156" s="15"/>
      <c r="JKW156" s="15"/>
      <c r="JKX156" s="15"/>
      <c r="JKY156" s="15"/>
      <c r="JKZ156" s="15"/>
      <c r="JLA156" s="15"/>
      <c r="JLB156" s="15"/>
      <c r="JLC156" s="15"/>
      <c r="JLD156" s="15"/>
      <c r="JLE156" s="15"/>
      <c r="JLF156" s="15"/>
      <c r="JLG156" s="15"/>
      <c r="JLH156" s="15"/>
      <c r="JLI156" s="15"/>
      <c r="JLJ156" s="15"/>
      <c r="JLK156" s="15"/>
      <c r="JLL156" s="15"/>
      <c r="JLM156" s="15"/>
      <c r="JLN156" s="15"/>
      <c r="JLO156" s="15"/>
      <c r="JLP156" s="15"/>
      <c r="JLQ156" s="15"/>
      <c r="JLR156" s="15"/>
      <c r="JLS156" s="15"/>
      <c r="JLT156" s="15"/>
      <c r="JLU156" s="15"/>
      <c r="JLV156" s="15"/>
      <c r="JLW156" s="15"/>
      <c r="JLX156" s="15"/>
      <c r="JLY156" s="15"/>
      <c r="JLZ156" s="15"/>
      <c r="JMA156" s="15"/>
      <c r="JMB156" s="15"/>
      <c r="JMC156" s="15"/>
      <c r="JMD156" s="15"/>
      <c r="JME156" s="15"/>
      <c r="JMF156" s="15"/>
      <c r="JMG156" s="15"/>
      <c r="JMH156" s="15"/>
      <c r="JMI156" s="15"/>
      <c r="JMJ156" s="15"/>
      <c r="JMK156" s="15"/>
      <c r="JML156" s="15"/>
      <c r="JMM156" s="15"/>
      <c r="JMN156" s="15"/>
      <c r="JMO156" s="15"/>
      <c r="JMP156" s="15"/>
      <c r="JMQ156" s="15"/>
      <c r="JMR156" s="15"/>
      <c r="JMS156" s="15"/>
      <c r="JMT156" s="15"/>
      <c r="JMU156" s="15"/>
      <c r="JMV156" s="15"/>
      <c r="JMW156" s="15"/>
      <c r="JMX156" s="15"/>
      <c r="JMY156" s="15"/>
      <c r="JMZ156" s="15"/>
      <c r="JNA156" s="15"/>
      <c r="JNB156" s="15"/>
      <c r="JNC156" s="15"/>
      <c r="JND156" s="15"/>
      <c r="JNE156" s="15"/>
      <c r="JNF156" s="15"/>
      <c r="JNG156" s="15"/>
      <c r="JNH156" s="15"/>
      <c r="JNI156" s="15"/>
      <c r="JNJ156" s="15"/>
      <c r="JNK156" s="15"/>
      <c r="JNL156" s="15"/>
      <c r="JNM156" s="15"/>
      <c r="JNN156" s="15"/>
      <c r="JNO156" s="15"/>
      <c r="JNP156" s="15"/>
      <c r="JNQ156" s="15"/>
      <c r="JNR156" s="15"/>
      <c r="JNS156" s="15"/>
      <c r="JNT156" s="15"/>
      <c r="JNU156" s="15"/>
      <c r="JNV156" s="15"/>
      <c r="JNW156" s="15"/>
      <c r="JNX156" s="15"/>
      <c r="JNY156" s="15"/>
      <c r="JNZ156" s="15"/>
      <c r="JOA156" s="15"/>
      <c r="JOB156" s="15"/>
      <c r="JOC156" s="15"/>
      <c r="JOD156" s="15"/>
      <c r="JOE156" s="15"/>
      <c r="JOF156" s="15"/>
      <c r="JOG156" s="15"/>
      <c r="JOH156" s="15"/>
      <c r="JOI156" s="15"/>
      <c r="JOJ156" s="15"/>
      <c r="JOK156" s="15"/>
      <c r="JOL156" s="15"/>
      <c r="JOM156" s="15"/>
      <c r="JON156" s="15"/>
      <c r="JOO156" s="15"/>
      <c r="JOP156" s="15"/>
      <c r="JOQ156" s="15"/>
      <c r="JOR156" s="15"/>
      <c r="JOS156" s="15"/>
      <c r="JOT156" s="15"/>
      <c r="JOU156" s="15"/>
      <c r="JOV156" s="15"/>
      <c r="JOW156" s="15"/>
      <c r="JOX156" s="15"/>
      <c r="JOY156" s="15"/>
      <c r="JOZ156" s="15"/>
      <c r="JPA156" s="15"/>
      <c r="JPB156" s="15"/>
      <c r="JPC156" s="15"/>
      <c r="JPD156" s="15"/>
      <c r="JPE156" s="15"/>
      <c r="JPF156" s="15"/>
      <c r="JPG156" s="15"/>
      <c r="JPH156" s="15"/>
      <c r="JPI156" s="15"/>
      <c r="JPJ156" s="15"/>
      <c r="JPK156" s="15"/>
      <c r="JPL156" s="15"/>
      <c r="JPM156" s="15"/>
      <c r="JPN156" s="15"/>
      <c r="JPO156" s="15"/>
      <c r="JPP156" s="15"/>
      <c r="JPQ156" s="15"/>
      <c r="JPR156" s="15"/>
      <c r="JPS156" s="15"/>
      <c r="JPT156" s="15"/>
      <c r="JPU156" s="15"/>
      <c r="JPV156" s="15"/>
      <c r="JPW156" s="15"/>
      <c r="JPX156" s="15"/>
      <c r="JPY156" s="15"/>
      <c r="JPZ156" s="15"/>
      <c r="JQA156" s="15"/>
      <c r="JQB156" s="15"/>
      <c r="JQC156" s="15"/>
      <c r="JQD156" s="15"/>
      <c r="JQE156" s="15"/>
      <c r="JQF156" s="15"/>
      <c r="JQG156" s="15"/>
      <c r="JQH156" s="15"/>
      <c r="JQI156" s="15"/>
      <c r="JQJ156" s="15"/>
      <c r="JQK156" s="15"/>
      <c r="JQL156" s="15"/>
      <c r="JQM156" s="15"/>
      <c r="JQN156" s="15"/>
      <c r="JQO156" s="15"/>
      <c r="JQP156" s="15"/>
      <c r="JQQ156" s="15"/>
      <c r="JQR156" s="15"/>
      <c r="JQS156" s="15"/>
      <c r="JQT156" s="15"/>
      <c r="JQU156" s="15"/>
      <c r="JQV156" s="15"/>
      <c r="JQW156" s="15"/>
      <c r="JQX156" s="15"/>
      <c r="JQY156" s="15"/>
      <c r="JQZ156" s="15"/>
      <c r="JRA156" s="15"/>
      <c r="JRB156" s="15"/>
      <c r="JRC156" s="15"/>
      <c r="JRD156" s="15"/>
      <c r="JRE156" s="15"/>
      <c r="JRF156" s="15"/>
      <c r="JRG156" s="15"/>
      <c r="JRH156" s="15"/>
      <c r="JRI156" s="15"/>
      <c r="JRJ156" s="15"/>
      <c r="JRK156" s="15"/>
      <c r="JRL156" s="15"/>
      <c r="JRM156" s="15"/>
      <c r="JRN156" s="15"/>
      <c r="JRO156" s="15"/>
      <c r="JRP156" s="15"/>
      <c r="JRQ156" s="15"/>
      <c r="JRR156" s="15"/>
      <c r="JRS156" s="15"/>
      <c r="JRT156" s="15"/>
      <c r="JRU156" s="15"/>
      <c r="JRV156" s="15"/>
      <c r="JRW156" s="15"/>
      <c r="JRX156" s="15"/>
      <c r="JRY156" s="15"/>
      <c r="JRZ156" s="15"/>
      <c r="JSA156" s="15"/>
      <c r="JSB156" s="15"/>
      <c r="JSC156" s="15"/>
      <c r="JSD156" s="15"/>
      <c r="JSE156" s="15"/>
      <c r="JSF156" s="15"/>
      <c r="JSG156" s="15"/>
      <c r="JSH156" s="15"/>
      <c r="JSI156" s="15"/>
      <c r="JSJ156" s="15"/>
      <c r="JSK156" s="15"/>
      <c r="JSL156" s="15"/>
      <c r="JSM156" s="15"/>
      <c r="JSN156" s="15"/>
      <c r="JSO156" s="15"/>
      <c r="JSP156" s="15"/>
      <c r="JSQ156" s="15"/>
      <c r="JSR156" s="15"/>
      <c r="JSS156" s="15"/>
      <c r="JST156" s="15"/>
      <c r="JSU156" s="15"/>
      <c r="JSV156" s="15"/>
      <c r="JSW156" s="15"/>
      <c r="JSX156" s="15"/>
      <c r="JSY156" s="15"/>
      <c r="JSZ156" s="15"/>
      <c r="JTA156" s="15"/>
      <c r="JTB156" s="15"/>
      <c r="JTC156" s="15"/>
      <c r="JTD156" s="15"/>
      <c r="JTE156" s="15"/>
      <c r="JTF156" s="15"/>
      <c r="JTG156" s="15"/>
      <c r="JTH156" s="15"/>
      <c r="JTI156" s="15"/>
      <c r="JTJ156" s="15"/>
      <c r="JTK156" s="15"/>
      <c r="JTL156" s="15"/>
      <c r="JTM156" s="15"/>
      <c r="JTN156" s="15"/>
      <c r="JTO156" s="15"/>
      <c r="JTP156" s="15"/>
      <c r="JTQ156" s="15"/>
      <c r="JTR156" s="15"/>
      <c r="JTS156" s="15"/>
      <c r="JTT156" s="15"/>
      <c r="JTU156" s="15"/>
      <c r="JTV156" s="15"/>
      <c r="JTW156" s="15"/>
      <c r="JTX156" s="15"/>
      <c r="JTY156" s="15"/>
      <c r="JTZ156" s="15"/>
      <c r="JUA156" s="15"/>
      <c r="JUB156" s="15"/>
      <c r="JUC156" s="15"/>
      <c r="JUD156" s="15"/>
      <c r="JUE156" s="15"/>
      <c r="JUF156" s="15"/>
      <c r="JUG156" s="15"/>
      <c r="JUH156" s="15"/>
      <c r="JUI156" s="15"/>
      <c r="JUJ156" s="15"/>
      <c r="JUK156" s="15"/>
      <c r="JUL156" s="15"/>
      <c r="JUM156" s="15"/>
      <c r="JUN156" s="15"/>
      <c r="JUO156" s="15"/>
      <c r="JUP156" s="15"/>
      <c r="JUQ156" s="15"/>
      <c r="JUR156" s="15"/>
      <c r="JUS156" s="15"/>
      <c r="JUT156" s="15"/>
      <c r="JUU156" s="15"/>
      <c r="JUV156" s="15"/>
      <c r="JUW156" s="15"/>
      <c r="JUX156" s="15"/>
      <c r="JUY156" s="15"/>
      <c r="JUZ156" s="15"/>
      <c r="JVA156" s="15"/>
      <c r="JVB156" s="15"/>
      <c r="JVC156" s="15"/>
      <c r="JVD156" s="15"/>
      <c r="JVE156" s="15"/>
      <c r="JVF156" s="15"/>
      <c r="JVG156" s="15"/>
      <c r="JVH156" s="15"/>
      <c r="JVI156" s="15"/>
      <c r="JVJ156" s="15"/>
      <c r="JVK156" s="15"/>
      <c r="JVL156" s="15"/>
      <c r="JVM156" s="15"/>
      <c r="JVN156" s="15"/>
      <c r="JVO156" s="15"/>
      <c r="JVP156" s="15"/>
      <c r="JVQ156" s="15"/>
      <c r="JVR156" s="15"/>
      <c r="JVS156" s="15"/>
      <c r="JVT156" s="15"/>
      <c r="JVU156" s="15"/>
      <c r="JVV156" s="15"/>
      <c r="JVW156" s="15"/>
      <c r="JVX156" s="15"/>
      <c r="JVY156" s="15"/>
      <c r="JVZ156" s="15"/>
      <c r="JWA156" s="15"/>
      <c r="JWB156" s="15"/>
      <c r="JWC156" s="15"/>
      <c r="JWD156" s="15"/>
      <c r="JWE156" s="15"/>
      <c r="JWF156" s="15"/>
      <c r="JWG156" s="15"/>
      <c r="JWH156" s="15"/>
      <c r="JWI156" s="15"/>
      <c r="JWJ156" s="15"/>
      <c r="JWK156" s="15"/>
      <c r="JWL156" s="15"/>
      <c r="JWM156" s="15"/>
      <c r="JWN156" s="15"/>
      <c r="JWO156" s="15"/>
      <c r="JWP156" s="15"/>
      <c r="JWQ156" s="15"/>
      <c r="JWR156" s="15"/>
      <c r="JWS156" s="15"/>
      <c r="JWT156" s="15"/>
      <c r="JWU156" s="15"/>
      <c r="JWV156" s="15"/>
      <c r="JWW156" s="15"/>
      <c r="JWX156" s="15"/>
      <c r="JWY156" s="15"/>
      <c r="JWZ156" s="15"/>
      <c r="JXA156" s="15"/>
      <c r="JXB156" s="15"/>
      <c r="JXC156" s="15"/>
      <c r="JXD156" s="15"/>
      <c r="JXE156" s="15"/>
      <c r="JXF156" s="15"/>
      <c r="JXG156" s="15"/>
      <c r="JXH156" s="15"/>
      <c r="JXI156" s="15"/>
      <c r="JXJ156" s="15"/>
      <c r="JXK156" s="15"/>
      <c r="JXL156" s="15"/>
      <c r="JXM156" s="15"/>
      <c r="JXN156" s="15"/>
      <c r="JXO156" s="15"/>
      <c r="JXP156" s="15"/>
      <c r="JXQ156" s="15"/>
      <c r="JXR156" s="15"/>
      <c r="JXS156" s="15"/>
      <c r="JXT156" s="15"/>
      <c r="JXU156" s="15"/>
      <c r="JXV156" s="15"/>
      <c r="JXW156" s="15"/>
      <c r="JXX156" s="15"/>
      <c r="JXY156" s="15"/>
      <c r="JXZ156" s="15"/>
      <c r="JYA156" s="15"/>
      <c r="JYB156" s="15"/>
      <c r="JYC156" s="15"/>
      <c r="JYD156" s="15"/>
      <c r="JYE156" s="15"/>
      <c r="JYF156" s="15"/>
      <c r="JYG156" s="15"/>
      <c r="JYH156" s="15"/>
      <c r="JYI156" s="15"/>
      <c r="JYJ156" s="15"/>
      <c r="JYK156" s="15"/>
      <c r="JYL156" s="15"/>
      <c r="JYM156" s="15"/>
      <c r="JYN156" s="15"/>
      <c r="JYO156" s="15"/>
      <c r="JYP156" s="15"/>
      <c r="JYQ156" s="15"/>
      <c r="JYR156" s="15"/>
      <c r="JYS156" s="15"/>
      <c r="JYT156" s="15"/>
      <c r="JYU156" s="15"/>
      <c r="JYV156" s="15"/>
      <c r="JYW156" s="15"/>
      <c r="JYX156" s="15"/>
      <c r="JYY156" s="15"/>
      <c r="JYZ156" s="15"/>
      <c r="JZA156" s="15"/>
      <c r="JZB156" s="15"/>
      <c r="JZC156" s="15"/>
      <c r="JZD156" s="15"/>
      <c r="JZE156" s="15"/>
      <c r="JZF156" s="15"/>
      <c r="JZG156" s="15"/>
      <c r="JZH156" s="15"/>
      <c r="JZI156" s="15"/>
      <c r="JZJ156" s="15"/>
      <c r="JZK156" s="15"/>
      <c r="JZL156" s="15"/>
      <c r="JZM156" s="15"/>
      <c r="JZN156" s="15"/>
      <c r="JZO156" s="15"/>
      <c r="JZP156" s="15"/>
      <c r="JZQ156" s="15"/>
      <c r="JZR156" s="15"/>
      <c r="JZS156" s="15"/>
      <c r="JZT156" s="15"/>
      <c r="JZU156" s="15"/>
      <c r="JZV156" s="15"/>
      <c r="JZW156" s="15"/>
      <c r="JZX156" s="15"/>
      <c r="JZY156" s="15"/>
      <c r="JZZ156" s="15"/>
      <c r="KAA156" s="15"/>
      <c r="KAB156" s="15"/>
      <c r="KAC156" s="15"/>
      <c r="KAD156" s="15"/>
      <c r="KAE156" s="15"/>
      <c r="KAF156" s="15"/>
      <c r="KAG156" s="15"/>
      <c r="KAH156" s="15"/>
      <c r="KAI156" s="15"/>
      <c r="KAJ156" s="15"/>
      <c r="KAK156" s="15"/>
      <c r="KAL156" s="15"/>
      <c r="KAM156" s="15"/>
      <c r="KAN156" s="15"/>
      <c r="KAO156" s="15"/>
      <c r="KAP156" s="15"/>
      <c r="KAQ156" s="15"/>
      <c r="KAR156" s="15"/>
      <c r="KAS156" s="15"/>
      <c r="KAT156" s="15"/>
      <c r="KAU156" s="15"/>
      <c r="KAV156" s="15"/>
      <c r="KAW156" s="15"/>
      <c r="KAX156" s="15"/>
      <c r="KAY156" s="15"/>
      <c r="KAZ156" s="15"/>
      <c r="KBA156" s="15"/>
      <c r="KBB156" s="15"/>
      <c r="KBC156" s="15"/>
      <c r="KBD156" s="15"/>
      <c r="KBE156" s="15"/>
      <c r="KBF156" s="15"/>
      <c r="KBG156" s="15"/>
      <c r="KBH156" s="15"/>
      <c r="KBI156" s="15"/>
      <c r="KBJ156" s="15"/>
      <c r="KBK156" s="15"/>
      <c r="KBL156" s="15"/>
      <c r="KBM156" s="15"/>
      <c r="KBN156" s="15"/>
      <c r="KBO156" s="15"/>
      <c r="KBP156" s="15"/>
      <c r="KBQ156" s="15"/>
      <c r="KBR156" s="15"/>
      <c r="KBS156" s="15"/>
      <c r="KBT156" s="15"/>
      <c r="KBU156" s="15"/>
      <c r="KBV156" s="15"/>
      <c r="KBW156" s="15"/>
      <c r="KBX156" s="15"/>
      <c r="KBY156" s="15"/>
      <c r="KBZ156" s="15"/>
      <c r="KCA156" s="15"/>
      <c r="KCB156" s="15"/>
      <c r="KCC156" s="15"/>
      <c r="KCD156" s="15"/>
      <c r="KCE156" s="15"/>
      <c r="KCF156" s="15"/>
      <c r="KCG156" s="15"/>
      <c r="KCH156" s="15"/>
      <c r="KCI156" s="15"/>
      <c r="KCJ156" s="15"/>
      <c r="KCK156" s="15"/>
      <c r="KCL156" s="15"/>
      <c r="KCM156" s="15"/>
      <c r="KCN156" s="15"/>
      <c r="KCO156" s="15"/>
      <c r="KCP156" s="15"/>
      <c r="KCQ156" s="15"/>
      <c r="KCR156" s="15"/>
      <c r="KCS156" s="15"/>
      <c r="KCT156" s="15"/>
      <c r="KCU156" s="15"/>
      <c r="KCV156" s="15"/>
      <c r="KCW156" s="15"/>
      <c r="KCX156" s="15"/>
      <c r="KCY156" s="15"/>
      <c r="KCZ156" s="15"/>
      <c r="KDA156" s="15"/>
      <c r="KDB156" s="15"/>
      <c r="KDC156" s="15"/>
      <c r="KDD156" s="15"/>
      <c r="KDE156" s="15"/>
      <c r="KDF156" s="15"/>
      <c r="KDG156" s="15"/>
      <c r="KDH156" s="15"/>
      <c r="KDI156" s="15"/>
      <c r="KDJ156" s="15"/>
      <c r="KDK156" s="15"/>
      <c r="KDL156" s="15"/>
      <c r="KDM156" s="15"/>
      <c r="KDN156" s="15"/>
      <c r="KDO156" s="15"/>
      <c r="KDP156" s="15"/>
      <c r="KDQ156" s="15"/>
      <c r="KDR156" s="15"/>
      <c r="KDS156" s="15"/>
      <c r="KDT156" s="15"/>
      <c r="KDU156" s="15"/>
      <c r="KDV156" s="15"/>
      <c r="KDW156" s="15"/>
      <c r="KDX156" s="15"/>
      <c r="KDY156" s="15"/>
      <c r="KDZ156" s="15"/>
      <c r="KEA156" s="15"/>
      <c r="KEB156" s="15"/>
      <c r="KEC156" s="15"/>
      <c r="KED156" s="15"/>
      <c r="KEE156" s="15"/>
      <c r="KEF156" s="15"/>
      <c r="KEG156" s="15"/>
      <c r="KEH156" s="15"/>
      <c r="KEI156" s="15"/>
      <c r="KEJ156" s="15"/>
      <c r="KEK156" s="15"/>
      <c r="KEL156" s="15"/>
      <c r="KEM156" s="15"/>
      <c r="KEN156" s="15"/>
      <c r="KEO156" s="15"/>
      <c r="KEP156" s="15"/>
      <c r="KEQ156" s="15"/>
      <c r="KER156" s="15"/>
      <c r="KES156" s="15"/>
      <c r="KET156" s="15"/>
      <c r="KEU156" s="15"/>
      <c r="KEV156" s="15"/>
      <c r="KEW156" s="15"/>
      <c r="KEX156" s="15"/>
      <c r="KEY156" s="15"/>
      <c r="KEZ156" s="15"/>
      <c r="KFA156" s="15"/>
      <c r="KFB156" s="15"/>
      <c r="KFC156" s="15"/>
      <c r="KFD156" s="15"/>
      <c r="KFE156" s="15"/>
      <c r="KFF156" s="15"/>
      <c r="KFG156" s="15"/>
      <c r="KFH156" s="15"/>
      <c r="KFI156" s="15"/>
      <c r="KFJ156" s="15"/>
      <c r="KFK156" s="15"/>
      <c r="KFL156" s="15"/>
      <c r="KFM156" s="15"/>
      <c r="KFN156" s="15"/>
      <c r="KFO156" s="15"/>
      <c r="KFP156" s="15"/>
      <c r="KFQ156" s="15"/>
      <c r="KFR156" s="15"/>
      <c r="KFS156" s="15"/>
      <c r="KFT156" s="15"/>
      <c r="KFU156" s="15"/>
      <c r="KFV156" s="15"/>
      <c r="KFW156" s="15"/>
      <c r="KFX156" s="15"/>
      <c r="KFY156" s="15"/>
      <c r="KFZ156" s="15"/>
      <c r="KGA156" s="15"/>
      <c r="KGB156" s="15"/>
      <c r="KGC156" s="15"/>
      <c r="KGD156" s="15"/>
      <c r="KGE156" s="15"/>
      <c r="KGF156" s="15"/>
      <c r="KGG156" s="15"/>
      <c r="KGH156" s="15"/>
      <c r="KGI156" s="15"/>
      <c r="KGJ156" s="15"/>
      <c r="KGK156" s="15"/>
      <c r="KGL156" s="15"/>
      <c r="KGM156" s="15"/>
      <c r="KGN156" s="15"/>
      <c r="KGO156" s="15"/>
      <c r="KGP156" s="15"/>
      <c r="KGQ156" s="15"/>
      <c r="KGR156" s="15"/>
      <c r="KGS156" s="15"/>
      <c r="KGT156" s="15"/>
      <c r="KGU156" s="15"/>
      <c r="KGV156" s="15"/>
      <c r="KGW156" s="15"/>
      <c r="KGX156" s="15"/>
      <c r="KGY156" s="15"/>
      <c r="KGZ156" s="15"/>
      <c r="KHA156" s="15"/>
      <c r="KHB156" s="15"/>
      <c r="KHC156" s="15"/>
      <c r="KHD156" s="15"/>
      <c r="KHE156" s="15"/>
      <c r="KHF156" s="15"/>
      <c r="KHG156" s="15"/>
      <c r="KHH156" s="15"/>
      <c r="KHI156" s="15"/>
      <c r="KHJ156" s="15"/>
      <c r="KHK156" s="15"/>
      <c r="KHL156" s="15"/>
      <c r="KHM156" s="15"/>
      <c r="KHN156" s="15"/>
      <c r="KHO156" s="15"/>
      <c r="KHP156" s="15"/>
      <c r="KHQ156" s="15"/>
      <c r="KHR156" s="15"/>
      <c r="KHS156" s="15"/>
      <c r="KHT156" s="15"/>
      <c r="KHU156" s="15"/>
      <c r="KHV156" s="15"/>
      <c r="KHW156" s="15"/>
      <c r="KHX156" s="15"/>
      <c r="KHY156" s="15"/>
      <c r="KHZ156" s="15"/>
      <c r="KIA156" s="15"/>
      <c r="KIB156" s="15"/>
      <c r="KIC156" s="15"/>
      <c r="KID156" s="15"/>
      <c r="KIE156" s="15"/>
      <c r="KIF156" s="15"/>
      <c r="KIG156" s="15"/>
      <c r="KIH156" s="15"/>
      <c r="KII156" s="15"/>
      <c r="KIJ156" s="15"/>
      <c r="KIK156" s="15"/>
      <c r="KIL156" s="15"/>
      <c r="KIM156" s="15"/>
      <c r="KIN156" s="15"/>
      <c r="KIO156" s="15"/>
      <c r="KIP156" s="15"/>
      <c r="KIQ156" s="15"/>
      <c r="KIR156" s="15"/>
      <c r="KIS156" s="15"/>
      <c r="KIT156" s="15"/>
      <c r="KIU156" s="15"/>
      <c r="KIV156" s="15"/>
      <c r="KIW156" s="15"/>
      <c r="KIX156" s="15"/>
      <c r="KIY156" s="15"/>
      <c r="KIZ156" s="15"/>
      <c r="KJA156" s="15"/>
      <c r="KJB156" s="15"/>
      <c r="KJC156" s="15"/>
      <c r="KJD156" s="15"/>
      <c r="KJE156" s="15"/>
      <c r="KJF156" s="15"/>
      <c r="KJG156" s="15"/>
      <c r="KJH156" s="15"/>
      <c r="KJI156" s="15"/>
      <c r="KJJ156" s="15"/>
      <c r="KJK156" s="15"/>
      <c r="KJL156" s="15"/>
      <c r="KJM156" s="15"/>
      <c r="KJN156" s="15"/>
      <c r="KJO156" s="15"/>
      <c r="KJP156" s="15"/>
      <c r="KJQ156" s="15"/>
      <c r="KJR156" s="15"/>
      <c r="KJS156" s="15"/>
      <c r="KJT156" s="15"/>
      <c r="KJU156" s="15"/>
      <c r="KJV156" s="15"/>
      <c r="KJW156" s="15"/>
      <c r="KJX156" s="15"/>
      <c r="KJY156" s="15"/>
      <c r="KJZ156" s="15"/>
      <c r="KKA156" s="15"/>
      <c r="KKB156" s="15"/>
      <c r="KKC156" s="15"/>
      <c r="KKD156" s="15"/>
      <c r="KKE156" s="15"/>
      <c r="KKF156" s="15"/>
      <c r="KKG156" s="15"/>
      <c r="KKH156" s="15"/>
      <c r="KKI156" s="15"/>
      <c r="KKJ156" s="15"/>
      <c r="KKK156" s="15"/>
      <c r="KKL156" s="15"/>
      <c r="KKM156" s="15"/>
      <c r="KKN156" s="15"/>
      <c r="KKO156" s="15"/>
      <c r="KKP156" s="15"/>
      <c r="KKQ156" s="15"/>
      <c r="KKR156" s="15"/>
      <c r="KKS156" s="15"/>
      <c r="KKT156" s="15"/>
      <c r="KKU156" s="15"/>
      <c r="KKV156" s="15"/>
      <c r="KKW156" s="15"/>
      <c r="KKX156" s="15"/>
      <c r="KKY156" s="15"/>
      <c r="KKZ156" s="15"/>
      <c r="KLA156" s="15"/>
      <c r="KLB156" s="15"/>
      <c r="KLC156" s="15"/>
      <c r="KLD156" s="15"/>
      <c r="KLE156" s="15"/>
      <c r="KLF156" s="15"/>
      <c r="KLG156" s="15"/>
      <c r="KLH156" s="15"/>
      <c r="KLI156" s="15"/>
      <c r="KLJ156" s="15"/>
      <c r="KLK156" s="15"/>
      <c r="KLL156" s="15"/>
      <c r="KLM156" s="15"/>
      <c r="KLN156" s="15"/>
      <c r="KLO156" s="15"/>
      <c r="KLP156" s="15"/>
      <c r="KLQ156" s="15"/>
      <c r="KLR156" s="15"/>
      <c r="KLS156" s="15"/>
      <c r="KLT156" s="15"/>
      <c r="KLU156" s="15"/>
      <c r="KLV156" s="15"/>
      <c r="KLW156" s="15"/>
      <c r="KLX156" s="15"/>
      <c r="KLY156" s="15"/>
      <c r="KLZ156" s="15"/>
      <c r="KMA156" s="15"/>
      <c r="KMB156" s="15"/>
      <c r="KMC156" s="15"/>
      <c r="KMD156" s="15"/>
      <c r="KME156" s="15"/>
      <c r="KMF156" s="15"/>
      <c r="KMG156" s="15"/>
      <c r="KMH156" s="15"/>
      <c r="KMI156" s="15"/>
      <c r="KMJ156" s="15"/>
      <c r="KMK156" s="15"/>
      <c r="KML156" s="15"/>
      <c r="KMM156" s="15"/>
      <c r="KMN156" s="15"/>
      <c r="KMO156" s="15"/>
      <c r="KMP156" s="15"/>
      <c r="KMQ156" s="15"/>
      <c r="KMR156" s="15"/>
      <c r="KMS156" s="15"/>
      <c r="KMT156" s="15"/>
      <c r="KMU156" s="15"/>
      <c r="KMV156" s="15"/>
      <c r="KMW156" s="15"/>
      <c r="KMX156" s="15"/>
      <c r="KMY156" s="15"/>
      <c r="KMZ156" s="15"/>
      <c r="KNA156" s="15"/>
      <c r="KNB156" s="15"/>
      <c r="KNC156" s="15"/>
      <c r="KND156" s="15"/>
      <c r="KNE156" s="15"/>
      <c r="KNF156" s="15"/>
      <c r="KNG156" s="15"/>
      <c r="KNH156" s="15"/>
      <c r="KNI156" s="15"/>
      <c r="KNJ156" s="15"/>
      <c r="KNK156" s="15"/>
      <c r="KNL156" s="15"/>
      <c r="KNM156" s="15"/>
      <c r="KNN156" s="15"/>
      <c r="KNO156" s="15"/>
      <c r="KNP156" s="15"/>
      <c r="KNQ156" s="15"/>
      <c r="KNR156" s="15"/>
      <c r="KNS156" s="15"/>
      <c r="KNT156" s="15"/>
      <c r="KNU156" s="15"/>
      <c r="KNV156" s="15"/>
      <c r="KNW156" s="15"/>
      <c r="KNX156" s="15"/>
      <c r="KNY156" s="15"/>
      <c r="KNZ156" s="15"/>
      <c r="KOA156" s="15"/>
      <c r="KOB156" s="15"/>
      <c r="KOC156" s="15"/>
      <c r="KOD156" s="15"/>
      <c r="KOE156" s="15"/>
      <c r="KOF156" s="15"/>
      <c r="KOG156" s="15"/>
      <c r="KOH156" s="15"/>
      <c r="KOI156" s="15"/>
      <c r="KOJ156" s="15"/>
      <c r="KOK156" s="15"/>
      <c r="KOL156" s="15"/>
      <c r="KOM156" s="15"/>
      <c r="KON156" s="15"/>
      <c r="KOO156" s="15"/>
      <c r="KOP156" s="15"/>
      <c r="KOQ156" s="15"/>
      <c r="KOR156" s="15"/>
      <c r="KOS156" s="15"/>
      <c r="KOT156" s="15"/>
      <c r="KOU156" s="15"/>
      <c r="KOV156" s="15"/>
      <c r="KOW156" s="15"/>
      <c r="KOX156" s="15"/>
      <c r="KOY156" s="15"/>
      <c r="KOZ156" s="15"/>
      <c r="KPA156" s="15"/>
      <c r="KPB156" s="15"/>
      <c r="KPC156" s="15"/>
      <c r="KPD156" s="15"/>
      <c r="KPE156" s="15"/>
      <c r="KPF156" s="15"/>
      <c r="KPG156" s="15"/>
      <c r="KPH156" s="15"/>
      <c r="KPI156" s="15"/>
      <c r="KPJ156" s="15"/>
      <c r="KPK156" s="15"/>
      <c r="KPL156" s="15"/>
      <c r="KPM156" s="15"/>
      <c r="KPN156" s="15"/>
      <c r="KPO156" s="15"/>
      <c r="KPP156" s="15"/>
      <c r="KPQ156" s="15"/>
      <c r="KPR156" s="15"/>
      <c r="KPS156" s="15"/>
      <c r="KPT156" s="15"/>
      <c r="KPU156" s="15"/>
      <c r="KPV156" s="15"/>
      <c r="KPW156" s="15"/>
      <c r="KPX156" s="15"/>
      <c r="KPY156" s="15"/>
      <c r="KPZ156" s="15"/>
      <c r="KQA156" s="15"/>
      <c r="KQB156" s="15"/>
      <c r="KQC156" s="15"/>
      <c r="KQD156" s="15"/>
      <c r="KQE156" s="15"/>
      <c r="KQF156" s="15"/>
      <c r="KQG156" s="15"/>
      <c r="KQH156" s="15"/>
      <c r="KQI156" s="15"/>
      <c r="KQJ156" s="15"/>
      <c r="KQK156" s="15"/>
      <c r="KQL156" s="15"/>
      <c r="KQM156" s="15"/>
      <c r="KQN156" s="15"/>
      <c r="KQO156" s="15"/>
      <c r="KQP156" s="15"/>
      <c r="KQQ156" s="15"/>
      <c r="KQR156" s="15"/>
      <c r="KQS156" s="15"/>
      <c r="KQT156" s="15"/>
      <c r="KQU156" s="15"/>
      <c r="KQV156" s="15"/>
      <c r="KQW156" s="15"/>
      <c r="KQX156" s="15"/>
      <c r="KQY156" s="15"/>
      <c r="KQZ156" s="15"/>
      <c r="KRA156" s="15"/>
      <c r="KRB156" s="15"/>
      <c r="KRC156" s="15"/>
      <c r="KRD156" s="15"/>
      <c r="KRE156" s="15"/>
      <c r="KRF156" s="15"/>
      <c r="KRG156" s="15"/>
      <c r="KRH156" s="15"/>
      <c r="KRI156" s="15"/>
      <c r="KRJ156" s="15"/>
      <c r="KRK156" s="15"/>
      <c r="KRL156" s="15"/>
      <c r="KRM156" s="15"/>
      <c r="KRN156" s="15"/>
      <c r="KRO156" s="15"/>
      <c r="KRP156" s="15"/>
      <c r="KRQ156" s="15"/>
      <c r="KRR156" s="15"/>
      <c r="KRS156" s="15"/>
      <c r="KRT156" s="15"/>
      <c r="KRU156" s="15"/>
      <c r="KRV156" s="15"/>
      <c r="KRW156" s="15"/>
      <c r="KRX156" s="15"/>
      <c r="KRY156" s="15"/>
      <c r="KRZ156" s="15"/>
      <c r="KSA156" s="15"/>
      <c r="KSB156" s="15"/>
      <c r="KSC156" s="15"/>
      <c r="KSD156" s="15"/>
      <c r="KSE156" s="15"/>
      <c r="KSF156" s="15"/>
      <c r="KSG156" s="15"/>
      <c r="KSH156" s="15"/>
      <c r="KSI156" s="15"/>
      <c r="KSJ156" s="15"/>
      <c r="KSK156" s="15"/>
      <c r="KSL156" s="15"/>
      <c r="KSM156" s="15"/>
      <c r="KSN156" s="15"/>
      <c r="KSO156" s="15"/>
      <c r="KSP156" s="15"/>
      <c r="KSQ156" s="15"/>
      <c r="KSR156" s="15"/>
      <c r="KSS156" s="15"/>
      <c r="KST156" s="15"/>
      <c r="KSU156" s="15"/>
      <c r="KSV156" s="15"/>
      <c r="KSW156" s="15"/>
      <c r="KSX156" s="15"/>
      <c r="KSY156" s="15"/>
      <c r="KSZ156" s="15"/>
      <c r="KTA156" s="15"/>
      <c r="KTB156" s="15"/>
      <c r="KTC156" s="15"/>
      <c r="KTD156" s="15"/>
      <c r="KTE156" s="15"/>
      <c r="KTF156" s="15"/>
      <c r="KTG156" s="15"/>
      <c r="KTH156" s="15"/>
      <c r="KTI156" s="15"/>
      <c r="KTJ156" s="15"/>
      <c r="KTK156" s="15"/>
      <c r="KTL156" s="15"/>
      <c r="KTM156" s="15"/>
      <c r="KTN156" s="15"/>
      <c r="KTO156" s="15"/>
      <c r="KTP156" s="15"/>
      <c r="KTQ156" s="15"/>
      <c r="KTR156" s="15"/>
      <c r="KTS156" s="15"/>
      <c r="KTT156" s="15"/>
      <c r="KTU156" s="15"/>
      <c r="KTV156" s="15"/>
      <c r="KTW156" s="15"/>
      <c r="KTX156" s="15"/>
      <c r="KTY156" s="15"/>
      <c r="KTZ156" s="15"/>
      <c r="KUA156" s="15"/>
      <c r="KUB156" s="15"/>
      <c r="KUC156" s="15"/>
      <c r="KUD156" s="15"/>
      <c r="KUE156" s="15"/>
      <c r="KUF156" s="15"/>
      <c r="KUG156" s="15"/>
      <c r="KUH156" s="15"/>
      <c r="KUI156" s="15"/>
      <c r="KUJ156" s="15"/>
      <c r="KUK156" s="15"/>
      <c r="KUL156" s="15"/>
      <c r="KUM156" s="15"/>
      <c r="KUN156" s="15"/>
      <c r="KUO156" s="15"/>
      <c r="KUP156" s="15"/>
      <c r="KUQ156" s="15"/>
      <c r="KUR156" s="15"/>
      <c r="KUS156" s="15"/>
      <c r="KUT156" s="15"/>
      <c r="KUU156" s="15"/>
      <c r="KUV156" s="15"/>
      <c r="KUW156" s="15"/>
      <c r="KUX156" s="15"/>
      <c r="KUY156" s="15"/>
      <c r="KUZ156" s="15"/>
      <c r="KVA156" s="15"/>
      <c r="KVB156" s="15"/>
      <c r="KVC156" s="15"/>
      <c r="KVD156" s="15"/>
      <c r="KVE156" s="15"/>
      <c r="KVF156" s="15"/>
      <c r="KVG156" s="15"/>
      <c r="KVH156" s="15"/>
      <c r="KVI156" s="15"/>
      <c r="KVJ156" s="15"/>
      <c r="KVK156" s="15"/>
      <c r="KVL156" s="15"/>
      <c r="KVM156" s="15"/>
      <c r="KVN156" s="15"/>
      <c r="KVO156" s="15"/>
      <c r="KVP156" s="15"/>
      <c r="KVQ156" s="15"/>
      <c r="KVR156" s="15"/>
      <c r="KVS156" s="15"/>
      <c r="KVT156" s="15"/>
      <c r="KVU156" s="15"/>
      <c r="KVV156" s="15"/>
      <c r="KVW156" s="15"/>
      <c r="KVX156" s="15"/>
      <c r="KVY156" s="15"/>
      <c r="KVZ156" s="15"/>
      <c r="KWA156" s="15"/>
      <c r="KWB156" s="15"/>
      <c r="KWC156" s="15"/>
      <c r="KWD156" s="15"/>
      <c r="KWE156" s="15"/>
      <c r="KWF156" s="15"/>
      <c r="KWG156" s="15"/>
      <c r="KWH156" s="15"/>
      <c r="KWI156" s="15"/>
      <c r="KWJ156" s="15"/>
      <c r="KWK156" s="15"/>
      <c r="KWL156" s="15"/>
      <c r="KWM156" s="15"/>
      <c r="KWN156" s="15"/>
      <c r="KWO156" s="15"/>
      <c r="KWP156" s="15"/>
      <c r="KWQ156" s="15"/>
      <c r="KWR156" s="15"/>
      <c r="KWS156" s="15"/>
      <c r="KWT156" s="15"/>
      <c r="KWU156" s="15"/>
      <c r="KWV156" s="15"/>
      <c r="KWW156" s="15"/>
      <c r="KWX156" s="15"/>
      <c r="KWY156" s="15"/>
      <c r="KWZ156" s="15"/>
      <c r="KXA156" s="15"/>
      <c r="KXB156" s="15"/>
      <c r="KXC156" s="15"/>
      <c r="KXD156" s="15"/>
      <c r="KXE156" s="15"/>
      <c r="KXF156" s="15"/>
      <c r="KXG156" s="15"/>
      <c r="KXH156" s="15"/>
      <c r="KXI156" s="15"/>
      <c r="KXJ156" s="15"/>
      <c r="KXK156" s="15"/>
      <c r="KXL156" s="15"/>
      <c r="KXM156" s="15"/>
      <c r="KXN156" s="15"/>
      <c r="KXO156" s="15"/>
      <c r="KXP156" s="15"/>
      <c r="KXQ156" s="15"/>
      <c r="KXR156" s="15"/>
      <c r="KXS156" s="15"/>
      <c r="KXT156" s="15"/>
      <c r="KXU156" s="15"/>
      <c r="KXV156" s="15"/>
      <c r="KXW156" s="15"/>
      <c r="KXX156" s="15"/>
      <c r="KXY156" s="15"/>
      <c r="KXZ156" s="15"/>
      <c r="KYA156" s="15"/>
      <c r="KYB156" s="15"/>
      <c r="KYC156" s="15"/>
      <c r="KYD156" s="15"/>
      <c r="KYE156" s="15"/>
      <c r="KYF156" s="15"/>
      <c r="KYG156" s="15"/>
      <c r="KYH156" s="15"/>
      <c r="KYI156" s="15"/>
      <c r="KYJ156" s="15"/>
      <c r="KYK156" s="15"/>
      <c r="KYL156" s="15"/>
      <c r="KYM156" s="15"/>
      <c r="KYN156" s="15"/>
      <c r="KYO156" s="15"/>
      <c r="KYP156" s="15"/>
      <c r="KYQ156" s="15"/>
      <c r="KYR156" s="15"/>
      <c r="KYS156" s="15"/>
      <c r="KYT156" s="15"/>
      <c r="KYU156" s="15"/>
      <c r="KYV156" s="15"/>
      <c r="KYW156" s="15"/>
      <c r="KYX156" s="15"/>
      <c r="KYY156" s="15"/>
      <c r="KYZ156" s="15"/>
      <c r="KZA156" s="15"/>
      <c r="KZB156" s="15"/>
      <c r="KZC156" s="15"/>
      <c r="KZD156" s="15"/>
      <c r="KZE156" s="15"/>
      <c r="KZF156" s="15"/>
      <c r="KZG156" s="15"/>
      <c r="KZH156" s="15"/>
      <c r="KZI156" s="15"/>
      <c r="KZJ156" s="15"/>
      <c r="KZK156" s="15"/>
      <c r="KZL156" s="15"/>
      <c r="KZM156" s="15"/>
      <c r="KZN156" s="15"/>
      <c r="KZO156" s="15"/>
      <c r="KZP156" s="15"/>
      <c r="KZQ156" s="15"/>
      <c r="KZR156" s="15"/>
      <c r="KZS156" s="15"/>
      <c r="KZT156" s="15"/>
      <c r="KZU156" s="15"/>
      <c r="KZV156" s="15"/>
      <c r="KZW156" s="15"/>
      <c r="KZX156" s="15"/>
      <c r="KZY156" s="15"/>
      <c r="KZZ156" s="15"/>
      <c r="LAA156" s="15"/>
      <c r="LAB156" s="15"/>
      <c r="LAC156" s="15"/>
      <c r="LAD156" s="15"/>
      <c r="LAE156" s="15"/>
      <c r="LAF156" s="15"/>
      <c r="LAG156" s="15"/>
      <c r="LAH156" s="15"/>
      <c r="LAI156" s="15"/>
      <c r="LAJ156" s="15"/>
      <c r="LAK156" s="15"/>
      <c r="LAL156" s="15"/>
      <c r="LAM156" s="15"/>
      <c r="LAN156" s="15"/>
      <c r="LAO156" s="15"/>
      <c r="LAP156" s="15"/>
      <c r="LAQ156" s="15"/>
      <c r="LAR156" s="15"/>
      <c r="LAS156" s="15"/>
      <c r="LAT156" s="15"/>
      <c r="LAU156" s="15"/>
      <c r="LAV156" s="15"/>
      <c r="LAW156" s="15"/>
      <c r="LAX156" s="15"/>
      <c r="LAY156" s="15"/>
      <c r="LAZ156" s="15"/>
      <c r="LBA156" s="15"/>
      <c r="LBB156" s="15"/>
      <c r="LBC156" s="15"/>
      <c r="LBD156" s="15"/>
      <c r="LBE156" s="15"/>
      <c r="LBF156" s="15"/>
      <c r="LBG156" s="15"/>
      <c r="LBH156" s="15"/>
      <c r="LBI156" s="15"/>
      <c r="LBJ156" s="15"/>
      <c r="LBK156" s="15"/>
      <c r="LBL156" s="15"/>
      <c r="LBM156" s="15"/>
      <c r="LBN156" s="15"/>
      <c r="LBO156" s="15"/>
      <c r="LBP156" s="15"/>
      <c r="LBQ156" s="15"/>
      <c r="LBR156" s="15"/>
      <c r="LBS156" s="15"/>
      <c r="LBT156" s="15"/>
      <c r="LBU156" s="15"/>
      <c r="LBV156" s="15"/>
      <c r="LBW156" s="15"/>
      <c r="LBX156" s="15"/>
      <c r="LBY156" s="15"/>
      <c r="LBZ156" s="15"/>
      <c r="LCA156" s="15"/>
      <c r="LCB156" s="15"/>
      <c r="LCC156" s="15"/>
      <c r="LCD156" s="15"/>
      <c r="LCE156" s="15"/>
      <c r="LCF156" s="15"/>
      <c r="LCG156" s="15"/>
      <c r="LCH156" s="15"/>
      <c r="LCI156" s="15"/>
      <c r="LCJ156" s="15"/>
      <c r="LCK156" s="15"/>
      <c r="LCL156" s="15"/>
      <c r="LCM156" s="15"/>
      <c r="LCN156" s="15"/>
      <c r="LCO156" s="15"/>
      <c r="LCP156" s="15"/>
      <c r="LCQ156" s="15"/>
      <c r="LCR156" s="15"/>
      <c r="LCS156" s="15"/>
      <c r="LCT156" s="15"/>
      <c r="LCU156" s="15"/>
      <c r="LCV156" s="15"/>
      <c r="LCW156" s="15"/>
      <c r="LCX156" s="15"/>
      <c r="LCY156" s="15"/>
      <c r="LCZ156" s="15"/>
      <c r="LDA156" s="15"/>
      <c r="LDB156" s="15"/>
      <c r="LDC156" s="15"/>
      <c r="LDD156" s="15"/>
      <c r="LDE156" s="15"/>
      <c r="LDF156" s="15"/>
      <c r="LDG156" s="15"/>
      <c r="LDH156" s="15"/>
      <c r="LDI156" s="15"/>
      <c r="LDJ156" s="15"/>
      <c r="LDK156" s="15"/>
      <c r="LDL156" s="15"/>
      <c r="LDM156" s="15"/>
      <c r="LDN156" s="15"/>
      <c r="LDO156" s="15"/>
      <c r="LDP156" s="15"/>
      <c r="LDQ156" s="15"/>
      <c r="LDR156" s="15"/>
      <c r="LDS156" s="15"/>
      <c r="LDT156" s="15"/>
      <c r="LDU156" s="15"/>
      <c r="LDV156" s="15"/>
      <c r="LDW156" s="15"/>
      <c r="LDX156" s="15"/>
      <c r="LDY156" s="15"/>
      <c r="LDZ156" s="15"/>
      <c r="LEA156" s="15"/>
      <c r="LEB156" s="15"/>
      <c r="LEC156" s="15"/>
      <c r="LED156" s="15"/>
      <c r="LEE156" s="15"/>
      <c r="LEF156" s="15"/>
      <c r="LEG156" s="15"/>
      <c r="LEH156" s="15"/>
      <c r="LEI156" s="15"/>
      <c r="LEJ156" s="15"/>
      <c r="LEK156" s="15"/>
      <c r="LEL156" s="15"/>
      <c r="LEM156" s="15"/>
      <c r="LEN156" s="15"/>
      <c r="LEO156" s="15"/>
      <c r="LEP156" s="15"/>
      <c r="LEQ156" s="15"/>
      <c r="LER156" s="15"/>
      <c r="LES156" s="15"/>
      <c r="LET156" s="15"/>
      <c r="LEU156" s="15"/>
      <c r="LEV156" s="15"/>
      <c r="LEW156" s="15"/>
      <c r="LEX156" s="15"/>
      <c r="LEY156" s="15"/>
      <c r="LEZ156" s="15"/>
      <c r="LFA156" s="15"/>
      <c r="LFB156" s="15"/>
      <c r="LFC156" s="15"/>
      <c r="LFD156" s="15"/>
      <c r="LFE156" s="15"/>
      <c r="LFF156" s="15"/>
      <c r="LFG156" s="15"/>
      <c r="LFH156" s="15"/>
      <c r="LFI156" s="15"/>
      <c r="LFJ156" s="15"/>
      <c r="LFK156" s="15"/>
      <c r="LFL156" s="15"/>
      <c r="LFM156" s="15"/>
      <c r="LFN156" s="15"/>
      <c r="LFO156" s="15"/>
      <c r="LFP156" s="15"/>
      <c r="LFQ156" s="15"/>
      <c r="LFR156" s="15"/>
      <c r="LFS156" s="15"/>
      <c r="LFT156" s="15"/>
      <c r="LFU156" s="15"/>
      <c r="LFV156" s="15"/>
      <c r="LFW156" s="15"/>
      <c r="LFX156" s="15"/>
      <c r="LFY156" s="15"/>
      <c r="LFZ156" s="15"/>
      <c r="LGA156" s="15"/>
      <c r="LGB156" s="15"/>
      <c r="LGC156" s="15"/>
      <c r="LGD156" s="15"/>
      <c r="LGE156" s="15"/>
      <c r="LGF156" s="15"/>
      <c r="LGG156" s="15"/>
      <c r="LGH156" s="15"/>
      <c r="LGI156" s="15"/>
      <c r="LGJ156" s="15"/>
      <c r="LGK156" s="15"/>
      <c r="LGL156" s="15"/>
      <c r="LGM156" s="15"/>
      <c r="LGN156" s="15"/>
      <c r="LGO156" s="15"/>
      <c r="LGP156" s="15"/>
      <c r="LGQ156" s="15"/>
      <c r="LGR156" s="15"/>
      <c r="LGS156" s="15"/>
      <c r="LGT156" s="15"/>
      <c r="LGU156" s="15"/>
      <c r="LGV156" s="15"/>
      <c r="LGW156" s="15"/>
      <c r="LGX156" s="15"/>
      <c r="LGY156" s="15"/>
      <c r="LGZ156" s="15"/>
      <c r="LHA156" s="15"/>
      <c r="LHB156" s="15"/>
      <c r="LHC156" s="15"/>
      <c r="LHD156" s="15"/>
      <c r="LHE156" s="15"/>
      <c r="LHF156" s="15"/>
      <c r="LHG156" s="15"/>
      <c r="LHH156" s="15"/>
      <c r="LHI156" s="15"/>
      <c r="LHJ156" s="15"/>
      <c r="LHK156" s="15"/>
      <c r="LHL156" s="15"/>
      <c r="LHM156" s="15"/>
      <c r="LHN156" s="15"/>
      <c r="LHO156" s="15"/>
      <c r="LHP156" s="15"/>
      <c r="LHQ156" s="15"/>
      <c r="LHR156" s="15"/>
      <c r="LHS156" s="15"/>
      <c r="LHT156" s="15"/>
      <c r="LHU156" s="15"/>
      <c r="LHV156" s="15"/>
      <c r="LHW156" s="15"/>
      <c r="LHX156" s="15"/>
      <c r="LHY156" s="15"/>
      <c r="LHZ156" s="15"/>
      <c r="LIA156" s="15"/>
      <c r="LIB156" s="15"/>
      <c r="LIC156" s="15"/>
      <c r="LID156" s="15"/>
      <c r="LIE156" s="15"/>
      <c r="LIF156" s="15"/>
      <c r="LIG156" s="15"/>
      <c r="LIH156" s="15"/>
      <c r="LII156" s="15"/>
      <c r="LIJ156" s="15"/>
      <c r="LIK156" s="15"/>
      <c r="LIL156" s="15"/>
      <c r="LIM156" s="15"/>
      <c r="LIN156" s="15"/>
      <c r="LIO156" s="15"/>
      <c r="LIP156" s="15"/>
      <c r="LIQ156" s="15"/>
      <c r="LIR156" s="15"/>
      <c r="LIS156" s="15"/>
      <c r="LIT156" s="15"/>
      <c r="LIU156" s="15"/>
      <c r="LIV156" s="15"/>
      <c r="LIW156" s="15"/>
      <c r="LIX156" s="15"/>
      <c r="LIY156" s="15"/>
      <c r="LIZ156" s="15"/>
      <c r="LJA156" s="15"/>
      <c r="LJB156" s="15"/>
      <c r="LJC156" s="15"/>
      <c r="LJD156" s="15"/>
      <c r="LJE156" s="15"/>
      <c r="LJF156" s="15"/>
      <c r="LJG156" s="15"/>
      <c r="LJH156" s="15"/>
      <c r="LJI156" s="15"/>
      <c r="LJJ156" s="15"/>
      <c r="LJK156" s="15"/>
      <c r="LJL156" s="15"/>
      <c r="LJM156" s="15"/>
      <c r="LJN156" s="15"/>
      <c r="LJO156" s="15"/>
      <c r="LJP156" s="15"/>
      <c r="LJQ156" s="15"/>
      <c r="LJR156" s="15"/>
      <c r="LJS156" s="15"/>
      <c r="LJT156" s="15"/>
      <c r="LJU156" s="15"/>
      <c r="LJV156" s="15"/>
      <c r="LJW156" s="15"/>
      <c r="LJX156" s="15"/>
      <c r="LJY156" s="15"/>
      <c r="LJZ156" s="15"/>
      <c r="LKA156" s="15"/>
      <c r="LKB156" s="15"/>
      <c r="LKC156" s="15"/>
      <c r="LKD156" s="15"/>
      <c r="LKE156" s="15"/>
      <c r="LKF156" s="15"/>
      <c r="LKG156" s="15"/>
      <c r="LKH156" s="15"/>
      <c r="LKI156" s="15"/>
      <c r="LKJ156" s="15"/>
      <c r="LKK156" s="15"/>
      <c r="LKL156" s="15"/>
      <c r="LKM156" s="15"/>
      <c r="LKN156" s="15"/>
      <c r="LKO156" s="15"/>
      <c r="LKP156" s="15"/>
      <c r="LKQ156" s="15"/>
      <c r="LKR156" s="15"/>
      <c r="LKS156" s="15"/>
      <c r="LKT156" s="15"/>
      <c r="LKU156" s="15"/>
      <c r="LKV156" s="15"/>
      <c r="LKW156" s="15"/>
      <c r="LKX156" s="15"/>
      <c r="LKY156" s="15"/>
      <c r="LKZ156" s="15"/>
      <c r="LLA156" s="15"/>
      <c r="LLB156" s="15"/>
      <c r="LLC156" s="15"/>
      <c r="LLD156" s="15"/>
      <c r="LLE156" s="15"/>
      <c r="LLF156" s="15"/>
      <c r="LLG156" s="15"/>
      <c r="LLH156" s="15"/>
      <c r="LLI156" s="15"/>
      <c r="LLJ156" s="15"/>
      <c r="LLK156" s="15"/>
      <c r="LLL156" s="15"/>
      <c r="LLM156" s="15"/>
      <c r="LLN156" s="15"/>
      <c r="LLO156" s="15"/>
      <c r="LLP156" s="15"/>
      <c r="LLQ156" s="15"/>
      <c r="LLR156" s="15"/>
      <c r="LLS156" s="15"/>
      <c r="LLT156" s="15"/>
      <c r="LLU156" s="15"/>
      <c r="LLV156" s="15"/>
      <c r="LLW156" s="15"/>
      <c r="LLX156" s="15"/>
      <c r="LLY156" s="15"/>
      <c r="LLZ156" s="15"/>
      <c r="LMA156" s="15"/>
      <c r="LMB156" s="15"/>
      <c r="LMC156" s="15"/>
      <c r="LMD156" s="15"/>
      <c r="LME156" s="15"/>
      <c r="LMF156" s="15"/>
      <c r="LMG156" s="15"/>
      <c r="LMH156" s="15"/>
      <c r="LMI156" s="15"/>
      <c r="LMJ156" s="15"/>
      <c r="LMK156" s="15"/>
      <c r="LML156" s="15"/>
      <c r="LMM156" s="15"/>
      <c r="LMN156" s="15"/>
      <c r="LMO156" s="15"/>
      <c r="LMP156" s="15"/>
      <c r="LMQ156" s="15"/>
      <c r="LMR156" s="15"/>
      <c r="LMS156" s="15"/>
      <c r="LMT156" s="15"/>
      <c r="LMU156" s="15"/>
      <c r="LMV156" s="15"/>
      <c r="LMW156" s="15"/>
      <c r="LMX156" s="15"/>
      <c r="LMY156" s="15"/>
      <c r="LMZ156" s="15"/>
      <c r="LNA156" s="15"/>
      <c r="LNB156" s="15"/>
      <c r="LNC156" s="15"/>
      <c r="LND156" s="15"/>
      <c r="LNE156" s="15"/>
      <c r="LNF156" s="15"/>
      <c r="LNG156" s="15"/>
      <c r="LNH156" s="15"/>
      <c r="LNI156" s="15"/>
      <c r="LNJ156" s="15"/>
      <c r="LNK156" s="15"/>
      <c r="LNL156" s="15"/>
      <c r="LNM156" s="15"/>
      <c r="LNN156" s="15"/>
      <c r="LNO156" s="15"/>
      <c r="LNP156" s="15"/>
      <c r="LNQ156" s="15"/>
      <c r="LNR156" s="15"/>
      <c r="LNS156" s="15"/>
      <c r="LNT156" s="15"/>
      <c r="LNU156" s="15"/>
      <c r="LNV156" s="15"/>
      <c r="LNW156" s="15"/>
      <c r="LNX156" s="15"/>
      <c r="LNY156" s="15"/>
      <c r="LNZ156" s="15"/>
      <c r="LOA156" s="15"/>
      <c r="LOB156" s="15"/>
      <c r="LOC156" s="15"/>
      <c r="LOD156" s="15"/>
      <c r="LOE156" s="15"/>
      <c r="LOF156" s="15"/>
      <c r="LOG156" s="15"/>
      <c r="LOH156" s="15"/>
      <c r="LOI156" s="15"/>
      <c r="LOJ156" s="15"/>
      <c r="LOK156" s="15"/>
      <c r="LOL156" s="15"/>
      <c r="LOM156" s="15"/>
      <c r="LON156" s="15"/>
      <c r="LOO156" s="15"/>
      <c r="LOP156" s="15"/>
      <c r="LOQ156" s="15"/>
      <c r="LOR156" s="15"/>
      <c r="LOS156" s="15"/>
      <c r="LOT156" s="15"/>
      <c r="LOU156" s="15"/>
      <c r="LOV156" s="15"/>
      <c r="LOW156" s="15"/>
      <c r="LOX156" s="15"/>
      <c r="LOY156" s="15"/>
      <c r="LOZ156" s="15"/>
      <c r="LPA156" s="15"/>
      <c r="LPB156" s="15"/>
      <c r="LPC156" s="15"/>
      <c r="LPD156" s="15"/>
      <c r="LPE156" s="15"/>
      <c r="LPF156" s="15"/>
      <c r="LPG156" s="15"/>
      <c r="LPH156" s="15"/>
      <c r="LPI156" s="15"/>
      <c r="LPJ156" s="15"/>
      <c r="LPK156" s="15"/>
      <c r="LPL156" s="15"/>
      <c r="LPM156" s="15"/>
      <c r="LPN156" s="15"/>
      <c r="LPO156" s="15"/>
      <c r="LPP156" s="15"/>
      <c r="LPQ156" s="15"/>
      <c r="LPR156" s="15"/>
      <c r="LPS156" s="15"/>
      <c r="LPT156" s="15"/>
      <c r="LPU156" s="15"/>
      <c r="LPV156" s="15"/>
      <c r="LPW156" s="15"/>
      <c r="LPX156" s="15"/>
      <c r="LPY156" s="15"/>
      <c r="LPZ156" s="15"/>
      <c r="LQA156" s="15"/>
      <c r="LQB156" s="15"/>
      <c r="LQC156" s="15"/>
      <c r="LQD156" s="15"/>
      <c r="LQE156" s="15"/>
      <c r="LQF156" s="15"/>
      <c r="LQG156" s="15"/>
      <c r="LQH156" s="15"/>
      <c r="LQI156" s="15"/>
      <c r="LQJ156" s="15"/>
      <c r="LQK156" s="15"/>
      <c r="LQL156" s="15"/>
      <c r="LQM156" s="15"/>
      <c r="LQN156" s="15"/>
      <c r="LQO156" s="15"/>
      <c r="LQP156" s="15"/>
      <c r="LQQ156" s="15"/>
      <c r="LQR156" s="15"/>
      <c r="LQS156" s="15"/>
      <c r="LQT156" s="15"/>
      <c r="LQU156" s="15"/>
      <c r="LQV156" s="15"/>
      <c r="LQW156" s="15"/>
      <c r="LQX156" s="15"/>
      <c r="LQY156" s="15"/>
      <c r="LQZ156" s="15"/>
      <c r="LRA156" s="15"/>
      <c r="LRB156" s="15"/>
      <c r="LRC156" s="15"/>
      <c r="LRD156" s="15"/>
      <c r="LRE156" s="15"/>
      <c r="LRF156" s="15"/>
      <c r="LRG156" s="15"/>
      <c r="LRH156" s="15"/>
      <c r="LRI156" s="15"/>
      <c r="LRJ156" s="15"/>
      <c r="LRK156" s="15"/>
      <c r="LRL156" s="15"/>
      <c r="LRM156" s="15"/>
      <c r="LRN156" s="15"/>
      <c r="LRO156" s="15"/>
      <c r="LRP156" s="15"/>
      <c r="LRQ156" s="15"/>
      <c r="LRR156" s="15"/>
      <c r="LRS156" s="15"/>
      <c r="LRT156" s="15"/>
      <c r="LRU156" s="15"/>
      <c r="LRV156" s="15"/>
      <c r="LRW156" s="15"/>
      <c r="LRX156" s="15"/>
      <c r="LRY156" s="15"/>
      <c r="LRZ156" s="15"/>
      <c r="LSA156" s="15"/>
      <c r="LSB156" s="15"/>
      <c r="LSC156" s="15"/>
      <c r="LSD156" s="15"/>
      <c r="LSE156" s="15"/>
      <c r="LSF156" s="15"/>
      <c r="LSG156" s="15"/>
      <c r="LSH156" s="15"/>
      <c r="LSI156" s="15"/>
      <c r="LSJ156" s="15"/>
      <c r="LSK156" s="15"/>
      <c r="LSL156" s="15"/>
      <c r="LSM156" s="15"/>
      <c r="LSN156" s="15"/>
      <c r="LSO156" s="15"/>
      <c r="LSP156" s="15"/>
      <c r="LSQ156" s="15"/>
      <c r="LSR156" s="15"/>
      <c r="LSS156" s="15"/>
      <c r="LST156" s="15"/>
      <c r="LSU156" s="15"/>
      <c r="LSV156" s="15"/>
      <c r="LSW156" s="15"/>
      <c r="LSX156" s="15"/>
      <c r="LSY156" s="15"/>
      <c r="LSZ156" s="15"/>
      <c r="LTA156" s="15"/>
      <c r="LTB156" s="15"/>
      <c r="LTC156" s="15"/>
      <c r="LTD156" s="15"/>
      <c r="LTE156" s="15"/>
      <c r="LTF156" s="15"/>
      <c r="LTG156" s="15"/>
      <c r="LTH156" s="15"/>
      <c r="LTI156" s="15"/>
      <c r="LTJ156" s="15"/>
      <c r="LTK156" s="15"/>
      <c r="LTL156" s="15"/>
      <c r="LTM156" s="15"/>
      <c r="LTN156" s="15"/>
      <c r="LTO156" s="15"/>
      <c r="LTP156" s="15"/>
      <c r="LTQ156" s="15"/>
      <c r="LTR156" s="15"/>
      <c r="LTS156" s="15"/>
      <c r="LTT156" s="15"/>
      <c r="LTU156" s="15"/>
      <c r="LTV156" s="15"/>
      <c r="LTW156" s="15"/>
      <c r="LTX156" s="15"/>
      <c r="LTY156" s="15"/>
      <c r="LTZ156" s="15"/>
      <c r="LUA156" s="15"/>
      <c r="LUB156" s="15"/>
      <c r="LUC156" s="15"/>
      <c r="LUD156" s="15"/>
      <c r="LUE156" s="15"/>
      <c r="LUF156" s="15"/>
      <c r="LUG156" s="15"/>
      <c r="LUH156" s="15"/>
      <c r="LUI156" s="15"/>
      <c r="LUJ156" s="15"/>
      <c r="LUK156" s="15"/>
      <c r="LUL156" s="15"/>
      <c r="LUM156" s="15"/>
      <c r="LUN156" s="15"/>
      <c r="LUO156" s="15"/>
      <c r="LUP156" s="15"/>
      <c r="LUQ156" s="15"/>
      <c r="LUR156" s="15"/>
      <c r="LUS156" s="15"/>
      <c r="LUT156" s="15"/>
      <c r="LUU156" s="15"/>
      <c r="LUV156" s="15"/>
      <c r="LUW156" s="15"/>
      <c r="LUX156" s="15"/>
      <c r="LUY156" s="15"/>
      <c r="LUZ156" s="15"/>
      <c r="LVA156" s="15"/>
      <c r="LVB156" s="15"/>
      <c r="LVC156" s="15"/>
      <c r="LVD156" s="15"/>
      <c r="LVE156" s="15"/>
      <c r="LVF156" s="15"/>
      <c r="LVG156" s="15"/>
      <c r="LVH156" s="15"/>
      <c r="LVI156" s="15"/>
      <c r="LVJ156" s="15"/>
      <c r="LVK156" s="15"/>
      <c r="LVL156" s="15"/>
      <c r="LVM156" s="15"/>
      <c r="LVN156" s="15"/>
      <c r="LVO156" s="15"/>
      <c r="LVP156" s="15"/>
      <c r="LVQ156" s="15"/>
      <c r="LVR156" s="15"/>
      <c r="LVS156" s="15"/>
      <c r="LVT156" s="15"/>
      <c r="LVU156" s="15"/>
      <c r="LVV156" s="15"/>
      <c r="LVW156" s="15"/>
      <c r="LVX156" s="15"/>
      <c r="LVY156" s="15"/>
      <c r="LVZ156" s="15"/>
      <c r="LWA156" s="15"/>
      <c r="LWB156" s="15"/>
      <c r="LWC156" s="15"/>
      <c r="LWD156" s="15"/>
      <c r="LWE156" s="15"/>
      <c r="LWF156" s="15"/>
      <c r="LWG156" s="15"/>
      <c r="LWH156" s="15"/>
      <c r="LWI156" s="15"/>
      <c r="LWJ156" s="15"/>
      <c r="LWK156" s="15"/>
      <c r="LWL156" s="15"/>
      <c r="LWM156" s="15"/>
      <c r="LWN156" s="15"/>
      <c r="LWO156" s="15"/>
      <c r="LWP156" s="15"/>
      <c r="LWQ156" s="15"/>
      <c r="LWR156" s="15"/>
      <c r="LWS156" s="15"/>
      <c r="LWT156" s="15"/>
      <c r="LWU156" s="15"/>
      <c r="LWV156" s="15"/>
      <c r="LWW156" s="15"/>
      <c r="LWX156" s="15"/>
      <c r="LWY156" s="15"/>
      <c r="LWZ156" s="15"/>
      <c r="LXA156" s="15"/>
      <c r="LXB156" s="15"/>
      <c r="LXC156" s="15"/>
      <c r="LXD156" s="15"/>
      <c r="LXE156" s="15"/>
      <c r="LXF156" s="15"/>
      <c r="LXG156" s="15"/>
      <c r="LXH156" s="15"/>
      <c r="LXI156" s="15"/>
      <c r="LXJ156" s="15"/>
      <c r="LXK156" s="15"/>
      <c r="LXL156" s="15"/>
      <c r="LXM156" s="15"/>
      <c r="LXN156" s="15"/>
      <c r="LXO156" s="15"/>
      <c r="LXP156" s="15"/>
      <c r="LXQ156" s="15"/>
      <c r="LXR156" s="15"/>
      <c r="LXS156" s="15"/>
      <c r="LXT156" s="15"/>
      <c r="LXU156" s="15"/>
      <c r="LXV156" s="15"/>
      <c r="LXW156" s="15"/>
      <c r="LXX156" s="15"/>
      <c r="LXY156" s="15"/>
      <c r="LXZ156" s="15"/>
      <c r="LYA156" s="15"/>
      <c r="LYB156" s="15"/>
      <c r="LYC156" s="15"/>
      <c r="LYD156" s="15"/>
      <c r="LYE156" s="15"/>
      <c r="LYF156" s="15"/>
      <c r="LYG156" s="15"/>
      <c r="LYH156" s="15"/>
      <c r="LYI156" s="15"/>
      <c r="LYJ156" s="15"/>
      <c r="LYK156" s="15"/>
      <c r="LYL156" s="15"/>
      <c r="LYM156" s="15"/>
      <c r="LYN156" s="15"/>
      <c r="LYO156" s="15"/>
      <c r="LYP156" s="15"/>
      <c r="LYQ156" s="15"/>
      <c r="LYR156" s="15"/>
      <c r="LYS156" s="15"/>
      <c r="LYT156" s="15"/>
      <c r="LYU156" s="15"/>
      <c r="LYV156" s="15"/>
      <c r="LYW156" s="15"/>
      <c r="LYX156" s="15"/>
      <c r="LYY156" s="15"/>
      <c r="LYZ156" s="15"/>
      <c r="LZA156" s="15"/>
      <c r="LZB156" s="15"/>
      <c r="LZC156" s="15"/>
      <c r="LZD156" s="15"/>
      <c r="LZE156" s="15"/>
      <c r="LZF156" s="15"/>
      <c r="LZG156" s="15"/>
      <c r="LZH156" s="15"/>
      <c r="LZI156" s="15"/>
      <c r="LZJ156" s="15"/>
      <c r="LZK156" s="15"/>
      <c r="LZL156" s="15"/>
      <c r="LZM156" s="15"/>
      <c r="LZN156" s="15"/>
      <c r="LZO156" s="15"/>
      <c r="LZP156" s="15"/>
      <c r="LZQ156" s="15"/>
      <c r="LZR156" s="15"/>
      <c r="LZS156" s="15"/>
      <c r="LZT156" s="15"/>
      <c r="LZU156" s="15"/>
      <c r="LZV156" s="15"/>
      <c r="LZW156" s="15"/>
      <c r="LZX156" s="15"/>
      <c r="LZY156" s="15"/>
      <c r="LZZ156" s="15"/>
      <c r="MAA156" s="15"/>
      <c r="MAB156" s="15"/>
      <c r="MAC156" s="15"/>
      <c r="MAD156" s="15"/>
      <c r="MAE156" s="15"/>
      <c r="MAF156" s="15"/>
      <c r="MAG156" s="15"/>
      <c r="MAH156" s="15"/>
      <c r="MAI156" s="15"/>
      <c r="MAJ156" s="15"/>
      <c r="MAK156" s="15"/>
      <c r="MAL156" s="15"/>
      <c r="MAM156" s="15"/>
      <c r="MAN156" s="15"/>
      <c r="MAO156" s="15"/>
      <c r="MAP156" s="15"/>
      <c r="MAQ156" s="15"/>
      <c r="MAR156" s="15"/>
      <c r="MAS156" s="15"/>
      <c r="MAT156" s="15"/>
      <c r="MAU156" s="15"/>
      <c r="MAV156" s="15"/>
      <c r="MAW156" s="15"/>
      <c r="MAX156" s="15"/>
      <c r="MAY156" s="15"/>
      <c r="MAZ156" s="15"/>
      <c r="MBA156" s="15"/>
      <c r="MBB156" s="15"/>
      <c r="MBC156" s="15"/>
      <c r="MBD156" s="15"/>
      <c r="MBE156" s="15"/>
      <c r="MBF156" s="15"/>
      <c r="MBG156" s="15"/>
      <c r="MBH156" s="15"/>
      <c r="MBI156" s="15"/>
      <c r="MBJ156" s="15"/>
      <c r="MBK156" s="15"/>
      <c r="MBL156" s="15"/>
      <c r="MBM156" s="15"/>
      <c r="MBN156" s="15"/>
      <c r="MBO156" s="15"/>
      <c r="MBP156" s="15"/>
      <c r="MBQ156" s="15"/>
      <c r="MBR156" s="15"/>
      <c r="MBS156" s="15"/>
      <c r="MBT156" s="15"/>
      <c r="MBU156" s="15"/>
      <c r="MBV156" s="15"/>
      <c r="MBW156" s="15"/>
      <c r="MBX156" s="15"/>
      <c r="MBY156" s="15"/>
      <c r="MBZ156" s="15"/>
      <c r="MCA156" s="15"/>
      <c r="MCB156" s="15"/>
      <c r="MCC156" s="15"/>
      <c r="MCD156" s="15"/>
      <c r="MCE156" s="15"/>
      <c r="MCF156" s="15"/>
      <c r="MCG156" s="15"/>
      <c r="MCH156" s="15"/>
      <c r="MCI156" s="15"/>
      <c r="MCJ156" s="15"/>
      <c r="MCK156" s="15"/>
      <c r="MCL156" s="15"/>
      <c r="MCM156" s="15"/>
      <c r="MCN156" s="15"/>
      <c r="MCO156" s="15"/>
      <c r="MCP156" s="15"/>
      <c r="MCQ156" s="15"/>
      <c r="MCR156" s="15"/>
      <c r="MCS156" s="15"/>
      <c r="MCT156" s="15"/>
      <c r="MCU156" s="15"/>
      <c r="MCV156" s="15"/>
      <c r="MCW156" s="15"/>
      <c r="MCX156" s="15"/>
      <c r="MCY156" s="15"/>
      <c r="MCZ156" s="15"/>
      <c r="MDA156" s="15"/>
      <c r="MDB156" s="15"/>
      <c r="MDC156" s="15"/>
      <c r="MDD156" s="15"/>
      <c r="MDE156" s="15"/>
      <c r="MDF156" s="15"/>
      <c r="MDG156" s="15"/>
      <c r="MDH156" s="15"/>
      <c r="MDI156" s="15"/>
      <c r="MDJ156" s="15"/>
      <c r="MDK156" s="15"/>
      <c r="MDL156" s="15"/>
      <c r="MDM156" s="15"/>
      <c r="MDN156" s="15"/>
      <c r="MDO156" s="15"/>
      <c r="MDP156" s="15"/>
      <c r="MDQ156" s="15"/>
      <c r="MDR156" s="15"/>
      <c r="MDS156" s="15"/>
      <c r="MDT156" s="15"/>
      <c r="MDU156" s="15"/>
      <c r="MDV156" s="15"/>
      <c r="MDW156" s="15"/>
      <c r="MDX156" s="15"/>
      <c r="MDY156" s="15"/>
      <c r="MDZ156" s="15"/>
      <c r="MEA156" s="15"/>
      <c r="MEB156" s="15"/>
      <c r="MEC156" s="15"/>
      <c r="MED156" s="15"/>
      <c r="MEE156" s="15"/>
      <c r="MEF156" s="15"/>
      <c r="MEG156" s="15"/>
      <c r="MEH156" s="15"/>
      <c r="MEI156" s="15"/>
      <c r="MEJ156" s="15"/>
      <c r="MEK156" s="15"/>
      <c r="MEL156" s="15"/>
      <c r="MEM156" s="15"/>
      <c r="MEN156" s="15"/>
      <c r="MEO156" s="15"/>
      <c r="MEP156" s="15"/>
      <c r="MEQ156" s="15"/>
      <c r="MER156" s="15"/>
      <c r="MES156" s="15"/>
      <c r="MET156" s="15"/>
      <c r="MEU156" s="15"/>
      <c r="MEV156" s="15"/>
      <c r="MEW156" s="15"/>
      <c r="MEX156" s="15"/>
      <c r="MEY156" s="15"/>
      <c r="MEZ156" s="15"/>
      <c r="MFA156" s="15"/>
      <c r="MFB156" s="15"/>
      <c r="MFC156" s="15"/>
      <c r="MFD156" s="15"/>
      <c r="MFE156" s="15"/>
      <c r="MFF156" s="15"/>
      <c r="MFG156" s="15"/>
      <c r="MFH156" s="15"/>
      <c r="MFI156" s="15"/>
      <c r="MFJ156" s="15"/>
      <c r="MFK156" s="15"/>
      <c r="MFL156" s="15"/>
      <c r="MFM156" s="15"/>
      <c r="MFN156" s="15"/>
      <c r="MFO156" s="15"/>
      <c r="MFP156" s="15"/>
      <c r="MFQ156" s="15"/>
      <c r="MFR156" s="15"/>
      <c r="MFS156" s="15"/>
      <c r="MFT156" s="15"/>
      <c r="MFU156" s="15"/>
      <c r="MFV156" s="15"/>
      <c r="MFW156" s="15"/>
      <c r="MFX156" s="15"/>
      <c r="MFY156" s="15"/>
      <c r="MFZ156" s="15"/>
      <c r="MGA156" s="15"/>
      <c r="MGB156" s="15"/>
      <c r="MGC156" s="15"/>
      <c r="MGD156" s="15"/>
      <c r="MGE156" s="15"/>
      <c r="MGF156" s="15"/>
      <c r="MGG156" s="15"/>
      <c r="MGH156" s="15"/>
      <c r="MGI156" s="15"/>
      <c r="MGJ156" s="15"/>
      <c r="MGK156" s="15"/>
      <c r="MGL156" s="15"/>
      <c r="MGM156" s="15"/>
      <c r="MGN156" s="15"/>
      <c r="MGO156" s="15"/>
      <c r="MGP156" s="15"/>
      <c r="MGQ156" s="15"/>
      <c r="MGR156" s="15"/>
      <c r="MGS156" s="15"/>
      <c r="MGT156" s="15"/>
      <c r="MGU156" s="15"/>
      <c r="MGV156" s="15"/>
      <c r="MGW156" s="15"/>
      <c r="MGX156" s="15"/>
      <c r="MGY156" s="15"/>
      <c r="MGZ156" s="15"/>
      <c r="MHA156" s="15"/>
      <c r="MHB156" s="15"/>
      <c r="MHC156" s="15"/>
      <c r="MHD156" s="15"/>
      <c r="MHE156" s="15"/>
      <c r="MHF156" s="15"/>
      <c r="MHG156" s="15"/>
      <c r="MHH156" s="15"/>
      <c r="MHI156" s="15"/>
      <c r="MHJ156" s="15"/>
      <c r="MHK156" s="15"/>
      <c r="MHL156" s="15"/>
      <c r="MHM156" s="15"/>
      <c r="MHN156" s="15"/>
      <c r="MHO156" s="15"/>
      <c r="MHP156" s="15"/>
      <c r="MHQ156" s="15"/>
      <c r="MHR156" s="15"/>
      <c r="MHS156" s="15"/>
      <c r="MHT156" s="15"/>
      <c r="MHU156" s="15"/>
      <c r="MHV156" s="15"/>
      <c r="MHW156" s="15"/>
      <c r="MHX156" s="15"/>
      <c r="MHY156" s="15"/>
      <c r="MHZ156" s="15"/>
      <c r="MIA156" s="15"/>
      <c r="MIB156" s="15"/>
      <c r="MIC156" s="15"/>
      <c r="MID156" s="15"/>
      <c r="MIE156" s="15"/>
      <c r="MIF156" s="15"/>
      <c r="MIG156" s="15"/>
      <c r="MIH156" s="15"/>
      <c r="MII156" s="15"/>
      <c r="MIJ156" s="15"/>
      <c r="MIK156" s="15"/>
      <c r="MIL156" s="15"/>
      <c r="MIM156" s="15"/>
      <c r="MIN156" s="15"/>
      <c r="MIO156" s="15"/>
      <c r="MIP156" s="15"/>
      <c r="MIQ156" s="15"/>
      <c r="MIR156" s="15"/>
      <c r="MIS156" s="15"/>
      <c r="MIT156" s="15"/>
      <c r="MIU156" s="15"/>
      <c r="MIV156" s="15"/>
      <c r="MIW156" s="15"/>
      <c r="MIX156" s="15"/>
      <c r="MIY156" s="15"/>
      <c r="MIZ156" s="15"/>
      <c r="MJA156" s="15"/>
      <c r="MJB156" s="15"/>
      <c r="MJC156" s="15"/>
      <c r="MJD156" s="15"/>
      <c r="MJE156" s="15"/>
      <c r="MJF156" s="15"/>
      <c r="MJG156" s="15"/>
      <c r="MJH156" s="15"/>
      <c r="MJI156" s="15"/>
      <c r="MJJ156" s="15"/>
      <c r="MJK156" s="15"/>
      <c r="MJL156" s="15"/>
      <c r="MJM156" s="15"/>
      <c r="MJN156" s="15"/>
      <c r="MJO156" s="15"/>
      <c r="MJP156" s="15"/>
      <c r="MJQ156" s="15"/>
      <c r="MJR156" s="15"/>
      <c r="MJS156" s="15"/>
      <c r="MJT156" s="15"/>
      <c r="MJU156" s="15"/>
      <c r="MJV156" s="15"/>
      <c r="MJW156" s="15"/>
      <c r="MJX156" s="15"/>
      <c r="MJY156" s="15"/>
      <c r="MJZ156" s="15"/>
      <c r="MKA156" s="15"/>
      <c r="MKB156" s="15"/>
      <c r="MKC156" s="15"/>
      <c r="MKD156" s="15"/>
      <c r="MKE156" s="15"/>
      <c r="MKF156" s="15"/>
      <c r="MKG156" s="15"/>
      <c r="MKH156" s="15"/>
      <c r="MKI156" s="15"/>
      <c r="MKJ156" s="15"/>
      <c r="MKK156" s="15"/>
      <c r="MKL156" s="15"/>
      <c r="MKM156" s="15"/>
      <c r="MKN156" s="15"/>
      <c r="MKO156" s="15"/>
      <c r="MKP156" s="15"/>
      <c r="MKQ156" s="15"/>
      <c r="MKR156" s="15"/>
      <c r="MKS156" s="15"/>
      <c r="MKT156" s="15"/>
      <c r="MKU156" s="15"/>
      <c r="MKV156" s="15"/>
      <c r="MKW156" s="15"/>
      <c r="MKX156" s="15"/>
      <c r="MKY156" s="15"/>
      <c r="MKZ156" s="15"/>
      <c r="MLA156" s="15"/>
      <c r="MLB156" s="15"/>
      <c r="MLC156" s="15"/>
      <c r="MLD156" s="15"/>
      <c r="MLE156" s="15"/>
      <c r="MLF156" s="15"/>
      <c r="MLG156" s="15"/>
      <c r="MLH156" s="15"/>
      <c r="MLI156" s="15"/>
      <c r="MLJ156" s="15"/>
      <c r="MLK156" s="15"/>
      <c r="MLL156" s="15"/>
      <c r="MLM156" s="15"/>
      <c r="MLN156" s="15"/>
      <c r="MLO156" s="15"/>
      <c r="MLP156" s="15"/>
      <c r="MLQ156" s="15"/>
      <c r="MLR156" s="15"/>
      <c r="MLS156" s="15"/>
      <c r="MLT156" s="15"/>
      <c r="MLU156" s="15"/>
      <c r="MLV156" s="15"/>
      <c r="MLW156" s="15"/>
      <c r="MLX156" s="15"/>
      <c r="MLY156" s="15"/>
      <c r="MLZ156" s="15"/>
      <c r="MMA156" s="15"/>
      <c r="MMB156" s="15"/>
      <c r="MMC156" s="15"/>
      <c r="MMD156" s="15"/>
      <c r="MME156" s="15"/>
      <c r="MMF156" s="15"/>
      <c r="MMG156" s="15"/>
      <c r="MMH156" s="15"/>
      <c r="MMI156" s="15"/>
      <c r="MMJ156" s="15"/>
      <c r="MMK156" s="15"/>
      <c r="MML156" s="15"/>
      <c r="MMM156" s="15"/>
      <c r="MMN156" s="15"/>
      <c r="MMO156" s="15"/>
      <c r="MMP156" s="15"/>
      <c r="MMQ156" s="15"/>
      <c r="MMR156" s="15"/>
      <c r="MMS156" s="15"/>
      <c r="MMT156" s="15"/>
      <c r="MMU156" s="15"/>
      <c r="MMV156" s="15"/>
      <c r="MMW156" s="15"/>
      <c r="MMX156" s="15"/>
      <c r="MMY156" s="15"/>
      <c r="MMZ156" s="15"/>
      <c r="MNA156" s="15"/>
      <c r="MNB156" s="15"/>
      <c r="MNC156" s="15"/>
      <c r="MND156" s="15"/>
      <c r="MNE156" s="15"/>
      <c r="MNF156" s="15"/>
      <c r="MNG156" s="15"/>
      <c r="MNH156" s="15"/>
      <c r="MNI156" s="15"/>
      <c r="MNJ156" s="15"/>
      <c r="MNK156" s="15"/>
      <c r="MNL156" s="15"/>
      <c r="MNM156" s="15"/>
      <c r="MNN156" s="15"/>
      <c r="MNO156" s="15"/>
      <c r="MNP156" s="15"/>
      <c r="MNQ156" s="15"/>
      <c r="MNR156" s="15"/>
      <c r="MNS156" s="15"/>
      <c r="MNT156" s="15"/>
      <c r="MNU156" s="15"/>
      <c r="MNV156" s="15"/>
      <c r="MNW156" s="15"/>
      <c r="MNX156" s="15"/>
      <c r="MNY156" s="15"/>
      <c r="MNZ156" s="15"/>
      <c r="MOA156" s="15"/>
      <c r="MOB156" s="15"/>
      <c r="MOC156" s="15"/>
      <c r="MOD156" s="15"/>
      <c r="MOE156" s="15"/>
      <c r="MOF156" s="15"/>
      <c r="MOG156" s="15"/>
      <c r="MOH156" s="15"/>
      <c r="MOI156" s="15"/>
      <c r="MOJ156" s="15"/>
      <c r="MOK156" s="15"/>
      <c r="MOL156" s="15"/>
      <c r="MOM156" s="15"/>
      <c r="MON156" s="15"/>
      <c r="MOO156" s="15"/>
      <c r="MOP156" s="15"/>
      <c r="MOQ156" s="15"/>
      <c r="MOR156" s="15"/>
      <c r="MOS156" s="15"/>
      <c r="MOT156" s="15"/>
      <c r="MOU156" s="15"/>
      <c r="MOV156" s="15"/>
      <c r="MOW156" s="15"/>
      <c r="MOX156" s="15"/>
      <c r="MOY156" s="15"/>
      <c r="MOZ156" s="15"/>
      <c r="MPA156" s="15"/>
      <c r="MPB156" s="15"/>
      <c r="MPC156" s="15"/>
      <c r="MPD156" s="15"/>
      <c r="MPE156" s="15"/>
      <c r="MPF156" s="15"/>
      <c r="MPG156" s="15"/>
      <c r="MPH156" s="15"/>
      <c r="MPI156" s="15"/>
      <c r="MPJ156" s="15"/>
      <c r="MPK156" s="15"/>
      <c r="MPL156" s="15"/>
      <c r="MPM156" s="15"/>
      <c r="MPN156" s="15"/>
      <c r="MPO156" s="15"/>
      <c r="MPP156" s="15"/>
      <c r="MPQ156" s="15"/>
      <c r="MPR156" s="15"/>
      <c r="MPS156" s="15"/>
      <c r="MPT156" s="15"/>
      <c r="MPU156" s="15"/>
      <c r="MPV156" s="15"/>
      <c r="MPW156" s="15"/>
      <c r="MPX156" s="15"/>
      <c r="MPY156" s="15"/>
      <c r="MPZ156" s="15"/>
      <c r="MQA156" s="15"/>
      <c r="MQB156" s="15"/>
      <c r="MQC156" s="15"/>
      <c r="MQD156" s="15"/>
      <c r="MQE156" s="15"/>
      <c r="MQF156" s="15"/>
      <c r="MQG156" s="15"/>
      <c r="MQH156" s="15"/>
      <c r="MQI156" s="15"/>
      <c r="MQJ156" s="15"/>
      <c r="MQK156" s="15"/>
      <c r="MQL156" s="15"/>
      <c r="MQM156" s="15"/>
      <c r="MQN156" s="15"/>
      <c r="MQO156" s="15"/>
      <c r="MQP156" s="15"/>
      <c r="MQQ156" s="15"/>
      <c r="MQR156" s="15"/>
      <c r="MQS156" s="15"/>
      <c r="MQT156" s="15"/>
      <c r="MQU156" s="15"/>
      <c r="MQV156" s="15"/>
      <c r="MQW156" s="15"/>
      <c r="MQX156" s="15"/>
      <c r="MQY156" s="15"/>
      <c r="MQZ156" s="15"/>
      <c r="MRA156" s="15"/>
      <c r="MRB156" s="15"/>
      <c r="MRC156" s="15"/>
      <c r="MRD156" s="15"/>
      <c r="MRE156" s="15"/>
      <c r="MRF156" s="15"/>
      <c r="MRG156" s="15"/>
      <c r="MRH156" s="15"/>
      <c r="MRI156" s="15"/>
      <c r="MRJ156" s="15"/>
      <c r="MRK156" s="15"/>
      <c r="MRL156" s="15"/>
      <c r="MRM156" s="15"/>
      <c r="MRN156" s="15"/>
      <c r="MRO156" s="15"/>
      <c r="MRP156" s="15"/>
      <c r="MRQ156" s="15"/>
      <c r="MRR156" s="15"/>
      <c r="MRS156" s="15"/>
      <c r="MRT156" s="15"/>
      <c r="MRU156" s="15"/>
      <c r="MRV156" s="15"/>
      <c r="MRW156" s="15"/>
      <c r="MRX156" s="15"/>
      <c r="MRY156" s="15"/>
      <c r="MRZ156" s="15"/>
      <c r="MSA156" s="15"/>
      <c r="MSB156" s="15"/>
      <c r="MSC156" s="15"/>
      <c r="MSD156" s="15"/>
      <c r="MSE156" s="15"/>
      <c r="MSF156" s="15"/>
      <c r="MSG156" s="15"/>
      <c r="MSH156" s="15"/>
      <c r="MSI156" s="15"/>
      <c r="MSJ156" s="15"/>
      <c r="MSK156" s="15"/>
      <c r="MSL156" s="15"/>
      <c r="MSM156" s="15"/>
      <c r="MSN156" s="15"/>
      <c r="MSO156" s="15"/>
      <c r="MSP156" s="15"/>
      <c r="MSQ156" s="15"/>
      <c r="MSR156" s="15"/>
      <c r="MSS156" s="15"/>
      <c r="MST156" s="15"/>
      <c r="MSU156" s="15"/>
      <c r="MSV156" s="15"/>
      <c r="MSW156" s="15"/>
      <c r="MSX156" s="15"/>
      <c r="MSY156" s="15"/>
      <c r="MSZ156" s="15"/>
      <c r="MTA156" s="15"/>
      <c r="MTB156" s="15"/>
      <c r="MTC156" s="15"/>
      <c r="MTD156" s="15"/>
      <c r="MTE156" s="15"/>
      <c r="MTF156" s="15"/>
      <c r="MTG156" s="15"/>
      <c r="MTH156" s="15"/>
      <c r="MTI156" s="15"/>
      <c r="MTJ156" s="15"/>
      <c r="MTK156" s="15"/>
      <c r="MTL156" s="15"/>
      <c r="MTM156" s="15"/>
      <c r="MTN156" s="15"/>
      <c r="MTO156" s="15"/>
      <c r="MTP156" s="15"/>
      <c r="MTQ156" s="15"/>
      <c r="MTR156" s="15"/>
      <c r="MTS156" s="15"/>
      <c r="MTT156" s="15"/>
      <c r="MTU156" s="15"/>
      <c r="MTV156" s="15"/>
      <c r="MTW156" s="15"/>
      <c r="MTX156" s="15"/>
      <c r="MTY156" s="15"/>
      <c r="MTZ156" s="15"/>
      <c r="MUA156" s="15"/>
      <c r="MUB156" s="15"/>
      <c r="MUC156" s="15"/>
      <c r="MUD156" s="15"/>
      <c r="MUE156" s="15"/>
      <c r="MUF156" s="15"/>
      <c r="MUG156" s="15"/>
      <c r="MUH156" s="15"/>
      <c r="MUI156" s="15"/>
      <c r="MUJ156" s="15"/>
      <c r="MUK156" s="15"/>
      <c r="MUL156" s="15"/>
      <c r="MUM156" s="15"/>
      <c r="MUN156" s="15"/>
      <c r="MUO156" s="15"/>
      <c r="MUP156" s="15"/>
      <c r="MUQ156" s="15"/>
      <c r="MUR156" s="15"/>
      <c r="MUS156" s="15"/>
      <c r="MUT156" s="15"/>
      <c r="MUU156" s="15"/>
      <c r="MUV156" s="15"/>
      <c r="MUW156" s="15"/>
      <c r="MUX156" s="15"/>
      <c r="MUY156" s="15"/>
      <c r="MUZ156" s="15"/>
      <c r="MVA156" s="15"/>
      <c r="MVB156" s="15"/>
      <c r="MVC156" s="15"/>
      <c r="MVD156" s="15"/>
      <c r="MVE156" s="15"/>
      <c r="MVF156" s="15"/>
      <c r="MVG156" s="15"/>
      <c r="MVH156" s="15"/>
      <c r="MVI156" s="15"/>
      <c r="MVJ156" s="15"/>
      <c r="MVK156" s="15"/>
      <c r="MVL156" s="15"/>
      <c r="MVM156" s="15"/>
      <c r="MVN156" s="15"/>
      <c r="MVO156" s="15"/>
      <c r="MVP156" s="15"/>
      <c r="MVQ156" s="15"/>
      <c r="MVR156" s="15"/>
      <c r="MVS156" s="15"/>
      <c r="MVT156" s="15"/>
      <c r="MVU156" s="15"/>
      <c r="MVV156" s="15"/>
      <c r="MVW156" s="15"/>
      <c r="MVX156" s="15"/>
      <c r="MVY156" s="15"/>
      <c r="MVZ156" s="15"/>
      <c r="MWA156" s="15"/>
      <c r="MWB156" s="15"/>
      <c r="MWC156" s="15"/>
      <c r="MWD156" s="15"/>
      <c r="MWE156" s="15"/>
      <c r="MWF156" s="15"/>
      <c r="MWG156" s="15"/>
      <c r="MWH156" s="15"/>
      <c r="MWI156" s="15"/>
      <c r="MWJ156" s="15"/>
      <c r="MWK156" s="15"/>
      <c r="MWL156" s="15"/>
      <c r="MWM156" s="15"/>
      <c r="MWN156" s="15"/>
      <c r="MWO156" s="15"/>
      <c r="MWP156" s="15"/>
      <c r="MWQ156" s="15"/>
      <c r="MWR156" s="15"/>
      <c r="MWS156" s="15"/>
      <c r="MWT156" s="15"/>
      <c r="MWU156" s="15"/>
      <c r="MWV156" s="15"/>
      <c r="MWW156" s="15"/>
      <c r="MWX156" s="15"/>
      <c r="MWY156" s="15"/>
      <c r="MWZ156" s="15"/>
      <c r="MXA156" s="15"/>
      <c r="MXB156" s="15"/>
      <c r="MXC156" s="15"/>
      <c r="MXD156" s="15"/>
      <c r="MXE156" s="15"/>
      <c r="MXF156" s="15"/>
      <c r="MXG156" s="15"/>
      <c r="MXH156" s="15"/>
      <c r="MXI156" s="15"/>
      <c r="MXJ156" s="15"/>
      <c r="MXK156" s="15"/>
      <c r="MXL156" s="15"/>
      <c r="MXM156" s="15"/>
      <c r="MXN156" s="15"/>
      <c r="MXO156" s="15"/>
      <c r="MXP156" s="15"/>
      <c r="MXQ156" s="15"/>
      <c r="MXR156" s="15"/>
      <c r="MXS156" s="15"/>
      <c r="MXT156" s="15"/>
      <c r="MXU156" s="15"/>
      <c r="MXV156" s="15"/>
      <c r="MXW156" s="15"/>
      <c r="MXX156" s="15"/>
      <c r="MXY156" s="15"/>
      <c r="MXZ156" s="15"/>
      <c r="MYA156" s="15"/>
      <c r="MYB156" s="15"/>
      <c r="MYC156" s="15"/>
      <c r="MYD156" s="15"/>
      <c r="MYE156" s="15"/>
      <c r="MYF156" s="15"/>
      <c r="MYG156" s="15"/>
      <c r="MYH156" s="15"/>
      <c r="MYI156" s="15"/>
      <c r="MYJ156" s="15"/>
      <c r="MYK156" s="15"/>
      <c r="MYL156" s="15"/>
      <c r="MYM156" s="15"/>
      <c r="MYN156" s="15"/>
      <c r="MYO156" s="15"/>
      <c r="MYP156" s="15"/>
      <c r="MYQ156" s="15"/>
      <c r="MYR156" s="15"/>
      <c r="MYS156" s="15"/>
      <c r="MYT156" s="15"/>
      <c r="MYU156" s="15"/>
      <c r="MYV156" s="15"/>
      <c r="MYW156" s="15"/>
      <c r="MYX156" s="15"/>
      <c r="MYY156" s="15"/>
      <c r="MYZ156" s="15"/>
      <c r="MZA156" s="15"/>
      <c r="MZB156" s="15"/>
      <c r="MZC156" s="15"/>
      <c r="MZD156" s="15"/>
      <c r="MZE156" s="15"/>
      <c r="MZF156" s="15"/>
      <c r="MZG156" s="15"/>
      <c r="MZH156" s="15"/>
      <c r="MZI156" s="15"/>
      <c r="MZJ156" s="15"/>
      <c r="MZK156" s="15"/>
      <c r="MZL156" s="15"/>
      <c r="MZM156" s="15"/>
      <c r="MZN156" s="15"/>
      <c r="MZO156" s="15"/>
      <c r="MZP156" s="15"/>
      <c r="MZQ156" s="15"/>
      <c r="MZR156" s="15"/>
      <c r="MZS156" s="15"/>
      <c r="MZT156" s="15"/>
      <c r="MZU156" s="15"/>
      <c r="MZV156" s="15"/>
      <c r="MZW156" s="15"/>
      <c r="MZX156" s="15"/>
      <c r="MZY156" s="15"/>
      <c r="MZZ156" s="15"/>
      <c r="NAA156" s="15"/>
      <c r="NAB156" s="15"/>
      <c r="NAC156" s="15"/>
      <c r="NAD156" s="15"/>
      <c r="NAE156" s="15"/>
      <c r="NAF156" s="15"/>
      <c r="NAG156" s="15"/>
      <c r="NAH156" s="15"/>
      <c r="NAI156" s="15"/>
      <c r="NAJ156" s="15"/>
      <c r="NAK156" s="15"/>
      <c r="NAL156" s="15"/>
      <c r="NAM156" s="15"/>
      <c r="NAN156" s="15"/>
      <c r="NAO156" s="15"/>
      <c r="NAP156" s="15"/>
      <c r="NAQ156" s="15"/>
      <c r="NAR156" s="15"/>
      <c r="NAS156" s="15"/>
      <c r="NAT156" s="15"/>
      <c r="NAU156" s="15"/>
      <c r="NAV156" s="15"/>
      <c r="NAW156" s="15"/>
      <c r="NAX156" s="15"/>
      <c r="NAY156" s="15"/>
      <c r="NAZ156" s="15"/>
      <c r="NBA156" s="15"/>
      <c r="NBB156" s="15"/>
      <c r="NBC156" s="15"/>
      <c r="NBD156" s="15"/>
      <c r="NBE156" s="15"/>
      <c r="NBF156" s="15"/>
      <c r="NBG156" s="15"/>
      <c r="NBH156" s="15"/>
      <c r="NBI156" s="15"/>
      <c r="NBJ156" s="15"/>
      <c r="NBK156" s="15"/>
      <c r="NBL156" s="15"/>
      <c r="NBM156" s="15"/>
      <c r="NBN156" s="15"/>
      <c r="NBO156" s="15"/>
      <c r="NBP156" s="15"/>
      <c r="NBQ156" s="15"/>
      <c r="NBR156" s="15"/>
      <c r="NBS156" s="15"/>
      <c r="NBT156" s="15"/>
      <c r="NBU156" s="15"/>
      <c r="NBV156" s="15"/>
      <c r="NBW156" s="15"/>
      <c r="NBX156" s="15"/>
      <c r="NBY156" s="15"/>
      <c r="NBZ156" s="15"/>
      <c r="NCA156" s="15"/>
      <c r="NCB156" s="15"/>
      <c r="NCC156" s="15"/>
      <c r="NCD156" s="15"/>
      <c r="NCE156" s="15"/>
      <c r="NCF156" s="15"/>
      <c r="NCG156" s="15"/>
      <c r="NCH156" s="15"/>
      <c r="NCI156" s="15"/>
      <c r="NCJ156" s="15"/>
      <c r="NCK156" s="15"/>
      <c r="NCL156" s="15"/>
      <c r="NCM156" s="15"/>
      <c r="NCN156" s="15"/>
      <c r="NCO156" s="15"/>
      <c r="NCP156" s="15"/>
      <c r="NCQ156" s="15"/>
      <c r="NCR156" s="15"/>
      <c r="NCS156" s="15"/>
      <c r="NCT156" s="15"/>
      <c r="NCU156" s="15"/>
      <c r="NCV156" s="15"/>
      <c r="NCW156" s="15"/>
      <c r="NCX156" s="15"/>
      <c r="NCY156" s="15"/>
      <c r="NCZ156" s="15"/>
      <c r="NDA156" s="15"/>
      <c r="NDB156" s="15"/>
      <c r="NDC156" s="15"/>
      <c r="NDD156" s="15"/>
      <c r="NDE156" s="15"/>
      <c r="NDF156" s="15"/>
      <c r="NDG156" s="15"/>
      <c r="NDH156" s="15"/>
      <c r="NDI156" s="15"/>
      <c r="NDJ156" s="15"/>
      <c r="NDK156" s="15"/>
      <c r="NDL156" s="15"/>
      <c r="NDM156" s="15"/>
      <c r="NDN156" s="15"/>
      <c r="NDO156" s="15"/>
      <c r="NDP156" s="15"/>
      <c r="NDQ156" s="15"/>
      <c r="NDR156" s="15"/>
      <c r="NDS156" s="15"/>
      <c r="NDT156" s="15"/>
      <c r="NDU156" s="15"/>
      <c r="NDV156" s="15"/>
      <c r="NDW156" s="15"/>
      <c r="NDX156" s="15"/>
      <c r="NDY156" s="15"/>
      <c r="NDZ156" s="15"/>
      <c r="NEA156" s="15"/>
      <c r="NEB156" s="15"/>
      <c r="NEC156" s="15"/>
      <c r="NED156" s="15"/>
      <c r="NEE156" s="15"/>
      <c r="NEF156" s="15"/>
      <c r="NEG156" s="15"/>
      <c r="NEH156" s="15"/>
      <c r="NEI156" s="15"/>
      <c r="NEJ156" s="15"/>
      <c r="NEK156" s="15"/>
      <c r="NEL156" s="15"/>
      <c r="NEM156" s="15"/>
      <c r="NEN156" s="15"/>
      <c r="NEO156" s="15"/>
      <c r="NEP156" s="15"/>
      <c r="NEQ156" s="15"/>
      <c r="NER156" s="15"/>
      <c r="NES156" s="15"/>
      <c r="NET156" s="15"/>
      <c r="NEU156" s="15"/>
      <c r="NEV156" s="15"/>
      <c r="NEW156" s="15"/>
      <c r="NEX156" s="15"/>
      <c r="NEY156" s="15"/>
      <c r="NEZ156" s="15"/>
      <c r="NFA156" s="15"/>
      <c r="NFB156" s="15"/>
      <c r="NFC156" s="15"/>
      <c r="NFD156" s="15"/>
      <c r="NFE156" s="15"/>
      <c r="NFF156" s="15"/>
      <c r="NFG156" s="15"/>
      <c r="NFH156" s="15"/>
      <c r="NFI156" s="15"/>
      <c r="NFJ156" s="15"/>
      <c r="NFK156" s="15"/>
      <c r="NFL156" s="15"/>
      <c r="NFM156" s="15"/>
      <c r="NFN156" s="15"/>
      <c r="NFO156" s="15"/>
      <c r="NFP156" s="15"/>
      <c r="NFQ156" s="15"/>
      <c r="NFR156" s="15"/>
      <c r="NFS156" s="15"/>
      <c r="NFT156" s="15"/>
      <c r="NFU156" s="15"/>
      <c r="NFV156" s="15"/>
      <c r="NFW156" s="15"/>
      <c r="NFX156" s="15"/>
      <c r="NFY156" s="15"/>
      <c r="NFZ156" s="15"/>
      <c r="NGA156" s="15"/>
      <c r="NGB156" s="15"/>
      <c r="NGC156" s="15"/>
      <c r="NGD156" s="15"/>
      <c r="NGE156" s="15"/>
      <c r="NGF156" s="15"/>
      <c r="NGG156" s="15"/>
      <c r="NGH156" s="15"/>
      <c r="NGI156" s="15"/>
      <c r="NGJ156" s="15"/>
      <c r="NGK156" s="15"/>
      <c r="NGL156" s="15"/>
      <c r="NGM156" s="15"/>
      <c r="NGN156" s="15"/>
      <c r="NGO156" s="15"/>
      <c r="NGP156" s="15"/>
      <c r="NGQ156" s="15"/>
      <c r="NGR156" s="15"/>
      <c r="NGS156" s="15"/>
      <c r="NGT156" s="15"/>
      <c r="NGU156" s="15"/>
      <c r="NGV156" s="15"/>
      <c r="NGW156" s="15"/>
      <c r="NGX156" s="15"/>
      <c r="NGY156" s="15"/>
      <c r="NGZ156" s="15"/>
      <c r="NHA156" s="15"/>
      <c r="NHB156" s="15"/>
      <c r="NHC156" s="15"/>
      <c r="NHD156" s="15"/>
      <c r="NHE156" s="15"/>
      <c r="NHF156" s="15"/>
      <c r="NHG156" s="15"/>
      <c r="NHH156" s="15"/>
      <c r="NHI156" s="15"/>
      <c r="NHJ156" s="15"/>
      <c r="NHK156" s="15"/>
      <c r="NHL156" s="15"/>
      <c r="NHM156" s="15"/>
      <c r="NHN156" s="15"/>
      <c r="NHO156" s="15"/>
      <c r="NHP156" s="15"/>
      <c r="NHQ156" s="15"/>
      <c r="NHR156" s="15"/>
      <c r="NHS156" s="15"/>
      <c r="NHT156" s="15"/>
      <c r="NHU156" s="15"/>
      <c r="NHV156" s="15"/>
      <c r="NHW156" s="15"/>
      <c r="NHX156" s="15"/>
      <c r="NHY156" s="15"/>
      <c r="NHZ156" s="15"/>
      <c r="NIA156" s="15"/>
      <c r="NIB156" s="15"/>
      <c r="NIC156" s="15"/>
      <c r="NID156" s="15"/>
      <c r="NIE156" s="15"/>
      <c r="NIF156" s="15"/>
      <c r="NIG156" s="15"/>
      <c r="NIH156" s="15"/>
      <c r="NII156" s="15"/>
      <c r="NIJ156" s="15"/>
      <c r="NIK156" s="15"/>
      <c r="NIL156" s="15"/>
      <c r="NIM156" s="15"/>
      <c r="NIN156" s="15"/>
      <c r="NIO156" s="15"/>
      <c r="NIP156" s="15"/>
      <c r="NIQ156" s="15"/>
      <c r="NIR156" s="15"/>
      <c r="NIS156" s="15"/>
      <c r="NIT156" s="15"/>
      <c r="NIU156" s="15"/>
      <c r="NIV156" s="15"/>
      <c r="NIW156" s="15"/>
      <c r="NIX156" s="15"/>
      <c r="NIY156" s="15"/>
      <c r="NIZ156" s="15"/>
      <c r="NJA156" s="15"/>
      <c r="NJB156" s="15"/>
      <c r="NJC156" s="15"/>
      <c r="NJD156" s="15"/>
      <c r="NJE156" s="15"/>
      <c r="NJF156" s="15"/>
      <c r="NJG156" s="15"/>
      <c r="NJH156" s="15"/>
      <c r="NJI156" s="15"/>
      <c r="NJJ156" s="15"/>
      <c r="NJK156" s="15"/>
      <c r="NJL156" s="15"/>
      <c r="NJM156" s="15"/>
      <c r="NJN156" s="15"/>
      <c r="NJO156" s="15"/>
      <c r="NJP156" s="15"/>
      <c r="NJQ156" s="15"/>
      <c r="NJR156" s="15"/>
      <c r="NJS156" s="15"/>
      <c r="NJT156" s="15"/>
      <c r="NJU156" s="15"/>
      <c r="NJV156" s="15"/>
      <c r="NJW156" s="15"/>
      <c r="NJX156" s="15"/>
      <c r="NJY156" s="15"/>
      <c r="NJZ156" s="15"/>
      <c r="NKA156" s="15"/>
      <c r="NKB156" s="15"/>
      <c r="NKC156" s="15"/>
      <c r="NKD156" s="15"/>
      <c r="NKE156" s="15"/>
      <c r="NKF156" s="15"/>
      <c r="NKG156" s="15"/>
      <c r="NKH156" s="15"/>
      <c r="NKI156" s="15"/>
      <c r="NKJ156" s="15"/>
      <c r="NKK156" s="15"/>
      <c r="NKL156" s="15"/>
      <c r="NKM156" s="15"/>
      <c r="NKN156" s="15"/>
      <c r="NKO156" s="15"/>
      <c r="NKP156" s="15"/>
      <c r="NKQ156" s="15"/>
      <c r="NKR156" s="15"/>
      <c r="NKS156" s="15"/>
      <c r="NKT156" s="15"/>
      <c r="NKU156" s="15"/>
      <c r="NKV156" s="15"/>
      <c r="NKW156" s="15"/>
      <c r="NKX156" s="15"/>
      <c r="NKY156" s="15"/>
      <c r="NKZ156" s="15"/>
      <c r="NLA156" s="15"/>
      <c r="NLB156" s="15"/>
      <c r="NLC156" s="15"/>
      <c r="NLD156" s="15"/>
      <c r="NLE156" s="15"/>
      <c r="NLF156" s="15"/>
      <c r="NLG156" s="15"/>
      <c r="NLH156" s="15"/>
      <c r="NLI156" s="15"/>
      <c r="NLJ156" s="15"/>
      <c r="NLK156" s="15"/>
      <c r="NLL156" s="15"/>
      <c r="NLM156" s="15"/>
      <c r="NLN156" s="15"/>
      <c r="NLO156" s="15"/>
      <c r="NLP156" s="15"/>
      <c r="NLQ156" s="15"/>
      <c r="NLR156" s="15"/>
      <c r="NLS156" s="15"/>
      <c r="NLT156" s="15"/>
      <c r="NLU156" s="15"/>
      <c r="NLV156" s="15"/>
      <c r="NLW156" s="15"/>
      <c r="NLX156" s="15"/>
      <c r="NLY156" s="15"/>
      <c r="NLZ156" s="15"/>
      <c r="NMA156" s="15"/>
      <c r="NMB156" s="15"/>
      <c r="NMC156" s="15"/>
      <c r="NMD156" s="15"/>
      <c r="NME156" s="15"/>
      <c r="NMF156" s="15"/>
      <c r="NMG156" s="15"/>
      <c r="NMH156" s="15"/>
      <c r="NMI156" s="15"/>
      <c r="NMJ156" s="15"/>
      <c r="NMK156" s="15"/>
      <c r="NML156" s="15"/>
      <c r="NMM156" s="15"/>
      <c r="NMN156" s="15"/>
      <c r="NMO156" s="15"/>
      <c r="NMP156" s="15"/>
      <c r="NMQ156" s="15"/>
      <c r="NMR156" s="15"/>
      <c r="NMS156" s="15"/>
      <c r="NMT156" s="15"/>
      <c r="NMU156" s="15"/>
      <c r="NMV156" s="15"/>
      <c r="NMW156" s="15"/>
      <c r="NMX156" s="15"/>
      <c r="NMY156" s="15"/>
      <c r="NMZ156" s="15"/>
      <c r="NNA156" s="15"/>
      <c r="NNB156" s="15"/>
      <c r="NNC156" s="15"/>
      <c r="NND156" s="15"/>
      <c r="NNE156" s="15"/>
      <c r="NNF156" s="15"/>
      <c r="NNG156" s="15"/>
      <c r="NNH156" s="15"/>
      <c r="NNI156" s="15"/>
      <c r="NNJ156" s="15"/>
      <c r="NNK156" s="15"/>
      <c r="NNL156" s="15"/>
      <c r="NNM156" s="15"/>
      <c r="NNN156" s="15"/>
      <c r="NNO156" s="15"/>
      <c r="NNP156" s="15"/>
      <c r="NNQ156" s="15"/>
      <c r="NNR156" s="15"/>
      <c r="NNS156" s="15"/>
      <c r="NNT156" s="15"/>
      <c r="NNU156" s="15"/>
      <c r="NNV156" s="15"/>
      <c r="NNW156" s="15"/>
      <c r="NNX156" s="15"/>
      <c r="NNY156" s="15"/>
      <c r="NNZ156" s="15"/>
      <c r="NOA156" s="15"/>
      <c r="NOB156" s="15"/>
      <c r="NOC156" s="15"/>
      <c r="NOD156" s="15"/>
      <c r="NOE156" s="15"/>
      <c r="NOF156" s="15"/>
      <c r="NOG156" s="15"/>
      <c r="NOH156" s="15"/>
      <c r="NOI156" s="15"/>
      <c r="NOJ156" s="15"/>
      <c r="NOK156" s="15"/>
      <c r="NOL156" s="15"/>
      <c r="NOM156" s="15"/>
      <c r="NON156" s="15"/>
      <c r="NOO156" s="15"/>
      <c r="NOP156" s="15"/>
      <c r="NOQ156" s="15"/>
      <c r="NOR156" s="15"/>
      <c r="NOS156" s="15"/>
      <c r="NOT156" s="15"/>
      <c r="NOU156" s="15"/>
      <c r="NOV156" s="15"/>
      <c r="NOW156" s="15"/>
      <c r="NOX156" s="15"/>
      <c r="NOY156" s="15"/>
      <c r="NOZ156" s="15"/>
      <c r="NPA156" s="15"/>
      <c r="NPB156" s="15"/>
      <c r="NPC156" s="15"/>
      <c r="NPD156" s="15"/>
      <c r="NPE156" s="15"/>
      <c r="NPF156" s="15"/>
      <c r="NPG156" s="15"/>
      <c r="NPH156" s="15"/>
      <c r="NPI156" s="15"/>
      <c r="NPJ156" s="15"/>
      <c r="NPK156" s="15"/>
      <c r="NPL156" s="15"/>
      <c r="NPM156" s="15"/>
      <c r="NPN156" s="15"/>
      <c r="NPO156" s="15"/>
      <c r="NPP156" s="15"/>
      <c r="NPQ156" s="15"/>
      <c r="NPR156" s="15"/>
      <c r="NPS156" s="15"/>
      <c r="NPT156" s="15"/>
      <c r="NPU156" s="15"/>
      <c r="NPV156" s="15"/>
      <c r="NPW156" s="15"/>
      <c r="NPX156" s="15"/>
      <c r="NPY156" s="15"/>
      <c r="NPZ156" s="15"/>
      <c r="NQA156" s="15"/>
      <c r="NQB156" s="15"/>
      <c r="NQC156" s="15"/>
      <c r="NQD156" s="15"/>
      <c r="NQE156" s="15"/>
      <c r="NQF156" s="15"/>
      <c r="NQG156" s="15"/>
      <c r="NQH156" s="15"/>
      <c r="NQI156" s="15"/>
      <c r="NQJ156" s="15"/>
      <c r="NQK156" s="15"/>
      <c r="NQL156" s="15"/>
      <c r="NQM156" s="15"/>
      <c r="NQN156" s="15"/>
      <c r="NQO156" s="15"/>
      <c r="NQP156" s="15"/>
      <c r="NQQ156" s="15"/>
      <c r="NQR156" s="15"/>
      <c r="NQS156" s="15"/>
      <c r="NQT156" s="15"/>
      <c r="NQU156" s="15"/>
      <c r="NQV156" s="15"/>
      <c r="NQW156" s="15"/>
      <c r="NQX156" s="15"/>
      <c r="NQY156" s="15"/>
      <c r="NQZ156" s="15"/>
      <c r="NRA156" s="15"/>
      <c r="NRB156" s="15"/>
      <c r="NRC156" s="15"/>
      <c r="NRD156" s="15"/>
      <c r="NRE156" s="15"/>
      <c r="NRF156" s="15"/>
      <c r="NRG156" s="15"/>
      <c r="NRH156" s="15"/>
      <c r="NRI156" s="15"/>
      <c r="NRJ156" s="15"/>
      <c r="NRK156" s="15"/>
      <c r="NRL156" s="15"/>
      <c r="NRM156" s="15"/>
      <c r="NRN156" s="15"/>
      <c r="NRO156" s="15"/>
      <c r="NRP156" s="15"/>
      <c r="NRQ156" s="15"/>
      <c r="NRR156" s="15"/>
      <c r="NRS156" s="15"/>
      <c r="NRT156" s="15"/>
      <c r="NRU156" s="15"/>
      <c r="NRV156" s="15"/>
      <c r="NRW156" s="15"/>
      <c r="NRX156" s="15"/>
      <c r="NRY156" s="15"/>
      <c r="NRZ156" s="15"/>
      <c r="NSA156" s="15"/>
      <c r="NSB156" s="15"/>
      <c r="NSC156" s="15"/>
      <c r="NSD156" s="15"/>
      <c r="NSE156" s="15"/>
      <c r="NSF156" s="15"/>
      <c r="NSG156" s="15"/>
      <c r="NSH156" s="15"/>
      <c r="NSI156" s="15"/>
      <c r="NSJ156" s="15"/>
      <c r="NSK156" s="15"/>
      <c r="NSL156" s="15"/>
      <c r="NSM156" s="15"/>
      <c r="NSN156" s="15"/>
      <c r="NSO156" s="15"/>
      <c r="NSP156" s="15"/>
      <c r="NSQ156" s="15"/>
      <c r="NSR156" s="15"/>
      <c r="NSS156" s="15"/>
      <c r="NST156" s="15"/>
      <c r="NSU156" s="15"/>
      <c r="NSV156" s="15"/>
      <c r="NSW156" s="15"/>
      <c r="NSX156" s="15"/>
      <c r="NSY156" s="15"/>
      <c r="NSZ156" s="15"/>
      <c r="NTA156" s="15"/>
      <c r="NTB156" s="15"/>
      <c r="NTC156" s="15"/>
      <c r="NTD156" s="15"/>
      <c r="NTE156" s="15"/>
      <c r="NTF156" s="15"/>
      <c r="NTG156" s="15"/>
      <c r="NTH156" s="15"/>
      <c r="NTI156" s="15"/>
      <c r="NTJ156" s="15"/>
      <c r="NTK156" s="15"/>
      <c r="NTL156" s="15"/>
      <c r="NTM156" s="15"/>
      <c r="NTN156" s="15"/>
      <c r="NTO156" s="15"/>
      <c r="NTP156" s="15"/>
      <c r="NTQ156" s="15"/>
      <c r="NTR156" s="15"/>
      <c r="NTS156" s="15"/>
      <c r="NTT156" s="15"/>
      <c r="NTU156" s="15"/>
      <c r="NTV156" s="15"/>
      <c r="NTW156" s="15"/>
      <c r="NTX156" s="15"/>
      <c r="NTY156" s="15"/>
      <c r="NTZ156" s="15"/>
      <c r="NUA156" s="15"/>
      <c r="NUB156" s="15"/>
      <c r="NUC156" s="15"/>
      <c r="NUD156" s="15"/>
      <c r="NUE156" s="15"/>
      <c r="NUF156" s="15"/>
      <c r="NUG156" s="15"/>
      <c r="NUH156" s="15"/>
      <c r="NUI156" s="15"/>
      <c r="NUJ156" s="15"/>
      <c r="NUK156" s="15"/>
      <c r="NUL156" s="15"/>
      <c r="NUM156" s="15"/>
      <c r="NUN156" s="15"/>
      <c r="NUO156" s="15"/>
      <c r="NUP156" s="15"/>
      <c r="NUQ156" s="15"/>
      <c r="NUR156" s="15"/>
      <c r="NUS156" s="15"/>
      <c r="NUT156" s="15"/>
      <c r="NUU156" s="15"/>
      <c r="NUV156" s="15"/>
      <c r="NUW156" s="15"/>
      <c r="NUX156" s="15"/>
      <c r="NUY156" s="15"/>
      <c r="NUZ156" s="15"/>
      <c r="NVA156" s="15"/>
      <c r="NVB156" s="15"/>
      <c r="NVC156" s="15"/>
      <c r="NVD156" s="15"/>
      <c r="NVE156" s="15"/>
      <c r="NVF156" s="15"/>
      <c r="NVG156" s="15"/>
      <c r="NVH156" s="15"/>
      <c r="NVI156" s="15"/>
      <c r="NVJ156" s="15"/>
      <c r="NVK156" s="15"/>
      <c r="NVL156" s="15"/>
      <c r="NVM156" s="15"/>
      <c r="NVN156" s="15"/>
      <c r="NVO156" s="15"/>
      <c r="NVP156" s="15"/>
      <c r="NVQ156" s="15"/>
      <c r="NVR156" s="15"/>
      <c r="NVS156" s="15"/>
      <c r="NVT156" s="15"/>
      <c r="NVU156" s="15"/>
      <c r="NVV156" s="15"/>
      <c r="NVW156" s="15"/>
      <c r="NVX156" s="15"/>
      <c r="NVY156" s="15"/>
      <c r="NVZ156" s="15"/>
      <c r="NWA156" s="15"/>
      <c r="NWB156" s="15"/>
      <c r="NWC156" s="15"/>
      <c r="NWD156" s="15"/>
      <c r="NWE156" s="15"/>
      <c r="NWF156" s="15"/>
      <c r="NWG156" s="15"/>
      <c r="NWH156" s="15"/>
      <c r="NWI156" s="15"/>
      <c r="NWJ156" s="15"/>
      <c r="NWK156" s="15"/>
      <c r="NWL156" s="15"/>
      <c r="NWM156" s="15"/>
      <c r="NWN156" s="15"/>
      <c r="NWO156" s="15"/>
      <c r="NWP156" s="15"/>
      <c r="NWQ156" s="15"/>
      <c r="NWR156" s="15"/>
      <c r="NWS156" s="15"/>
      <c r="NWT156" s="15"/>
      <c r="NWU156" s="15"/>
      <c r="NWV156" s="15"/>
      <c r="NWW156" s="15"/>
      <c r="NWX156" s="15"/>
      <c r="NWY156" s="15"/>
      <c r="NWZ156" s="15"/>
      <c r="NXA156" s="15"/>
      <c r="NXB156" s="15"/>
      <c r="NXC156" s="15"/>
      <c r="NXD156" s="15"/>
      <c r="NXE156" s="15"/>
      <c r="NXF156" s="15"/>
      <c r="NXG156" s="15"/>
      <c r="NXH156" s="15"/>
      <c r="NXI156" s="15"/>
      <c r="NXJ156" s="15"/>
      <c r="NXK156" s="15"/>
      <c r="NXL156" s="15"/>
      <c r="NXM156" s="15"/>
      <c r="NXN156" s="15"/>
      <c r="NXO156" s="15"/>
      <c r="NXP156" s="15"/>
      <c r="NXQ156" s="15"/>
      <c r="NXR156" s="15"/>
      <c r="NXS156" s="15"/>
      <c r="NXT156" s="15"/>
      <c r="NXU156" s="15"/>
      <c r="NXV156" s="15"/>
      <c r="NXW156" s="15"/>
      <c r="NXX156" s="15"/>
      <c r="NXY156" s="15"/>
      <c r="NXZ156" s="15"/>
      <c r="NYA156" s="15"/>
      <c r="NYB156" s="15"/>
      <c r="NYC156" s="15"/>
      <c r="NYD156" s="15"/>
      <c r="NYE156" s="15"/>
      <c r="NYF156" s="15"/>
      <c r="NYG156" s="15"/>
      <c r="NYH156" s="15"/>
      <c r="NYI156" s="15"/>
      <c r="NYJ156" s="15"/>
      <c r="NYK156" s="15"/>
      <c r="NYL156" s="15"/>
      <c r="NYM156" s="15"/>
      <c r="NYN156" s="15"/>
      <c r="NYO156" s="15"/>
      <c r="NYP156" s="15"/>
      <c r="NYQ156" s="15"/>
      <c r="NYR156" s="15"/>
      <c r="NYS156" s="15"/>
      <c r="NYT156" s="15"/>
      <c r="NYU156" s="15"/>
      <c r="NYV156" s="15"/>
      <c r="NYW156" s="15"/>
      <c r="NYX156" s="15"/>
      <c r="NYY156" s="15"/>
      <c r="NYZ156" s="15"/>
      <c r="NZA156" s="15"/>
      <c r="NZB156" s="15"/>
      <c r="NZC156" s="15"/>
      <c r="NZD156" s="15"/>
      <c r="NZE156" s="15"/>
      <c r="NZF156" s="15"/>
      <c r="NZG156" s="15"/>
      <c r="NZH156" s="15"/>
      <c r="NZI156" s="15"/>
      <c r="NZJ156" s="15"/>
      <c r="NZK156" s="15"/>
      <c r="NZL156" s="15"/>
      <c r="NZM156" s="15"/>
      <c r="NZN156" s="15"/>
      <c r="NZO156" s="15"/>
      <c r="NZP156" s="15"/>
      <c r="NZQ156" s="15"/>
      <c r="NZR156" s="15"/>
      <c r="NZS156" s="15"/>
      <c r="NZT156" s="15"/>
      <c r="NZU156" s="15"/>
      <c r="NZV156" s="15"/>
      <c r="NZW156" s="15"/>
      <c r="NZX156" s="15"/>
      <c r="NZY156" s="15"/>
      <c r="NZZ156" s="15"/>
      <c r="OAA156" s="15"/>
      <c r="OAB156" s="15"/>
      <c r="OAC156" s="15"/>
      <c r="OAD156" s="15"/>
      <c r="OAE156" s="15"/>
      <c r="OAF156" s="15"/>
      <c r="OAG156" s="15"/>
      <c r="OAH156" s="15"/>
      <c r="OAI156" s="15"/>
      <c r="OAJ156" s="15"/>
      <c r="OAK156" s="15"/>
      <c r="OAL156" s="15"/>
      <c r="OAM156" s="15"/>
      <c r="OAN156" s="15"/>
      <c r="OAO156" s="15"/>
      <c r="OAP156" s="15"/>
      <c r="OAQ156" s="15"/>
      <c r="OAR156" s="15"/>
      <c r="OAS156" s="15"/>
      <c r="OAT156" s="15"/>
      <c r="OAU156" s="15"/>
      <c r="OAV156" s="15"/>
      <c r="OAW156" s="15"/>
      <c r="OAX156" s="15"/>
      <c r="OAY156" s="15"/>
      <c r="OAZ156" s="15"/>
      <c r="OBA156" s="15"/>
      <c r="OBB156" s="15"/>
      <c r="OBC156" s="15"/>
      <c r="OBD156" s="15"/>
      <c r="OBE156" s="15"/>
      <c r="OBF156" s="15"/>
      <c r="OBG156" s="15"/>
      <c r="OBH156" s="15"/>
      <c r="OBI156" s="15"/>
      <c r="OBJ156" s="15"/>
      <c r="OBK156" s="15"/>
      <c r="OBL156" s="15"/>
      <c r="OBM156" s="15"/>
      <c r="OBN156" s="15"/>
      <c r="OBO156" s="15"/>
      <c r="OBP156" s="15"/>
      <c r="OBQ156" s="15"/>
      <c r="OBR156" s="15"/>
      <c r="OBS156" s="15"/>
      <c r="OBT156" s="15"/>
      <c r="OBU156" s="15"/>
      <c r="OBV156" s="15"/>
      <c r="OBW156" s="15"/>
      <c r="OBX156" s="15"/>
      <c r="OBY156" s="15"/>
      <c r="OBZ156" s="15"/>
      <c r="OCA156" s="15"/>
      <c r="OCB156" s="15"/>
      <c r="OCC156" s="15"/>
      <c r="OCD156" s="15"/>
      <c r="OCE156" s="15"/>
      <c r="OCF156" s="15"/>
      <c r="OCG156" s="15"/>
      <c r="OCH156" s="15"/>
      <c r="OCI156" s="15"/>
      <c r="OCJ156" s="15"/>
      <c r="OCK156" s="15"/>
      <c r="OCL156" s="15"/>
      <c r="OCM156" s="15"/>
      <c r="OCN156" s="15"/>
      <c r="OCO156" s="15"/>
      <c r="OCP156" s="15"/>
      <c r="OCQ156" s="15"/>
      <c r="OCR156" s="15"/>
      <c r="OCS156" s="15"/>
      <c r="OCT156" s="15"/>
      <c r="OCU156" s="15"/>
      <c r="OCV156" s="15"/>
      <c r="OCW156" s="15"/>
      <c r="OCX156" s="15"/>
      <c r="OCY156" s="15"/>
      <c r="OCZ156" s="15"/>
      <c r="ODA156" s="15"/>
      <c r="ODB156" s="15"/>
      <c r="ODC156" s="15"/>
      <c r="ODD156" s="15"/>
      <c r="ODE156" s="15"/>
      <c r="ODF156" s="15"/>
      <c r="ODG156" s="15"/>
      <c r="ODH156" s="15"/>
      <c r="ODI156" s="15"/>
      <c r="ODJ156" s="15"/>
      <c r="ODK156" s="15"/>
      <c r="ODL156" s="15"/>
      <c r="ODM156" s="15"/>
      <c r="ODN156" s="15"/>
      <c r="ODO156" s="15"/>
      <c r="ODP156" s="15"/>
      <c r="ODQ156" s="15"/>
      <c r="ODR156" s="15"/>
      <c r="ODS156" s="15"/>
      <c r="ODT156" s="15"/>
      <c r="ODU156" s="15"/>
      <c r="ODV156" s="15"/>
      <c r="ODW156" s="15"/>
      <c r="ODX156" s="15"/>
      <c r="ODY156" s="15"/>
      <c r="ODZ156" s="15"/>
      <c r="OEA156" s="15"/>
      <c r="OEB156" s="15"/>
      <c r="OEC156" s="15"/>
      <c r="OED156" s="15"/>
      <c r="OEE156" s="15"/>
      <c r="OEF156" s="15"/>
      <c r="OEG156" s="15"/>
      <c r="OEH156" s="15"/>
      <c r="OEI156" s="15"/>
      <c r="OEJ156" s="15"/>
      <c r="OEK156" s="15"/>
      <c r="OEL156" s="15"/>
      <c r="OEM156" s="15"/>
      <c r="OEN156" s="15"/>
      <c r="OEO156" s="15"/>
      <c r="OEP156" s="15"/>
      <c r="OEQ156" s="15"/>
      <c r="OER156" s="15"/>
      <c r="OES156" s="15"/>
      <c r="OET156" s="15"/>
      <c r="OEU156" s="15"/>
      <c r="OEV156" s="15"/>
      <c r="OEW156" s="15"/>
      <c r="OEX156" s="15"/>
      <c r="OEY156" s="15"/>
      <c r="OEZ156" s="15"/>
      <c r="OFA156" s="15"/>
      <c r="OFB156" s="15"/>
      <c r="OFC156" s="15"/>
      <c r="OFD156" s="15"/>
      <c r="OFE156" s="15"/>
      <c r="OFF156" s="15"/>
      <c r="OFG156" s="15"/>
      <c r="OFH156" s="15"/>
      <c r="OFI156" s="15"/>
      <c r="OFJ156" s="15"/>
      <c r="OFK156" s="15"/>
      <c r="OFL156" s="15"/>
      <c r="OFM156" s="15"/>
      <c r="OFN156" s="15"/>
      <c r="OFO156" s="15"/>
      <c r="OFP156" s="15"/>
      <c r="OFQ156" s="15"/>
      <c r="OFR156" s="15"/>
      <c r="OFS156" s="15"/>
      <c r="OFT156" s="15"/>
      <c r="OFU156" s="15"/>
      <c r="OFV156" s="15"/>
      <c r="OFW156" s="15"/>
      <c r="OFX156" s="15"/>
      <c r="OFY156" s="15"/>
      <c r="OFZ156" s="15"/>
      <c r="OGA156" s="15"/>
      <c r="OGB156" s="15"/>
      <c r="OGC156" s="15"/>
      <c r="OGD156" s="15"/>
      <c r="OGE156" s="15"/>
      <c r="OGF156" s="15"/>
      <c r="OGG156" s="15"/>
      <c r="OGH156" s="15"/>
      <c r="OGI156" s="15"/>
      <c r="OGJ156" s="15"/>
      <c r="OGK156" s="15"/>
      <c r="OGL156" s="15"/>
      <c r="OGM156" s="15"/>
      <c r="OGN156" s="15"/>
      <c r="OGO156" s="15"/>
      <c r="OGP156" s="15"/>
      <c r="OGQ156" s="15"/>
      <c r="OGR156" s="15"/>
      <c r="OGS156" s="15"/>
      <c r="OGT156" s="15"/>
      <c r="OGU156" s="15"/>
      <c r="OGV156" s="15"/>
      <c r="OGW156" s="15"/>
      <c r="OGX156" s="15"/>
      <c r="OGY156" s="15"/>
      <c r="OGZ156" s="15"/>
      <c r="OHA156" s="15"/>
      <c r="OHB156" s="15"/>
      <c r="OHC156" s="15"/>
      <c r="OHD156" s="15"/>
      <c r="OHE156" s="15"/>
      <c r="OHF156" s="15"/>
      <c r="OHG156" s="15"/>
      <c r="OHH156" s="15"/>
      <c r="OHI156" s="15"/>
      <c r="OHJ156" s="15"/>
      <c r="OHK156" s="15"/>
      <c r="OHL156" s="15"/>
      <c r="OHM156" s="15"/>
      <c r="OHN156" s="15"/>
      <c r="OHO156" s="15"/>
      <c r="OHP156" s="15"/>
      <c r="OHQ156" s="15"/>
      <c r="OHR156" s="15"/>
      <c r="OHS156" s="15"/>
      <c r="OHT156" s="15"/>
      <c r="OHU156" s="15"/>
      <c r="OHV156" s="15"/>
      <c r="OHW156" s="15"/>
      <c r="OHX156" s="15"/>
      <c r="OHY156" s="15"/>
      <c r="OHZ156" s="15"/>
      <c r="OIA156" s="15"/>
      <c r="OIB156" s="15"/>
      <c r="OIC156" s="15"/>
      <c r="OID156" s="15"/>
      <c r="OIE156" s="15"/>
      <c r="OIF156" s="15"/>
      <c r="OIG156" s="15"/>
      <c r="OIH156" s="15"/>
      <c r="OII156" s="15"/>
      <c r="OIJ156" s="15"/>
      <c r="OIK156" s="15"/>
      <c r="OIL156" s="15"/>
      <c r="OIM156" s="15"/>
      <c r="OIN156" s="15"/>
      <c r="OIO156" s="15"/>
      <c r="OIP156" s="15"/>
      <c r="OIQ156" s="15"/>
      <c r="OIR156" s="15"/>
      <c r="OIS156" s="15"/>
      <c r="OIT156" s="15"/>
      <c r="OIU156" s="15"/>
      <c r="OIV156" s="15"/>
      <c r="OIW156" s="15"/>
      <c r="OIX156" s="15"/>
      <c r="OIY156" s="15"/>
      <c r="OIZ156" s="15"/>
      <c r="OJA156" s="15"/>
      <c r="OJB156" s="15"/>
      <c r="OJC156" s="15"/>
      <c r="OJD156" s="15"/>
      <c r="OJE156" s="15"/>
      <c r="OJF156" s="15"/>
      <c r="OJG156" s="15"/>
      <c r="OJH156" s="15"/>
      <c r="OJI156" s="15"/>
      <c r="OJJ156" s="15"/>
      <c r="OJK156" s="15"/>
      <c r="OJL156" s="15"/>
      <c r="OJM156" s="15"/>
      <c r="OJN156" s="15"/>
      <c r="OJO156" s="15"/>
      <c r="OJP156" s="15"/>
      <c r="OJQ156" s="15"/>
      <c r="OJR156" s="15"/>
      <c r="OJS156" s="15"/>
      <c r="OJT156" s="15"/>
      <c r="OJU156" s="15"/>
      <c r="OJV156" s="15"/>
      <c r="OJW156" s="15"/>
      <c r="OJX156" s="15"/>
      <c r="OJY156" s="15"/>
      <c r="OJZ156" s="15"/>
      <c r="OKA156" s="15"/>
      <c r="OKB156" s="15"/>
      <c r="OKC156" s="15"/>
      <c r="OKD156" s="15"/>
      <c r="OKE156" s="15"/>
      <c r="OKF156" s="15"/>
      <c r="OKG156" s="15"/>
      <c r="OKH156" s="15"/>
      <c r="OKI156" s="15"/>
      <c r="OKJ156" s="15"/>
      <c r="OKK156" s="15"/>
      <c r="OKL156" s="15"/>
      <c r="OKM156" s="15"/>
      <c r="OKN156" s="15"/>
      <c r="OKO156" s="15"/>
      <c r="OKP156" s="15"/>
      <c r="OKQ156" s="15"/>
      <c r="OKR156" s="15"/>
      <c r="OKS156" s="15"/>
      <c r="OKT156" s="15"/>
      <c r="OKU156" s="15"/>
      <c r="OKV156" s="15"/>
      <c r="OKW156" s="15"/>
      <c r="OKX156" s="15"/>
      <c r="OKY156" s="15"/>
      <c r="OKZ156" s="15"/>
      <c r="OLA156" s="15"/>
      <c r="OLB156" s="15"/>
      <c r="OLC156" s="15"/>
      <c r="OLD156" s="15"/>
      <c r="OLE156" s="15"/>
      <c r="OLF156" s="15"/>
      <c r="OLG156" s="15"/>
      <c r="OLH156" s="15"/>
      <c r="OLI156" s="15"/>
      <c r="OLJ156" s="15"/>
      <c r="OLK156" s="15"/>
      <c r="OLL156" s="15"/>
      <c r="OLM156" s="15"/>
      <c r="OLN156" s="15"/>
      <c r="OLO156" s="15"/>
      <c r="OLP156" s="15"/>
      <c r="OLQ156" s="15"/>
      <c r="OLR156" s="15"/>
      <c r="OLS156" s="15"/>
      <c r="OLT156" s="15"/>
      <c r="OLU156" s="15"/>
      <c r="OLV156" s="15"/>
      <c r="OLW156" s="15"/>
      <c r="OLX156" s="15"/>
      <c r="OLY156" s="15"/>
      <c r="OLZ156" s="15"/>
      <c r="OMA156" s="15"/>
      <c r="OMB156" s="15"/>
      <c r="OMC156" s="15"/>
      <c r="OMD156" s="15"/>
      <c r="OME156" s="15"/>
      <c r="OMF156" s="15"/>
      <c r="OMG156" s="15"/>
      <c r="OMH156" s="15"/>
      <c r="OMI156" s="15"/>
      <c r="OMJ156" s="15"/>
      <c r="OMK156" s="15"/>
      <c r="OML156" s="15"/>
      <c r="OMM156" s="15"/>
      <c r="OMN156" s="15"/>
      <c r="OMO156" s="15"/>
      <c r="OMP156" s="15"/>
      <c r="OMQ156" s="15"/>
      <c r="OMR156" s="15"/>
      <c r="OMS156" s="15"/>
      <c r="OMT156" s="15"/>
      <c r="OMU156" s="15"/>
      <c r="OMV156" s="15"/>
      <c r="OMW156" s="15"/>
      <c r="OMX156" s="15"/>
      <c r="OMY156" s="15"/>
      <c r="OMZ156" s="15"/>
      <c r="ONA156" s="15"/>
      <c r="ONB156" s="15"/>
      <c r="ONC156" s="15"/>
      <c r="OND156" s="15"/>
      <c r="ONE156" s="15"/>
      <c r="ONF156" s="15"/>
      <c r="ONG156" s="15"/>
      <c r="ONH156" s="15"/>
      <c r="ONI156" s="15"/>
      <c r="ONJ156" s="15"/>
      <c r="ONK156" s="15"/>
      <c r="ONL156" s="15"/>
      <c r="ONM156" s="15"/>
      <c r="ONN156" s="15"/>
      <c r="ONO156" s="15"/>
      <c r="ONP156" s="15"/>
      <c r="ONQ156" s="15"/>
      <c r="ONR156" s="15"/>
      <c r="ONS156" s="15"/>
      <c r="ONT156" s="15"/>
      <c r="ONU156" s="15"/>
      <c r="ONV156" s="15"/>
      <c r="ONW156" s="15"/>
      <c r="ONX156" s="15"/>
      <c r="ONY156" s="15"/>
      <c r="ONZ156" s="15"/>
      <c r="OOA156" s="15"/>
      <c r="OOB156" s="15"/>
      <c r="OOC156" s="15"/>
      <c r="OOD156" s="15"/>
      <c r="OOE156" s="15"/>
      <c r="OOF156" s="15"/>
      <c r="OOG156" s="15"/>
      <c r="OOH156" s="15"/>
      <c r="OOI156" s="15"/>
      <c r="OOJ156" s="15"/>
      <c r="OOK156" s="15"/>
      <c r="OOL156" s="15"/>
      <c r="OOM156" s="15"/>
      <c r="OON156" s="15"/>
      <c r="OOO156" s="15"/>
      <c r="OOP156" s="15"/>
      <c r="OOQ156" s="15"/>
      <c r="OOR156" s="15"/>
      <c r="OOS156" s="15"/>
      <c r="OOT156" s="15"/>
      <c r="OOU156" s="15"/>
      <c r="OOV156" s="15"/>
      <c r="OOW156" s="15"/>
      <c r="OOX156" s="15"/>
      <c r="OOY156" s="15"/>
      <c r="OOZ156" s="15"/>
      <c r="OPA156" s="15"/>
      <c r="OPB156" s="15"/>
      <c r="OPC156" s="15"/>
      <c r="OPD156" s="15"/>
      <c r="OPE156" s="15"/>
      <c r="OPF156" s="15"/>
      <c r="OPG156" s="15"/>
      <c r="OPH156" s="15"/>
      <c r="OPI156" s="15"/>
      <c r="OPJ156" s="15"/>
      <c r="OPK156" s="15"/>
      <c r="OPL156" s="15"/>
      <c r="OPM156" s="15"/>
      <c r="OPN156" s="15"/>
      <c r="OPO156" s="15"/>
      <c r="OPP156" s="15"/>
      <c r="OPQ156" s="15"/>
      <c r="OPR156" s="15"/>
      <c r="OPS156" s="15"/>
      <c r="OPT156" s="15"/>
      <c r="OPU156" s="15"/>
      <c r="OPV156" s="15"/>
      <c r="OPW156" s="15"/>
      <c r="OPX156" s="15"/>
      <c r="OPY156" s="15"/>
      <c r="OPZ156" s="15"/>
      <c r="OQA156" s="15"/>
      <c r="OQB156" s="15"/>
      <c r="OQC156" s="15"/>
      <c r="OQD156" s="15"/>
      <c r="OQE156" s="15"/>
      <c r="OQF156" s="15"/>
      <c r="OQG156" s="15"/>
      <c r="OQH156" s="15"/>
      <c r="OQI156" s="15"/>
      <c r="OQJ156" s="15"/>
      <c r="OQK156" s="15"/>
      <c r="OQL156" s="15"/>
      <c r="OQM156" s="15"/>
      <c r="OQN156" s="15"/>
      <c r="OQO156" s="15"/>
      <c r="OQP156" s="15"/>
      <c r="OQQ156" s="15"/>
      <c r="OQR156" s="15"/>
      <c r="OQS156" s="15"/>
      <c r="OQT156" s="15"/>
      <c r="OQU156" s="15"/>
      <c r="OQV156" s="15"/>
      <c r="OQW156" s="15"/>
      <c r="OQX156" s="15"/>
      <c r="OQY156" s="15"/>
      <c r="OQZ156" s="15"/>
      <c r="ORA156" s="15"/>
      <c r="ORB156" s="15"/>
      <c r="ORC156" s="15"/>
      <c r="ORD156" s="15"/>
      <c r="ORE156" s="15"/>
      <c r="ORF156" s="15"/>
      <c r="ORG156" s="15"/>
      <c r="ORH156" s="15"/>
      <c r="ORI156" s="15"/>
      <c r="ORJ156" s="15"/>
      <c r="ORK156" s="15"/>
      <c r="ORL156" s="15"/>
      <c r="ORM156" s="15"/>
      <c r="ORN156" s="15"/>
      <c r="ORO156" s="15"/>
      <c r="ORP156" s="15"/>
      <c r="ORQ156" s="15"/>
      <c r="ORR156" s="15"/>
      <c r="ORS156" s="15"/>
      <c r="ORT156" s="15"/>
      <c r="ORU156" s="15"/>
      <c r="ORV156" s="15"/>
      <c r="ORW156" s="15"/>
      <c r="ORX156" s="15"/>
      <c r="ORY156" s="15"/>
      <c r="ORZ156" s="15"/>
      <c r="OSA156" s="15"/>
      <c r="OSB156" s="15"/>
      <c r="OSC156" s="15"/>
      <c r="OSD156" s="15"/>
      <c r="OSE156" s="15"/>
      <c r="OSF156" s="15"/>
      <c r="OSG156" s="15"/>
      <c r="OSH156" s="15"/>
      <c r="OSI156" s="15"/>
      <c r="OSJ156" s="15"/>
      <c r="OSK156" s="15"/>
      <c r="OSL156" s="15"/>
      <c r="OSM156" s="15"/>
      <c r="OSN156" s="15"/>
      <c r="OSO156" s="15"/>
      <c r="OSP156" s="15"/>
      <c r="OSQ156" s="15"/>
      <c r="OSR156" s="15"/>
      <c r="OSS156" s="15"/>
      <c r="OST156" s="15"/>
      <c r="OSU156" s="15"/>
      <c r="OSV156" s="15"/>
      <c r="OSW156" s="15"/>
      <c r="OSX156" s="15"/>
      <c r="OSY156" s="15"/>
      <c r="OSZ156" s="15"/>
      <c r="OTA156" s="15"/>
      <c r="OTB156" s="15"/>
      <c r="OTC156" s="15"/>
      <c r="OTD156" s="15"/>
      <c r="OTE156" s="15"/>
      <c r="OTF156" s="15"/>
      <c r="OTG156" s="15"/>
      <c r="OTH156" s="15"/>
      <c r="OTI156" s="15"/>
      <c r="OTJ156" s="15"/>
      <c r="OTK156" s="15"/>
      <c r="OTL156" s="15"/>
      <c r="OTM156" s="15"/>
      <c r="OTN156" s="15"/>
      <c r="OTO156" s="15"/>
      <c r="OTP156" s="15"/>
      <c r="OTQ156" s="15"/>
      <c r="OTR156" s="15"/>
      <c r="OTS156" s="15"/>
      <c r="OTT156" s="15"/>
      <c r="OTU156" s="15"/>
      <c r="OTV156" s="15"/>
      <c r="OTW156" s="15"/>
      <c r="OTX156" s="15"/>
      <c r="OTY156" s="15"/>
      <c r="OTZ156" s="15"/>
      <c r="OUA156" s="15"/>
      <c r="OUB156" s="15"/>
      <c r="OUC156" s="15"/>
      <c r="OUD156" s="15"/>
      <c r="OUE156" s="15"/>
      <c r="OUF156" s="15"/>
      <c r="OUG156" s="15"/>
      <c r="OUH156" s="15"/>
      <c r="OUI156" s="15"/>
      <c r="OUJ156" s="15"/>
      <c r="OUK156" s="15"/>
      <c r="OUL156" s="15"/>
      <c r="OUM156" s="15"/>
      <c r="OUN156" s="15"/>
      <c r="OUO156" s="15"/>
      <c r="OUP156" s="15"/>
      <c r="OUQ156" s="15"/>
      <c r="OUR156" s="15"/>
      <c r="OUS156" s="15"/>
      <c r="OUT156" s="15"/>
      <c r="OUU156" s="15"/>
      <c r="OUV156" s="15"/>
      <c r="OUW156" s="15"/>
      <c r="OUX156" s="15"/>
      <c r="OUY156" s="15"/>
      <c r="OUZ156" s="15"/>
      <c r="OVA156" s="15"/>
      <c r="OVB156" s="15"/>
      <c r="OVC156" s="15"/>
      <c r="OVD156" s="15"/>
      <c r="OVE156" s="15"/>
      <c r="OVF156" s="15"/>
      <c r="OVG156" s="15"/>
      <c r="OVH156" s="15"/>
      <c r="OVI156" s="15"/>
      <c r="OVJ156" s="15"/>
      <c r="OVK156" s="15"/>
      <c r="OVL156" s="15"/>
      <c r="OVM156" s="15"/>
      <c r="OVN156" s="15"/>
      <c r="OVO156" s="15"/>
      <c r="OVP156" s="15"/>
      <c r="OVQ156" s="15"/>
      <c r="OVR156" s="15"/>
      <c r="OVS156" s="15"/>
      <c r="OVT156" s="15"/>
      <c r="OVU156" s="15"/>
      <c r="OVV156" s="15"/>
      <c r="OVW156" s="15"/>
      <c r="OVX156" s="15"/>
      <c r="OVY156" s="15"/>
      <c r="OVZ156" s="15"/>
      <c r="OWA156" s="15"/>
      <c r="OWB156" s="15"/>
      <c r="OWC156" s="15"/>
      <c r="OWD156" s="15"/>
      <c r="OWE156" s="15"/>
      <c r="OWF156" s="15"/>
      <c r="OWG156" s="15"/>
      <c r="OWH156" s="15"/>
      <c r="OWI156" s="15"/>
      <c r="OWJ156" s="15"/>
      <c r="OWK156" s="15"/>
      <c r="OWL156" s="15"/>
      <c r="OWM156" s="15"/>
      <c r="OWN156" s="15"/>
      <c r="OWO156" s="15"/>
      <c r="OWP156" s="15"/>
      <c r="OWQ156" s="15"/>
      <c r="OWR156" s="15"/>
      <c r="OWS156" s="15"/>
      <c r="OWT156" s="15"/>
      <c r="OWU156" s="15"/>
      <c r="OWV156" s="15"/>
      <c r="OWW156" s="15"/>
      <c r="OWX156" s="15"/>
      <c r="OWY156" s="15"/>
      <c r="OWZ156" s="15"/>
      <c r="OXA156" s="15"/>
      <c r="OXB156" s="15"/>
      <c r="OXC156" s="15"/>
      <c r="OXD156" s="15"/>
      <c r="OXE156" s="15"/>
      <c r="OXF156" s="15"/>
      <c r="OXG156" s="15"/>
      <c r="OXH156" s="15"/>
      <c r="OXI156" s="15"/>
      <c r="OXJ156" s="15"/>
      <c r="OXK156" s="15"/>
      <c r="OXL156" s="15"/>
      <c r="OXM156" s="15"/>
      <c r="OXN156" s="15"/>
      <c r="OXO156" s="15"/>
      <c r="OXP156" s="15"/>
      <c r="OXQ156" s="15"/>
      <c r="OXR156" s="15"/>
      <c r="OXS156" s="15"/>
      <c r="OXT156" s="15"/>
      <c r="OXU156" s="15"/>
      <c r="OXV156" s="15"/>
      <c r="OXW156" s="15"/>
      <c r="OXX156" s="15"/>
      <c r="OXY156" s="15"/>
      <c r="OXZ156" s="15"/>
      <c r="OYA156" s="15"/>
      <c r="OYB156" s="15"/>
      <c r="OYC156" s="15"/>
      <c r="OYD156" s="15"/>
      <c r="OYE156" s="15"/>
      <c r="OYF156" s="15"/>
      <c r="OYG156" s="15"/>
      <c r="OYH156" s="15"/>
      <c r="OYI156" s="15"/>
      <c r="OYJ156" s="15"/>
      <c r="OYK156" s="15"/>
      <c r="OYL156" s="15"/>
      <c r="OYM156" s="15"/>
      <c r="OYN156" s="15"/>
      <c r="OYO156" s="15"/>
      <c r="OYP156" s="15"/>
      <c r="OYQ156" s="15"/>
      <c r="OYR156" s="15"/>
      <c r="OYS156" s="15"/>
      <c r="OYT156" s="15"/>
      <c r="OYU156" s="15"/>
      <c r="OYV156" s="15"/>
      <c r="OYW156" s="15"/>
      <c r="OYX156" s="15"/>
      <c r="OYY156" s="15"/>
      <c r="OYZ156" s="15"/>
      <c r="OZA156" s="15"/>
      <c r="OZB156" s="15"/>
      <c r="OZC156" s="15"/>
      <c r="OZD156" s="15"/>
      <c r="OZE156" s="15"/>
      <c r="OZF156" s="15"/>
      <c r="OZG156" s="15"/>
      <c r="OZH156" s="15"/>
      <c r="OZI156" s="15"/>
      <c r="OZJ156" s="15"/>
      <c r="OZK156" s="15"/>
      <c r="OZL156" s="15"/>
      <c r="OZM156" s="15"/>
      <c r="OZN156" s="15"/>
      <c r="OZO156" s="15"/>
      <c r="OZP156" s="15"/>
      <c r="OZQ156" s="15"/>
      <c r="OZR156" s="15"/>
      <c r="OZS156" s="15"/>
      <c r="OZT156" s="15"/>
      <c r="OZU156" s="15"/>
      <c r="OZV156" s="15"/>
      <c r="OZW156" s="15"/>
      <c r="OZX156" s="15"/>
      <c r="OZY156" s="15"/>
      <c r="OZZ156" s="15"/>
      <c r="PAA156" s="15"/>
      <c r="PAB156" s="15"/>
      <c r="PAC156" s="15"/>
      <c r="PAD156" s="15"/>
      <c r="PAE156" s="15"/>
      <c r="PAF156" s="15"/>
      <c r="PAG156" s="15"/>
      <c r="PAH156" s="15"/>
      <c r="PAI156" s="15"/>
      <c r="PAJ156" s="15"/>
      <c r="PAK156" s="15"/>
      <c r="PAL156" s="15"/>
      <c r="PAM156" s="15"/>
      <c r="PAN156" s="15"/>
      <c r="PAO156" s="15"/>
      <c r="PAP156" s="15"/>
      <c r="PAQ156" s="15"/>
      <c r="PAR156" s="15"/>
      <c r="PAS156" s="15"/>
      <c r="PAT156" s="15"/>
      <c r="PAU156" s="15"/>
      <c r="PAV156" s="15"/>
      <c r="PAW156" s="15"/>
      <c r="PAX156" s="15"/>
      <c r="PAY156" s="15"/>
      <c r="PAZ156" s="15"/>
      <c r="PBA156" s="15"/>
      <c r="PBB156" s="15"/>
      <c r="PBC156" s="15"/>
      <c r="PBD156" s="15"/>
      <c r="PBE156" s="15"/>
      <c r="PBF156" s="15"/>
      <c r="PBG156" s="15"/>
      <c r="PBH156" s="15"/>
      <c r="PBI156" s="15"/>
      <c r="PBJ156" s="15"/>
      <c r="PBK156" s="15"/>
      <c r="PBL156" s="15"/>
      <c r="PBM156" s="15"/>
      <c r="PBN156" s="15"/>
      <c r="PBO156" s="15"/>
      <c r="PBP156" s="15"/>
      <c r="PBQ156" s="15"/>
      <c r="PBR156" s="15"/>
      <c r="PBS156" s="15"/>
      <c r="PBT156" s="15"/>
      <c r="PBU156" s="15"/>
      <c r="PBV156" s="15"/>
      <c r="PBW156" s="15"/>
      <c r="PBX156" s="15"/>
      <c r="PBY156" s="15"/>
      <c r="PBZ156" s="15"/>
      <c r="PCA156" s="15"/>
      <c r="PCB156" s="15"/>
      <c r="PCC156" s="15"/>
      <c r="PCD156" s="15"/>
      <c r="PCE156" s="15"/>
      <c r="PCF156" s="15"/>
      <c r="PCG156" s="15"/>
      <c r="PCH156" s="15"/>
      <c r="PCI156" s="15"/>
      <c r="PCJ156" s="15"/>
      <c r="PCK156" s="15"/>
      <c r="PCL156" s="15"/>
      <c r="PCM156" s="15"/>
      <c r="PCN156" s="15"/>
      <c r="PCO156" s="15"/>
      <c r="PCP156" s="15"/>
      <c r="PCQ156" s="15"/>
      <c r="PCR156" s="15"/>
      <c r="PCS156" s="15"/>
      <c r="PCT156" s="15"/>
      <c r="PCU156" s="15"/>
      <c r="PCV156" s="15"/>
      <c r="PCW156" s="15"/>
      <c r="PCX156" s="15"/>
      <c r="PCY156" s="15"/>
      <c r="PCZ156" s="15"/>
      <c r="PDA156" s="15"/>
      <c r="PDB156" s="15"/>
      <c r="PDC156" s="15"/>
      <c r="PDD156" s="15"/>
      <c r="PDE156" s="15"/>
      <c r="PDF156" s="15"/>
      <c r="PDG156" s="15"/>
      <c r="PDH156" s="15"/>
      <c r="PDI156" s="15"/>
      <c r="PDJ156" s="15"/>
      <c r="PDK156" s="15"/>
      <c r="PDL156" s="15"/>
      <c r="PDM156" s="15"/>
      <c r="PDN156" s="15"/>
      <c r="PDO156" s="15"/>
      <c r="PDP156" s="15"/>
      <c r="PDQ156" s="15"/>
      <c r="PDR156" s="15"/>
      <c r="PDS156" s="15"/>
      <c r="PDT156" s="15"/>
      <c r="PDU156" s="15"/>
      <c r="PDV156" s="15"/>
      <c r="PDW156" s="15"/>
      <c r="PDX156" s="15"/>
      <c r="PDY156" s="15"/>
      <c r="PDZ156" s="15"/>
      <c r="PEA156" s="15"/>
      <c r="PEB156" s="15"/>
      <c r="PEC156" s="15"/>
      <c r="PED156" s="15"/>
      <c r="PEE156" s="15"/>
      <c r="PEF156" s="15"/>
      <c r="PEG156" s="15"/>
      <c r="PEH156" s="15"/>
      <c r="PEI156" s="15"/>
      <c r="PEJ156" s="15"/>
      <c r="PEK156" s="15"/>
      <c r="PEL156" s="15"/>
      <c r="PEM156" s="15"/>
      <c r="PEN156" s="15"/>
      <c r="PEO156" s="15"/>
      <c r="PEP156" s="15"/>
      <c r="PEQ156" s="15"/>
      <c r="PER156" s="15"/>
      <c r="PES156" s="15"/>
      <c r="PET156" s="15"/>
      <c r="PEU156" s="15"/>
      <c r="PEV156" s="15"/>
      <c r="PEW156" s="15"/>
      <c r="PEX156" s="15"/>
      <c r="PEY156" s="15"/>
      <c r="PEZ156" s="15"/>
      <c r="PFA156" s="15"/>
      <c r="PFB156" s="15"/>
      <c r="PFC156" s="15"/>
      <c r="PFD156" s="15"/>
      <c r="PFE156" s="15"/>
      <c r="PFF156" s="15"/>
      <c r="PFG156" s="15"/>
      <c r="PFH156" s="15"/>
      <c r="PFI156" s="15"/>
      <c r="PFJ156" s="15"/>
      <c r="PFK156" s="15"/>
      <c r="PFL156" s="15"/>
      <c r="PFM156" s="15"/>
      <c r="PFN156" s="15"/>
      <c r="PFO156" s="15"/>
      <c r="PFP156" s="15"/>
      <c r="PFQ156" s="15"/>
      <c r="PFR156" s="15"/>
      <c r="PFS156" s="15"/>
      <c r="PFT156" s="15"/>
      <c r="PFU156" s="15"/>
      <c r="PFV156" s="15"/>
      <c r="PFW156" s="15"/>
      <c r="PFX156" s="15"/>
      <c r="PFY156" s="15"/>
      <c r="PFZ156" s="15"/>
      <c r="PGA156" s="15"/>
      <c r="PGB156" s="15"/>
      <c r="PGC156" s="15"/>
      <c r="PGD156" s="15"/>
      <c r="PGE156" s="15"/>
      <c r="PGF156" s="15"/>
      <c r="PGG156" s="15"/>
      <c r="PGH156" s="15"/>
      <c r="PGI156" s="15"/>
      <c r="PGJ156" s="15"/>
      <c r="PGK156" s="15"/>
      <c r="PGL156" s="15"/>
      <c r="PGM156" s="15"/>
      <c r="PGN156" s="15"/>
      <c r="PGO156" s="15"/>
      <c r="PGP156" s="15"/>
      <c r="PGQ156" s="15"/>
      <c r="PGR156" s="15"/>
      <c r="PGS156" s="15"/>
      <c r="PGT156" s="15"/>
      <c r="PGU156" s="15"/>
      <c r="PGV156" s="15"/>
      <c r="PGW156" s="15"/>
      <c r="PGX156" s="15"/>
      <c r="PGY156" s="15"/>
      <c r="PGZ156" s="15"/>
      <c r="PHA156" s="15"/>
      <c r="PHB156" s="15"/>
      <c r="PHC156" s="15"/>
      <c r="PHD156" s="15"/>
      <c r="PHE156" s="15"/>
      <c r="PHF156" s="15"/>
      <c r="PHG156" s="15"/>
      <c r="PHH156" s="15"/>
      <c r="PHI156" s="15"/>
      <c r="PHJ156" s="15"/>
      <c r="PHK156" s="15"/>
      <c r="PHL156" s="15"/>
      <c r="PHM156" s="15"/>
      <c r="PHN156" s="15"/>
      <c r="PHO156" s="15"/>
      <c r="PHP156" s="15"/>
      <c r="PHQ156" s="15"/>
      <c r="PHR156" s="15"/>
      <c r="PHS156" s="15"/>
      <c r="PHT156" s="15"/>
      <c r="PHU156" s="15"/>
      <c r="PHV156" s="15"/>
      <c r="PHW156" s="15"/>
      <c r="PHX156" s="15"/>
      <c r="PHY156" s="15"/>
      <c r="PHZ156" s="15"/>
      <c r="PIA156" s="15"/>
      <c r="PIB156" s="15"/>
      <c r="PIC156" s="15"/>
      <c r="PID156" s="15"/>
      <c r="PIE156" s="15"/>
      <c r="PIF156" s="15"/>
      <c r="PIG156" s="15"/>
      <c r="PIH156" s="15"/>
      <c r="PII156" s="15"/>
      <c r="PIJ156" s="15"/>
      <c r="PIK156" s="15"/>
      <c r="PIL156" s="15"/>
      <c r="PIM156" s="15"/>
      <c r="PIN156" s="15"/>
      <c r="PIO156" s="15"/>
      <c r="PIP156" s="15"/>
      <c r="PIQ156" s="15"/>
      <c r="PIR156" s="15"/>
      <c r="PIS156" s="15"/>
      <c r="PIT156" s="15"/>
      <c r="PIU156" s="15"/>
      <c r="PIV156" s="15"/>
      <c r="PIW156" s="15"/>
      <c r="PIX156" s="15"/>
      <c r="PIY156" s="15"/>
      <c r="PIZ156" s="15"/>
      <c r="PJA156" s="15"/>
      <c r="PJB156" s="15"/>
      <c r="PJC156" s="15"/>
      <c r="PJD156" s="15"/>
      <c r="PJE156" s="15"/>
      <c r="PJF156" s="15"/>
      <c r="PJG156" s="15"/>
      <c r="PJH156" s="15"/>
      <c r="PJI156" s="15"/>
      <c r="PJJ156" s="15"/>
      <c r="PJK156" s="15"/>
      <c r="PJL156" s="15"/>
      <c r="PJM156" s="15"/>
      <c r="PJN156" s="15"/>
      <c r="PJO156" s="15"/>
      <c r="PJP156" s="15"/>
      <c r="PJQ156" s="15"/>
      <c r="PJR156" s="15"/>
      <c r="PJS156" s="15"/>
      <c r="PJT156" s="15"/>
      <c r="PJU156" s="15"/>
      <c r="PJV156" s="15"/>
      <c r="PJW156" s="15"/>
      <c r="PJX156" s="15"/>
      <c r="PJY156" s="15"/>
      <c r="PJZ156" s="15"/>
      <c r="PKA156" s="15"/>
      <c r="PKB156" s="15"/>
      <c r="PKC156" s="15"/>
      <c r="PKD156" s="15"/>
      <c r="PKE156" s="15"/>
      <c r="PKF156" s="15"/>
      <c r="PKG156" s="15"/>
      <c r="PKH156" s="15"/>
      <c r="PKI156" s="15"/>
      <c r="PKJ156" s="15"/>
      <c r="PKK156" s="15"/>
      <c r="PKL156" s="15"/>
      <c r="PKM156" s="15"/>
      <c r="PKN156" s="15"/>
      <c r="PKO156" s="15"/>
      <c r="PKP156" s="15"/>
      <c r="PKQ156" s="15"/>
      <c r="PKR156" s="15"/>
      <c r="PKS156" s="15"/>
      <c r="PKT156" s="15"/>
      <c r="PKU156" s="15"/>
      <c r="PKV156" s="15"/>
      <c r="PKW156" s="15"/>
      <c r="PKX156" s="15"/>
      <c r="PKY156" s="15"/>
      <c r="PKZ156" s="15"/>
      <c r="PLA156" s="15"/>
      <c r="PLB156" s="15"/>
      <c r="PLC156" s="15"/>
      <c r="PLD156" s="15"/>
      <c r="PLE156" s="15"/>
      <c r="PLF156" s="15"/>
      <c r="PLG156" s="15"/>
      <c r="PLH156" s="15"/>
      <c r="PLI156" s="15"/>
      <c r="PLJ156" s="15"/>
      <c r="PLK156" s="15"/>
      <c r="PLL156" s="15"/>
      <c r="PLM156" s="15"/>
      <c r="PLN156" s="15"/>
      <c r="PLO156" s="15"/>
      <c r="PLP156" s="15"/>
      <c r="PLQ156" s="15"/>
      <c r="PLR156" s="15"/>
      <c r="PLS156" s="15"/>
      <c r="PLT156" s="15"/>
      <c r="PLU156" s="15"/>
      <c r="PLV156" s="15"/>
      <c r="PLW156" s="15"/>
      <c r="PLX156" s="15"/>
      <c r="PLY156" s="15"/>
      <c r="PLZ156" s="15"/>
      <c r="PMA156" s="15"/>
      <c r="PMB156" s="15"/>
      <c r="PMC156" s="15"/>
      <c r="PMD156" s="15"/>
      <c r="PME156" s="15"/>
      <c r="PMF156" s="15"/>
      <c r="PMG156" s="15"/>
      <c r="PMH156" s="15"/>
      <c r="PMI156" s="15"/>
      <c r="PMJ156" s="15"/>
      <c r="PMK156" s="15"/>
      <c r="PML156" s="15"/>
      <c r="PMM156" s="15"/>
      <c r="PMN156" s="15"/>
      <c r="PMO156" s="15"/>
      <c r="PMP156" s="15"/>
      <c r="PMQ156" s="15"/>
      <c r="PMR156" s="15"/>
      <c r="PMS156" s="15"/>
      <c r="PMT156" s="15"/>
      <c r="PMU156" s="15"/>
      <c r="PMV156" s="15"/>
      <c r="PMW156" s="15"/>
      <c r="PMX156" s="15"/>
      <c r="PMY156" s="15"/>
      <c r="PMZ156" s="15"/>
      <c r="PNA156" s="15"/>
      <c r="PNB156" s="15"/>
      <c r="PNC156" s="15"/>
      <c r="PND156" s="15"/>
      <c r="PNE156" s="15"/>
      <c r="PNF156" s="15"/>
      <c r="PNG156" s="15"/>
      <c r="PNH156" s="15"/>
      <c r="PNI156" s="15"/>
      <c r="PNJ156" s="15"/>
      <c r="PNK156" s="15"/>
      <c r="PNL156" s="15"/>
      <c r="PNM156" s="15"/>
      <c r="PNN156" s="15"/>
      <c r="PNO156" s="15"/>
      <c r="PNP156" s="15"/>
      <c r="PNQ156" s="15"/>
      <c r="PNR156" s="15"/>
      <c r="PNS156" s="15"/>
      <c r="PNT156" s="15"/>
      <c r="PNU156" s="15"/>
      <c r="PNV156" s="15"/>
      <c r="PNW156" s="15"/>
      <c r="PNX156" s="15"/>
      <c r="PNY156" s="15"/>
      <c r="PNZ156" s="15"/>
      <c r="POA156" s="15"/>
      <c r="POB156" s="15"/>
      <c r="POC156" s="15"/>
      <c r="POD156" s="15"/>
      <c r="POE156" s="15"/>
      <c r="POF156" s="15"/>
      <c r="POG156" s="15"/>
      <c r="POH156" s="15"/>
      <c r="POI156" s="15"/>
      <c r="POJ156" s="15"/>
      <c r="POK156" s="15"/>
      <c r="POL156" s="15"/>
      <c r="POM156" s="15"/>
      <c r="PON156" s="15"/>
      <c r="POO156" s="15"/>
      <c r="POP156" s="15"/>
      <c r="POQ156" s="15"/>
      <c r="POR156" s="15"/>
      <c r="POS156" s="15"/>
      <c r="POT156" s="15"/>
      <c r="POU156" s="15"/>
      <c r="POV156" s="15"/>
      <c r="POW156" s="15"/>
      <c r="POX156" s="15"/>
      <c r="POY156" s="15"/>
      <c r="POZ156" s="15"/>
      <c r="PPA156" s="15"/>
      <c r="PPB156" s="15"/>
      <c r="PPC156" s="15"/>
      <c r="PPD156" s="15"/>
      <c r="PPE156" s="15"/>
      <c r="PPF156" s="15"/>
      <c r="PPG156" s="15"/>
      <c r="PPH156" s="15"/>
      <c r="PPI156" s="15"/>
      <c r="PPJ156" s="15"/>
      <c r="PPK156" s="15"/>
      <c r="PPL156" s="15"/>
      <c r="PPM156" s="15"/>
      <c r="PPN156" s="15"/>
      <c r="PPO156" s="15"/>
      <c r="PPP156" s="15"/>
      <c r="PPQ156" s="15"/>
      <c r="PPR156" s="15"/>
      <c r="PPS156" s="15"/>
      <c r="PPT156" s="15"/>
      <c r="PPU156" s="15"/>
      <c r="PPV156" s="15"/>
      <c r="PPW156" s="15"/>
      <c r="PPX156" s="15"/>
      <c r="PPY156" s="15"/>
      <c r="PPZ156" s="15"/>
      <c r="PQA156" s="15"/>
      <c r="PQB156" s="15"/>
      <c r="PQC156" s="15"/>
      <c r="PQD156" s="15"/>
      <c r="PQE156" s="15"/>
      <c r="PQF156" s="15"/>
      <c r="PQG156" s="15"/>
      <c r="PQH156" s="15"/>
      <c r="PQI156" s="15"/>
      <c r="PQJ156" s="15"/>
      <c r="PQK156" s="15"/>
      <c r="PQL156" s="15"/>
      <c r="PQM156" s="15"/>
      <c r="PQN156" s="15"/>
      <c r="PQO156" s="15"/>
      <c r="PQP156" s="15"/>
      <c r="PQQ156" s="15"/>
      <c r="PQR156" s="15"/>
      <c r="PQS156" s="15"/>
      <c r="PQT156" s="15"/>
      <c r="PQU156" s="15"/>
      <c r="PQV156" s="15"/>
      <c r="PQW156" s="15"/>
      <c r="PQX156" s="15"/>
      <c r="PQY156" s="15"/>
      <c r="PQZ156" s="15"/>
      <c r="PRA156" s="15"/>
      <c r="PRB156" s="15"/>
      <c r="PRC156" s="15"/>
      <c r="PRD156" s="15"/>
      <c r="PRE156" s="15"/>
      <c r="PRF156" s="15"/>
      <c r="PRG156" s="15"/>
      <c r="PRH156" s="15"/>
      <c r="PRI156" s="15"/>
      <c r="PRJ156" s="15"/>
      <c r="PRK156" s="15"/>
      <c r="PRL156" s="15"/>
      <c r="PRM156" s="15"/>
      <c r="PRN156" s="15"/>
      <c r="PRO156" s="15"/>
      <c r="PRP156" s="15"/>
      <c r="PRQ156" s="15"/>
      <c r="PRR156" s="15"/>
      <c r="PRS156" s="15"/>
      <c r="PRT156" s="15"/>
      <c r="PRU156" s="15"/>
      <c r="PRV156" s="15"/>
      <c r="PRW156" s="15"/>
      <c r="PRX156" s="15"/>
      <c r="PRY156" s="15"/>
      <c r="PRZ156" s="15"/>
      <c r="PSA156" s="15"/>
      <c r="PSB156" s="15"/>
      <c r="PSC156" s="15"/>
      <c r="PSD156" s="15"/>
      <c r="PSE156" s="15"/>
      <c r="PSF156" s="15"/>
      <c r="PSG156" s="15"/>
      <c r="PSH156" s="15"/>
      <c r="PSI156" s="15"/>
      <c r="PSJ156" s="15"/>
      <c r="PSK156" s="15"/>
      <c r="PSL156" s="15"/>
      <c r="PSM156" s="15"/>
      <c r="PSN156" s="15"/>
      <c r="PSO156" s="15"/>
      <c r="PSP156" s="15"/>
      <c r="PSQ156" s="15"/>
      <c r="PSR156" s="15"/>
      <c r="PSS156" s="15"/>
      <c r="PST156" s="15"/>
      <c r="PSU156" s="15"/>
      <c r="PSV156" s="15"/>
      <c r="PSW156" s="15"/>
      <c r="PSX156" s="15"/>
      <c r="PSY156" s="15"/>
      <c r="PSZ156" s="15"/>
      <c r="PTA156" s="15"/>
      <c r="PTB156" s="15"/>
      <c r="PTC156" s="15"/>
      <c r="PTD156" s="15"/>
      <c r="PTE156" s="15"/>
      <c r="PTF156" s="15"/>
      <c r="PTG156" s="15"/>
      <c r="PTH156" s="15"/>
      <c r="PTI156" s="15"/>
      <c r="PTJ156" s="15"/>
      <c r="PTK156" s="15"/>
      <c r="PTL156" s="15"/>
      <c r="PTM156" s="15"/>
      <c r="PTN156" s="15"/>
      <c r="PTO156" s="15"/>
      <c r="PTP156" s="15"/>
      <c r="PTQ156" s="15"/>
      <c r="PTR156" s="15"/>
      <c r="PTS156" s="15"/>
      <c r="PTT156" s="15"/>
      <c r="PTU156" s="15"/>
      <c r="PTV156" s="15"/>
      <c r="PTW156" s="15"/>
      <c r="PTX156" s="15"/>
      <c r="PTY156" s="15"/>
      <c r="PTZ156" s="15"/>
      <c r="PUA156" s="15"/>
      <c r="PUB156" s="15"/>
      <c r="PUC156" s="15"/>
      <c r="PUD156" s="15"/>
      <c r="PUE156" s="15"/>
      <c r="PUF156" s="15"/>
      <c r="PUG156" s="15"/>
      <c r="PUH156" s="15"/>
      <c r="PUI156" s="15"/>
      <c r="PUJ156" s="15"/>
      <c r="PUK156" s="15"/>
      <c r="PUL156" s="15"/>
      <c r="PUM156" s="15"/>
      <c r="PUN156" s="15"/>
      <c r="PUO156" s="15"/>
      <c r="PUP156" s="15"/>
      <c r="PUQ156" s="15"/>
      <c r="PUR156" s="15"/>
      <c r="PUS156" s="15"/>
      <c r="PUT156" s="15"/>
      <c r="PUU156" s="15"/>
      <c r="PUV156" s="15"/>
      <c r="PUW156" s="15"/>
      <c r="PUX156" s="15"/>
      <c r="PUY156" s="15"/>
      <c r="PUZ156" s="15"/>
      <c r="PVA156" s="15"/>
      <c r="PVB156" s="15"/>
      <c r="PVC156" s="15"/>
      <c r="PVD156" s="15"/>
      <c r="PVE156" s="15"/>
      <c r="PVF156" s="15"/>
      <c r="PVG156" s="15"/>
      <c r="PVH156" s="15"/>
      <c r="PVI156" s="15"/>
      <c r="PVJ156" s="15"/>
      <c r="PVK156" s="15"/>
      <c r="PVL156" s="15"/>
      <c r="PVM156" s="15"/>
      <c r="PVN156" s="15"/>
      <c r="PVO156" s="15"/>
      <c r="PVP156" s="15"/>
      <c r="PVQ156" s="15"/>
      <c r="PVR156" s="15"/>
      <c r="PVS156" s="15"/>
      <c r="PVT156" s="15"/>
      <c r="PVU156" s="15"/>
      <c r="PVV156" s="15"/>
      <c r="PVW156" s="15"/>
      <c r="PVX156" s="15"/>
      <c r="PVY156" s="15"/>
      <c r="PVZ156" s="15"/>
      <c r="PWA156" s="15"/>
      <c r="PWB156" s="15"/>
      <c r="PWC156" s="15"/>
      <c r="PWD156" s="15"/>
      <c r="PWE156" s="15"/>
      <c r="PWF156" s="15"/>
      <c r="PWG156" s="15"/>
      <c r="PWH156" s="15"/>
      <c r="PWI156" s="15"/>
      <c r="PWJ156" s="15"/>
      <c r="PWK156" s="15"/>
      <c r="PWL156" s="15"/>
      <c r="PWM156" s="15"/>
      <c r="PWN156" s="15"/>
      <c r="PWO156" s="15"/>
      <c r="PWP156" s="15"/>
      <c r="PWQ156" s="15"/>
      <c r="PWR156" s="15"/>
      <c r="PWS156" s="15"/>
      <c r="PWT156" s="15"/>
      <c r="PWU156" s="15"/>
      <c r="PWV156" s="15"/>
      <c r="PWW156" s="15"/>
      <c r="PWX156" s="15"/>
      <c r="PWY156" s="15"/>
      <c r="PWZ156" s="15"/>
      <c r="PXA156" s="15"/>
      <c r="PXB156" s="15"/>
      <c r="PXC156" s="15"/>
      <c r="PXD156" s="15"/>
      <c r="PXE156" s="15"/>
      <c r="PXF156" s="15"/>
      <c r="PXG156" s="15"/>
      <c r="PXH156" s="15"/>
      <c r="PXI156" s="15"/>
      <c r="PXJ156" s="15"/>
      <c r="PXK156" s="15"/>
      <c r="PXL156" s="15"/>
      <c r="PXM156" s="15"/>
      <c r="PXN156" s="15"/>
      <c r="PXO156" s="15"/>
      <c r="PXP156" s="15"/>
      <c r="PXQ156" s="15"/>
      <c r="PXR156" s="15"/>
      <c r="PXS156" s="15"/>
      <c r="PXT156" s="15"/>
      <c r="PXU156" s="15"/>
      <c r="PXV156" s="15"/>
      <c r="PXW156" s="15"/>
      <c r="PXX156" s="15"/>
      <c r="PXY156" s="15"/>
      <c r="PXZ156" s="15"/>
      <c r="PYA156" s="15"/>
      <c r="PYB156" s="15"/>
      <c r="PYC156" s="15"/>
      <c r="PYD156" s="15"/>
      <c r="PYE156" s="15"/>
      <c r="PYF156" s="15"/>
      <c r="PYG156" s="15"/>
      <c r="PYH156" s="15"/>
      <c r="PYI156" s="15"/>
      <c r="PYJ156" s="15"/>
      <c r="PYK156" s="15"/>
      <c r="PYL156" s="15"/>
      <c r="PYM156" s="15"/>
      <c r="PYN156" s="15"/>
      <c r="PYO156" s="15"/>
      <c r="PYP156" s="15"/>
      <c r="PYQ156" s="15"/>
      <c r="PYR156" s="15"/>
      <c r="PYS156" s="15"/>
      <c r="PYT156" s="15"/>
      <c r="PYU156" s="15"/>
      <c r="PYV156" s="15"/>
      <c r="PYW156" s="15"/>
      <c r="PYX156" s="15"/>
      <c r="PYY156" s="15"/>
      <c r="PYZ156" s="15"/>
      <c r="PZA156" s="15"/>
      <c r="PZB156" s="15"/>
      <c r="PZC156" s="15"/>
      <c r="PZD156" s="15"/>
      <c r="PZE156" s="15"/>
      <c r="PZF156" s="15"/>
      <c r="PZG156" s="15"/>
      <c r="PZH156" s="15"/>
      <c r="PZI156" s="15"/>
      <c r="PZJ156" s="15"/>
      <c r="PZK156" s="15"/>
      <c r="PZL156" s="15"/>
      <c r="PZM156" s="15"/>
      <c r="PZN156" s="15"/>
      <c r="PZO156" s="15"/>
      <c r="PZP156" s="15"/>
      <c r="PZQ156" s="15"/>
      <c r="PZR156" s="15"/>
      <c r="PZS156" s="15"/>
      <c r="PZT156" s="15"/>
      <c r="PZU156" s="15"/>
      <c r="PZV156" s="15"/>
      <c r="PZW156" s="15"/>
      <c r="PZX156" s="15"/>
      <c r="PZY156" s="15"/>
      <c r="PZZ156" s="15"/>
      <c r="QAA156" s="15"/>
      <c r="QAB156" s="15"/>
      <c r="QAC156" s="15"/>
      <c r="QAD156" s="15"/>
      <c r="QAE156" s="15"/>
      <c r="QAF156" s="15"/>
      <c r="QAG156" s="15"/>
      <c r="QAH156" s="15"/>
      <c r="QAI156" s="15"/>
      <c r="QAJ156" s="15"/>
      <c r="QAK156" s="15"/>
      <c r="QAL156" s="15"/>
      <c r="QAM156" s="15"/>
      <c r="QAN156" s="15"/>
      <c r="QAO156" s="15"/>
      <c r="QAP156" s="15"/>
      <c r="QAQ156" s="15"/>
      <c r="QAR156" s="15"/>
      <c r="QAS156" s="15"/>
      <c r="QAT156" s="15"/>
      <c r="QAU156" s="15"/>
      <c r="QAV156" s="15"/>
      <c r="QAW156" s="15"/>
      <c r="QAX156" s="15"/>
      <c r="QAY156" s="15"/>
      <c r="QAZ156" s="15"/>
      <c r="QBA156" s="15"/>
      <c r="QBB156" s="15"/>
      <c r="QBC156" s="15"/>
      <c r="QBD156" s="15"/>
      <c r="QBE156" s="15"/>
      <c r="QBF156" s="15"/>
      <c r="QBG156" s="15"/>
      <c r="QBH156" s="15"/>
      <c r="QBI156" s="15"/>
      <c r="QBJ156" s="15"/>
      <c r="QBK156" s="15"/>
      <c r="QBL156" s="15"/>
      <c r="QBM156" s="15"/>
      <c r="QBN156" s="15"/>
      <c r="QBO156" s="15"/>
      <c r="QBP156" s="15"/>
      <c r="QBQ156" s="15"/>
      <c r="QBR156" s="15"/>
      <c r="QBS156" s="15"/>
      <c r="QBT156" s="15"/>
      <c r="QBU156" s="15"/>
      <c r="QBV156" s="15"/>
      <c r="QBW156" s="15"/>
      <c r="QBX156" s="15"/>
      <c r="QBY156" s="15"/>
      <c r="QBZ156" s="15"/>
      <c r="QCA156" s="15"/>
      <c r="QCB156" s="15"/>
      <c r="QCC156" s="15"/>
      <c r="QCD156" s="15"/>
      <c r="QCE156" s="15"/>
      <c r="QCF156" s="15"/>
      <c r="QCG156" s="15"/>
      <c r="QCH156" s="15"/>
      <c r="QCI156" s="15"/>
      <c r="QCJ156" s="15"/>
      <c r="QCK156" s="15"/>
      <c r="QCL156" s="15"/>
      <c r="QCM156" s="15"/>
      <c r="QCN156" s="15"/>
      <c r="QCO156" s="15"/>
      <c r="QCP156" s="15"/>
      <c r="QCQ156" s="15"/>
      <c r="QCR156" s="15"/>
      <c r="QCS156" s="15"/>
      <c r="QCT156" s="15"/>
      <c r="QCU156" s="15"/>
      <c r="QCV156" s="15"/>
      <c r="QCW156" s="15"/>
      <c r="QCX156" s="15"/>
      <c r="QCY156" s="15"/>
      <c r="QCZ156" s="15"/>
      <c r="QDA156" s="15"/>
      <c r="QDB156" s="15"/>
      <c r="QDC156" s="15"/>
      <c r="QDD156" s="15"/>
      <c r="QDE156" s="15"/>
      <c r="QDF156" s="15"/>
      <c r="QDG156" s="15"/>
      <c r="QDH156" s="15"/>
      <c r="QDI156" s="15"/>
      <c r="QDJ156" s="15"/>
      <c r="QDK156" s="15"/>
      <c r="QDL156" s="15"/>
      <c r="QDM156" s="15"/>
      <c r="QDN156" s="15"/>
      <c r="QDO156" s="15"/>
      <c r="QDP156" s="15"/>
      <c r="QDQ156" s="15"/>
      <c r="QDR156" s="15"/>
      <c r="QDS156" s="15"/>
      <c r="QDT156" s="15"/>
      <c r="QDU156" s="15"/>
      <c r="QDV156" s="15"/>
      <c r="QDW156" s="15"/>
      <c r="QDX156" s="15"/>
      <c r="QDY156" s="15"/>
      <c r="QDZ156" s="15"/>
      <c r="QEA156" s="15"/>
      <c r="QEB156" s="15"/>
      <c r="QEC156" s="15"/>
      <c r="QED156" s="15"/>
      <c r="QEE156" s="15"/>
      <c r="QEF156" s="15"/>
      <c r="QEG156" s="15"/>
      <c r="QEH156" s="15"/>
      <c r="QEI156" s="15"/>
      <c r="QEJ156" s="15"/>
      <c r="QEK156" s="15"/>
      <c r="QEL156" s="15"/>
      <c r="QEM156" s="15"/>
      <c r="QEN156" s="15"/>
      <c r="QEO156" s="15"/>
      <c r="QEP156" s="15"/>
      <c r="QEQ156" s="15"/>
      <c r="QER156" s="15"/>
      <c r="QES156" s="15"/>
      <c r="QET156" s="15"/>
      <c r="QEU156" s="15"/>
      <c r="QEV156" s="15"/>
      <c r="QEW156" s="15"/>
      <c r="QEX156" s="15"/>
      <c r="QEY156" s="15"/>
      <c r="QEZ156" s="15"/>
      <c r="QFA156" s="15"/>
      <c r="QFB156" s="15"/>
      <c r="QFC156" s="15"/>
      <c r="QFD156" s="15"/>
      <c r="QFE156" s="15"/>
      <c r="QFF156" s="15"/>
      <c r="QFG156" s="15"/>
      <c r="QFH156" s="15"/>
      <c r="QFI156" s="15"/>
      <c r="QFJ156" s="15"/>
      <c r="QFK156" s="15"/>
      <c r="QFL156" s="15"/>
      <c r="QFM156" s="15"/>
      <c r="QFN156" s="15"/>
      <c r="QFO156" s="15"/>
      <c r="QFP156" s="15"/>
      <c r="QFQ156" s="15"/>
      <c r="QFR156" s="15"/>
      <c r="QFS156" s="15"/>
      <c r="QFT156" s="15"/>
      <c r="QFU156" s="15"/>
      <c r="QFV156" s="15"/>
      <c r="QFW156" s="15"/>
      <c r="QFX156" s="15"/>
      <c r="QFY156" s="15"/>
      <c r="QFZ156" s="15"/>
      <c r="QGA156" s="15"/>
      <c r="QGB156" s="15"/>
      <c r="QGC156" s="15"/>
      <c r="QGD156" s="15"/>
      <c r="QGE156" s="15"/>
      <c r="QGF156" s="15"/>
      <c r="QGG156" s="15"/>
      <c r="QGH156" s="15"/>
      <c r="QGI156" s="15"/>
      <c r="QGJ156" s="15"/>
      <c r="QGK156" s="15"/>
      <c r="QGL156" s="15"/>
      <c r="QGM156" s="15"/>
      <c r="QGN156" s="15"/>
      <c r="QGO156" s="15"/>
      <c r="QGP156" s="15"/>
      <c r="QGQ156" s="15"/>
      <c r="QGR156" s="15"/>
      <c r="QGS156" s="15"/>
      <c r="QGT156" s="15"/>
      <c r="QGU156" s="15"/>
      <c r="QGV156" s="15"/>
      <c r="QGW156" s="15"/>
      <c r="QGX156" s="15"/>
      <c r="QGY156" s="15"/>
      <c r="QGZ156" s="15"/>
      <c r="QHA156" s="15"/>
      <c r="QHB156" s="15"/>
      <c r="QHC156" s="15"/>
      <c r="QHD156" s="15"/>
      <c r="QHE156" s="15"/>
      <c r="QHF156" s="15"/>
      <c r="QHG156" s="15"/>
      <c r="QHH156" s="15"/>
      <c r="QHI156" s="15"/>
      <c r="QHJ156" s="15"/>
      <c r="QHK156" s="15"/>
      <c r="QHL156" s="15"/>
      <c r="QHM156" s="15"/>
      <c r="QHN156" s="15"/>
      <c r="QHO156" s="15"/>
      <c r="QHP156" s="15"/>
      <c r="QHQ156" s="15"/>
      <c r="QHR156" s="15"/>
      <c r="QHS156" s="15"/>
      <c r="QHT156" s="15"/>
      <c r="QHU156" s="15"/>
      <c r="QHV156" s="15"/>
      <c r="QHW156" s="15"/>
      <c r="QHX156" s="15"/>
      <c r="QHY156" s="15"/>
      <c r="QHZ156" s="15"/>
      <c r="QIA156" s="15"/>
      <c r="QIB156" s="15"/>
      <c r="QIC156" s="15"/>
      <c r="QID156" s="15"/>
      <c r="QIE156" s="15"/>
      <c r="QIF156" s="15"/>
      <c r="QIG156" s="15"/>
      <c r="QIH156" s="15"/>
      <c r="QII156" s="15"/>
      <c r="QIJ156" s="15"/>
      <c r="QIK156" s="15"/>
      <c r="QIL156" s="15"/>
      <c r="QIM156" s="15"/>
      <c r="QIN156" s="15"/>
      <c r="QIO156" s="15"/>
      <c r="QIP156" s="15"/>
      <c r="QIQ156" s="15"/>
      <c r="QIR156" s="15"/>
      <c r="QIS156" s="15"/>
      <c r="QIT156" s="15"/>
      <c r="QIU156" s="15"/>
      <c r="QIV156" s="15"/>
      <c r="QIW156" s="15"/>
      <c r="QIX156" s="15"/>
      <c r="QIY156" s="15"/>
      <c r="QIZ156" s="15"/>
      <c r="QJA156" s="15"/>
      <c r="QJB156" s="15"/>
      <c r="QJC156" s="15"/>
      <c r="QJD156" s="15"/>
      <c r="QJE156" s="15"/>
      <c r="QJF156" s="15"/>
      <c r="QJG156" s="15"/>
      <c r="QJH156" s="15"/>
      <c r="QJI156" s="15"/>
      <c r="QJJ156" s="15"/>
      <c r="QJK156" s="15"/>
      <c r="QJL156" s="15"/>
      <c r="QJM156" s="15"/>
      <c r="QJN156" s="15"/>
      <c r="QJO156" s="15"/>
      <c r="QJP156" s="15"/>
      <c r="QJQ156" s="15"/>
      <c r="QJR156" s="15"/>
      <c r="QJS156" s="15"/>
      <c r="QJT156" s="15"/>
      <c r="QJU156" s="15"/>
      <c r="QJV156" s="15"/>
      <c r="QJW156" s="15"/>
      <c r="QJX156" s="15"/>
      <c r="QJY156" s="15"/>
      <c r="QJZ156" s="15"/>
      <c r="QKA156" s="15"/>
      <c r="QKB156" s="15"/>
      <c r="QKC156" s="15"/>
      <c r="QKD156" s="15"/>
      <c r="QKE156" s="15"/>
      <c r="QKF156" s="15"/>
      <c r="QKG156" s="15"/>
      <c r="QKH156" s="15"/>
      <c r="QKI156" s="15"/>
      <c r="QKJ156" s="15"/>
      <c r="QKK156" s="15"/>
      <c r="QKL156" s="15"/>
      <c r="QKM156" s="15"/>
      <c r="QKN156" s="15"/>
      <c r="QKO156" s="15"/>
      <c r="QKP156" s="15"/>
      <c r="QKQ156" s="15"/>
      <c r="QKR156" s="15"/>
      <c r="QKS156" s="15"/>
      <c r="QKT156" s="15"/>
      <c r="QKU156" s="15"/>
      <c r="QKV156" s="15"/>
      <c r="QKW156" s="15"/>
      <c r="QKX156" s="15"/>
      <c r="QKY156" s="15"/>
      <c r="QKZ156" s="15"/>
      <c r="QLA156" s="15"/>
      <c r="QLB156" s="15"/>
      <c r="QLC156" s="15"/>
      <c r="QLD156" s="15"/>
      <c r="QLE156" s="15"/>
      <c r="QLF156" s="15"/>
      <c r="QLG156" s="15"/>
      <c r="QLH156" s="15"/>
      <c r="QLI156" s="15"/>
      <c r="QLJ156" s="15"/>
      <c r="QLK156" s="15"/>
      <c r="QLL156" s="15"/>
      <c r="QLM156" s="15"/>
      <c r="QLN156" s="15"/>
      <c r="QLO156" s="15"/>
      <c r="QLP156" s="15"/>
      <c r="QLQ156" s="15"/>
      <c r="QLR156" s="15"/>
      <c r="QLS156" s="15"/>
      <c r="QLT156" s="15"/>
      <c r="QLU156" s="15"/>
      <c r="QLV156" s="15"/>
      <c r="QLW156" s="15"/>
      <c r="QLX156" s="15"/>
      <c r="QLY156" s="15"/>
      <c r="QLZ156" s="15"/>
      <c r="QMA156" s="15"/>
      <c r="QMB156" s="15"/>
      <c r="QMC156" s="15"/>
      <c r="QMD156" s="15"/>
      <c r="QME156" s="15"/>
      <c r="QMF156" s="15"/>
      <c r="QMG156" s="15"/>
      <c r="QMH156" s="15"/>
      <c r="QMI156" s="15"/>
      <c r="QMJ156" s="15"/>
      <c r="QMK156" s="15"/>
      <c r="QML156" s="15"/>
      <c r="QMM156" s="15"/>
      <c r="QMN156" s="15"/>
      <c r="QMO156" s="15"/>
      <c r="QMP156" s="15"/>
      <c r="QMQ156" s="15"/>
      <c r="QMR156" s="15"/>
      <c r="QMS156" s="15"/>
      <c r="QMT156" s="15"/>
      <c r="QMU156" s="15"/>
      <c r="QMV156" s="15"/>
      <c r="QMW156" s="15"/>
      <c r="QMX156" s="15"/>
      <c r="QMY156" s="15"/>
      <c r="QMZ156" s="15"/>
      <c r="QNA156" s="15"/>
      <c r="QNB156" s="15"/>
      <c r="QNC156" s="15"/>
      <c r="QND156" s="15"/>
      <c r="QNE156" s="15"/>
      <c r="QNF156" s="15"/>
      <c r="QNG156" s="15"/>
      <c r="QNH156" s="15"/>
      <c r="QNI156" s="15"/>
      <c r="QNJ156" s="15"/>
      <c r="QNK156" s="15"/>
      <c r="QNL156" s="15"/>
      <c r="QNM156" s="15"/>
      <c r="QNN156" s="15"/>
      <c r="QNO156" s="15"/>
      <c r="QNP156" s="15"/>
      <c r="QNQ156" s="15"/>
      <c r="QNR156" s="15"/>
      <c r="QNS156" s="15"/>
      <c r="QNT156" s="15"/>
      <c r="QNU156" s="15"/>
      <c r="QNV156" s="15"/>
      <c r="QNW156" s="15"/>
      <c r="QNX156" s="15"/>
      <c r="QNY156" s="15"/>
      <c r="QNZ156" s="15"/>
      <c r="QOA156" s="15"/>
      <c r="QOB156" s="15"/>
      <c r="QOC156" s="15"/>
      <c r="QOD156" s="15"/>
      <c r="QOE156" s="15"/>
      <c r="QOF156" s="15"/>
      <c r="QOG156" s="15"/>
      <c r="QOH156" s="15"/>
      <c r="QOI156" s="15"/>
      <c r="QOJ156" s="15"/>
      <c r="QOK156" s="15"/>
      <c r="QOL156" s="15"/>
      <c r="QOM156" s="15"/>
      <c r="QON156" s="15"/>
      <c r="QOO156" s="15"/>
      <c r="QOP156" s="15"/>
      <c r="QOQ156" s="15"/>
      <c r="QOR156" s="15"/>
      <c r="QOS156" s="15"/>
      <c r="QOT156" s="15"/>
      <c r="QOU156" s="15"/>
      <c r="QOV156" s="15"/>
      <c r="QOW156" s="15"/>
      <c r="QOX156" s="15"/>
      <c r="QOY156" s="15"/>
      <c r="QOZ156" s="15"/>
      <c r="QPA156" s="15"/>
      <c r="QPB156" s="15"/>
      <c r="QPC156" s="15"/>
      <c r="QPD156" s="15"/>
      <c r="QPE156" s="15"/>
      <c r="QPF156" s="15"/>
      <c r="QPG156" s="15"/>
      <c r="QPH156" s="15"/>
      <c r="QPI156" s="15"/>
      <c r="QPJ156" s="15"/>
      <c r="QPK156" s="15"/>
      <c r="QPL156" s="15"/>
      <c r="QPM156" s="15"/>
      <c r="QPN156" s="15"/>
      <c r="QPO156" s="15"/>
      <c r="QPP156" s="15"/>
      <c r="QPQ156" s="15"/>
      <c r="QPR156" s="15"/>
      <c r="QPS156" s="15"/>
      <c r="QPT156" s="15"/>
      <c r="QPU156" s="15"/>
      <c r="QPV156" s="15"/>
      <c r="QPW156" s="15"/>
      <c r="QPX156" s="15"/>
      <c r="QPY156" s="15"/>
      <c r="QPZ156" s="15"/>
      <c r="QQA156" s="15"/>
      <c r="QQB156" s="15"/>
      <c r="QQC156" s="15"/>
      <c r="QQD156" s="15"/>
      <c r="QQE156" s="15"/>
      <c r="QQF156" s="15"/>
      <c r="QQG156" s="15"/>
      <c r="QQH156" s="15"/>
      <c r="QQI156" s="15"/>
      <c r="QQJ156" s="15"/>
      <c r="QQK156" s="15"/>
      <c r="QQL156" s="15"/>
      <c r="QQM156" s="15"/>
      <c r="QQN156" s="15"/>
      <c r="QQO156" s="15"/>
      <c r="QQP156" s="15"/>
      <c r="QQQ156" s="15"/>
      <c r="QQR156" s="15"/>
      <c r="QQS156" s="15"/>
      <c r="QQT156" s="15"/>
      <c r="QQU156" s="15"/>
      <c r="QQV156" s="15"/>
      <c r="QQW156" s="15"/>
      <c r="QQX156" s="15"/>
      <c r="QQY156" s="15"/>
      <c r="QQZ156" s="15"/>
      <c r="QRA156" s="15"/>
      <c r="QRB156" s="15"/>
      <c r="QRC156" s="15"/>
      <c r="QRD156" s="15"/>
      <c r="QRE156" s="15"/>
      <c r="QRF156" s="15"/>
      <c r="QRG156" s="15"/>
      <c r="QRH156" s="15"/>
      <c r="QRI156" s="15"/>
      <c r="QRJ156" s="15"/>
      <c r="QRK156" s="15"/>
      <c r="QRL156" s="15"/>
      <c r="QRM156" s="15"/>
      <c r="QRN156" s="15"/>
      <c r="QRO156" s="15"/>
      <c r="QRP156" s="15"/>
      <c r="QRQ156" s="15"/>
      <c r="QRR156" s="15"/>
      <c r="QRS156" s="15"/>
      <c r="QRT156" s="15"/>
      <c r="QRU156" s="15"/>
      <c r="QRV156" s="15"/>
      <c r="QRW156" s="15"/>
      <c r="QRX156" s="15"/>
      <c r="QRY156" s="15"/>
      <c r="QRZ156" s="15"/>
      <c r="QSA156" s="15"/>
      <c r="QSB156" s="15"/>
      <c r="QSC156" s="15"/>
      <c r="QSD156" s="15"/>
      <c r="QSE156" s="15"/>
      <c r="QSF156" s="15"/>
      <c r="QSG156" s="15"/>
      <c r="QSH156" s="15"/>
      <c r="QSI156" s="15"/>
      <c r="QSJ156" s="15"/>
      <c r="QSK156" s="15"/>
      <c r="QSL156" s="15"/>
      <c r="QSM156" s="15"/>
      <c r="QSN156" s="15"/>
      <c r="QSO156" s="15"/>
      <c r="QSP156" s="15"/>
      <c r="QSQ156" s="15"/>
      <c r="QSR156" s="15"/>
      <c r="QSS156" s="15"/>
      <c r="QST156" s="15"/>
      <c r="QSU156" s="15"/>
      <c r="QSV156" s="15"/>
      <c r="QSW156" s="15"/>
      <c r="QSX156" s="15"/>
      <c r="QSY156" s="15"/>
      <c r="QSZ156" s="15"/>
      <c r="QTA156" s="15"/>
      <c r="QTB156" s="15"/>
      <c r="QTC156" s="15"/>
      <c r="QTD156" s="15"/>
      <c r="QTE156" s="15"/>
      <c r="QTF156" s="15"/>
      <c r="QTG156" s="15"/>
      <c r="QTH156" s="15"/>
      <c r="QTI156" s="15"/>
      <c r="QTJ156" s="15"/>
      <c r="QTK156" s="15"/>
      <c r="QTL156" s="15"/>
      <c r="QTM156" s="15"/>
      <c r="QTN156" s="15"/>
      <c r="QTO156" s="15"/>
      <c r="QTP156" s="15"/>
      <c r="QTQ156" s="15"/>
      <c r="QTR156" s="15"/>
      <c r="QTS156" s="15"/>
      <c r="QTT156" s="15"/>
      <c r="QTU156" s="15"/>
      <c r="QTV156" s="15"/>
      <c r="QTW156" s="15"/>
      <c r="QTX156" s="15"/>
      <c r="QTY156" s="15"/>
      <c r="QTZ156" s="15"/>
      <c r="QUA156" s="15"/>
      <c r="QUB156" s="15"/>
      <c r="QUC156" s="15"/>
      <c r="QUD156" s="15"/>
      <c r="QUE156" s="15"/>
      <c r="QUF156" s="15"/>
      <c r="QUG156" s="15"/>
      <c r="QUH156" s="15"/>
      <c r="QUI156" s="15"/>
      <c r="QUJ156" s="15"/>
      <c r="QUK156" s="15"/>
      <c r="QUL156" s="15"/>
      <c r="QUM156" s="15"/>
      <c r="QUN156" s="15"/>
      <c r="QUO156" s="15"/>
      <c r="QUP156" s="15"/>
      <c r="QUQ156" s="15"/>
      <c r="QUR156" s="15"/>
      <c r="QUS156" s="15"/>
      <c r="QUT156" s="15"/>
      <c r="QUU156" s="15"/>
      <c r="QUV156" s="15"/>
      <c r="QUW156" s="15"/>
      <c r="QUX156" s="15"/>
      <c r="QUY156" s="15"/>
      <c r="QUZ156" s="15"/>
      <c r="QVA156" s="15"/>
      <c r="QVB156" s="15"/>
      <c r="QVC156" s="15"/>
      <c r="QVD156" s="15"/>
      <c r="QVE156" s="15"/>
      <c r="QVF156" s="15"/>
      <c r="QVG156" s="15"/>
      <c r="QVH156" s="15"/>
      <c r="QVI156" s="15"/>
      <c r="QVJ156" s="15"/>
      <c r="QVK156" s="15"/>
      <c r="QVL156" s="15"/>
      <c r="QVM156" s="15"/>
      <c r="QVN156" s="15"/>
      <c r="QVO156" s="15"/>
      <c r="QVP156" s="15"/>
      <c r="QVQ156" s="15"/>
      <c r="QVR156" s="15"/>
      <c r="QVS156" s="15"/>
      <c r="QVT156" s="15"/>
      <c r="QVU156" s="15"/>
      <c r="QVV156" s="15"/>
      <c r="QVW156" s="15"/>
      <c r="QVX156" s="15"/>
      <c r="QVY156" s="15"/>
      <c r="QVZ156" s="15"/>
      <c r="QWA156" s="15"/>
      <c r="QWB156" s="15"/>
      <c r="QWC156" s="15"/>
      <c r="QWD156" s="15"/>
      <c r="QWE156" s="15"/>
      <c r="QWF156" s="15"/>
      <c r="QWG156" s="15"/>
      <c r="QWH156" s="15"/>
      <c r="QWI156" s="15"/>
      <c r="QWJ156" s="15"/>
      <c r="QWK156" s="15"/>
      <c r="QWL156" s="15"/>
      <c r="QWM156" s="15"/>
      <c r="QWN156" s="15"/>
      <c r="QWO156" s="15"/>
      <c r="QWP156" s="15"/>
      <c r="QWQ156" s="15"/>
      <c r="QWR156" s="15"/>
      <c r="QWS156" s="15"/>
      <c r="QWT156" s="15"/>
      <c r="QWU156" s="15"/>
      <c r="QWV156" s="15"/>
      <c r="QWW156" s="15"/>
      <c r="QWX156" s="15"/>
      <c r="QWY156" s="15"/>
      <c r="QWZ156" s="15"/>
      <c r="QXA156" s="15"/>
      <c r="QXB156" s="15"/>
      <c r="QXC156" s="15"/>
      <c r="QXD156" s="15"/>
      <c r="QXE156" s="15"/>
      <c r="QXF156" s="15"/>
      <c r="QXG156" s="15"/>
      <c r="QXH156" s="15"/>
      <c r="QXI156" s="15"/>
      <c r="QXJ156" s="15"/>
      <c r="QXK156" s="15"/>
      <c r="QXL156" s="15"/>
      <c r="QXM156" s="15"/>
      <c r="QXN156" s="15"/>
      <c r="QXO156" s="15"/>
      <c r="QXP156" s="15"/>
      <c r="QXQ156" s="15"/>
      <c r="QXR156" s="15"/>
      <c r="QXS156" s="15"/>
      <c r="QXT156" s="15"/>
      <c r="QXU156" s="15"/>
      <c r="QXV156" s="15"/>
      <c r="QXW156" s="15"/>
      <c r="QXX156" s="15"/>
      <c r="QXY156" s="15"/>
      <c r="QXZ156" s="15"/>
      <c r="QYA156" s="15"/>
      <c r="QYB156" s="15"/>
      <c r="QYC156" s="15"/>
      <c r="QYD156" s="15"/>
      <c r="QYE156" s="15"/>
      <c r="QYF156" s="15"/>
      <c r="QYG156" s="15"/>
      <c r="QYH156" s="15"/>
      <c r="QYI156" s="15"/>
      <c r="QYJ156" s="15"/>
      <c r="QYK156" s="15"/>
      <c r="QYL156" s="15"/>
      <c r="QYM156" s="15"/>
      <c r="QYN156" s="15"/>
      <c r="QYO156" s="15"/>
      <c r="QYP156" s="15"/>
      <c r="QYQ156" s="15"/>
      <c r="QYR156" s="15"/>
      <c r="QYS156" s="15"/>
      <c r="QYT156" s="15"/>
      <c r="QYU156" s="15"/>
      <c r="QYV156" s="15"/>
      <c r="QYW156" s="15"/>
      <c r="QYX156" s="15"/>
      <c r="QYY156" s="15"/>
      <c r="QYZ156" s="15"/>
      <c r="QZA156" s="15"/>
      <c r="QZB156" s="15"/>
      <c r="QZC156" s="15"/>
      <c r="QZD156" s="15"/>
      <c r="QZE156" s="15"/>
      <c r="QZF156" s="15"/>
      <c r="QZG156" s="15"/>
      <c r="QZH156" s="15"/>
      <c r="QZI156" s="15"/>
      <c r="QZJ156" s="15"/>
      <c r="QZK156" s="15"/>
      <c r="QZL156" s="15"/>
      <c r="QZM156" s="15"/>
      <c r="QZN156" s="15"/>
      <c r="QZO156" s="15"/>
      <c r="QZP156" s="15"/>
      <c r="QZQ156" s="15"/>
      <c r="QZR156" s="15"/>
      <c r="QZS156" s="15"/>
      <c r="QZT156" s="15"/>
      <c r="QZU156" s="15"/>
      <c r="QZV156" s="15"/>
      <c r="QZW156" s="15"/>
      <c r="QZX156" s="15"/>
      <c r="QZY156" s="15"/>
      <c r="QZZ156" s="15"/>
      <c r="RAA156" s="15"/>
      <c r="RAB156" s="15"/>
      <c r="RAC156" s="15"/>
      <c r="RAD156" s="15"/>
      <c r="RAE156" s="15"/>
      <c r="RAF156" s="15"/>
      <c r="RAG156" s="15"/>
      <c r="RAH156" s="15"/>
      <c r="RAI156" s="15"/>
      <c r="RAJ156" s="15"/>
      <c r="RAK156" s="15"/>
      <c r="RAL156" s="15"/>
      <c r="RAM156" s="15"/>
      <c r="RAN156" s="15"/>
      <c r="RAO156" s="15"/>
      <c r="RAP156" s="15"/>
      <c r="RAQ156" s="15"/>
      <c r="RAR156" s="15"/>
      <c r="RAS156" s="15"/>
      <c r="RAT156" s="15"/>
      <c r="RAU156" s="15"/>
      <c r="RAV156" s="15"/>
      <c r="RAW156" s="15"/>
      <c r="RAX156" s="15"/>
      <c r="RAY156" s="15"/>
      <c r="RAZ156" s="15"/>
      <c r="RBA156" s="15"/>
      <c r="RBB156" s="15"/>
      <c r="RBC156" s="15"/>
      <c r="RBD156" s="15"/>
      <c r="RBE156" s="15"/>
      <c r="RBF156" s="15"/>
      <c r="RBG156" s="15"/>
      <c r="RBH156" s="15"/>
      <c r="RBI156" s="15"/>
      <c r="RBJ156" s="15"/>
      <c r="RBK156" s="15"/>
      <c r="RBL156" s="15"/>
      <c r="RBM156" s="15"/>
      <c r="RBN156" s="15"/>
      <c r="RBO156" s="15"/>
      <c r="RBP156" s="15"/>
      <c r="RBQ156" s="15"/>
      <c r="RBR156" s="15"/>
      <c r="RBS156" s="15"/>
      <c r="RBT156" s="15"/>
      <c r="RBU156" s="15"/>
      <c r="RBV156" s="15"/>
      <c r="RBW156" s="15"/>
      <c r="RBX156" s="15"/>
      <c r="RBY156" s="15"/>
      <c r="RBZ156" s="15"/>
      <c r="RCA156" s="15"/>
      <c r="RCB156" s="15"/>
      <c r="RCC156" s="15"/>
      <c r="RCD156" s="15"/>
      <c r="RCE156" s="15"/>
      <c r="RCF156" s="15"/>
      <c r="RCG156" s="15"/>
      <c r="RCH156" s="15"/>
      <c r="RCI156" s="15"/>
      <c r="RCJ156" s="15"/>
      <c r="RCK156" s="15"/>
      <c r="RCL156" s="15"/>
      <c r="RCM156" s="15"/>
      <c r="RCN156" s="15"/>
      <c r="RCO156" s="15"/>
      <c r="RCP156" s="15"/>
      <c r="RCQ156" s="15"/>
      <c r="RCR156" s="15"/>
      <c r="RCS156" s="15"/>
      <c r="RCT156" s="15"/>
      <c r="RCU156" s="15"/>
      <c r="RCV156" s="15"/>
      <c r="RCW156" s="15"/>
      <c r="RCX156" s="15"/>
      <c r="RCY156" s="15"/>
      <c r="RCZ156" s="15"/>
      <c r="RDA156" s="15"/>
      <c r="RDB156" s="15"/>
      <c r="RDC156" s="15"/>
      <c r="RDD156" s="15"/>
      <c r="RDE156" s="15"/>
      <c r="RDF156" s="15"/>
      <c r="RDG156" s="15"/>
      <c r="RDH156" s="15"/>
      <c r="RDI156" s="15"/>
      <c r="RDJ156" s="15"/>
      <c r="RDK156" s="15"/>
      <c r="RDL156" s="15"/>
      <c r="RDM156" s="15"/>
      <c r="RDN156" s="15"/>
      <c r="RDO156" s="15"/>
      <c r="RDP156" s="15"/>
      <c r="RDQ156" s="15"/>
      <c r="RDR156" s="15"/>
      <c r="RDS156" s="15"/>
      <c r="RDT156" s="15"/>
      <c r="RDU156" s="15"/>
      <c r="RDV156" s="15"/>
      <c r="RDW156" s="15"/>
      <c r="RDX156" s="15"/>
      <c r="RDY156" s="15"/>
      <c r="RDZ156" s="15"/>
      <c r="REA156" s="15"/>
      <c r="REB156" s="15"/>
      <c r="REC156" s="15"/>
      <c r="RED156" s="15"/>
      <c r="REE156" s="15"/>
      <c r="REF156" s="15"/>
      <c r="REG156" s="15"/>
      <c r="REH156" s="15"/>
      <c r="REI156" s="15"/>
      <c r="REJ156" s="15"/>
      <c r="REK156" s="15"/>
      <c r="REL156" s="15"/>
      <c r="REM156" s="15"/>
      <c r="REN156" s="15"/>
      <c r="REO156" s="15"/>
      <c r="REP156" s="15"/>
      <c r="REQ156" s="15"/>
      <c r="RER156" s="15"/>
      <c r="RES156" s="15"/>
      <c r="RET156" s="15"/>
      <c r="REU156" s="15"/>
      <c r="REV156" s="15"/>
      <c r="REW156" s="15"/>
      <c r="REX156" s="15"/>
      <c r="REY156" s="15"/>
      <c r="REZ156" s="15"/>
      <c r="RFA156" s="15"/>
      <c r="RFB156" s="15"/>
      <c r="RFC156" s="15"/>
      <c r="RFD156" s="15"/>
      <c r="RFE156" s="15"/>
      <c r="RFF156" s="15"/>
      <c r="RFG156" s="15"/>
      <c r="RFH156" s="15"/>
      <c r="RFI156" s="15"/>
      <c r="RFJ156" s="15"/>
      <c r="RFK156" s="15"/>
      <c r="RFL156" s="15"/>
      <c r="RFM156" s="15"/>
      <c r="RFN156" s="15"/>
      <c r="RFO156" s="15"/>
      <c r="RFP156" s="15"/>
      <c r="RFQ156" s="15"/>
      <c r="RFR156" s="15"/>
      <c r="RFS156" s="15"/>
      <c r="RFT156" s="15"/>
      <c r="RFU156" s="15"/>
      <c r="RFV156" s="15"/>
      <c r="RFW156" s="15"/>
      <c r="RFX156" s="15"/>
      <c r="RFY156" s="15"/>
      <c r="RFZ156" s="15"/>
      <c r="RGA156" s="15"/>
      <c r="RGB156" s="15"/>
      <c r="RGC156" s="15"/>
      <c r="RGD156" s="15"/>
      <c r="RGE156" s="15"/>
      <c r="RGF156" s="15"/>
      <c r="RGG156" s="15"/>
      <c r="RGH156" s="15"/>
      <c r="RGI156" s="15"/>
      <c r="RGJ156" s="15"/>
      <c r="RGK156" s="15"/>
      <c r="RGL156" s="15"/>
      <c r="RGM156" s="15"/>
      <c r="RGN156" s="15"/>
      <c r="RGO156" s="15"/>
      <c r="RGP156" s="15"/>
      <c r="RGQ156" s="15"/>
      <c r="RGR156" s="15"/>
      <c r="RGS156" s="15"/>
      <c r="RGT156" s="15"/>
      <c r="RGU156" s="15"/>
      <c r="RGV156" s="15"/>
      <c r="RGW156" s="15"/>
      <c r="RGX156" s="15"/>
      <c r="RGY156" s="15"/>
      <c r="RGZ156" s="15"/>
      <c r="RHA156" s="15"/>
      <c r="RHB156" s="15"/>
      <c r="RHC156" s="15"/>
      <c r="RHD156" s="15"/>
      <c r="RHE156" s="15"/>
      <c r="RHF156" s="15"/>
      <c r="RHG156" s="15"/>
      <c r="RHH156" s="15"/>
      <c r="RHI156" s="15"/>
      <c r="RHJ156" s="15"/>
      <c r="RHK156" s="15"/>
      <c r="RHL156" s="15"/>
      <c r="RHM156" s="15"/>
      <c r="RHN156" s="15"/>
      <c r="RHO156" s="15"/>
      <c r="RHP156" s="15"/>
      <c r="RHQ156" s="15"/>
      <c r="RHR156" s="15"/>
      <c r="RHS156" s="15"/>
      <c r="RHT156" s="15"/>
      <c r="RHU156" s="15"/>
      <c r="RHV156" s="15"/>
      <c r="RHW156" s="15"/>
      <c r="RHX156" s="15"/>
      <c r="RHY156" s="15"/>
      <c r="RHZ156" s="15"/>
      <c r="RIA156" s="15"/>
      <c r="RIB156" s="15"/>
      <c r="RIC156" s="15"/>
      <c r="RID156" s="15"/>
      <c r="RIE156" s="15"/>
      <c r="RIF156" s="15"/>
      <c r="RIG156" s="15"/>
      <c r="RIH156" s="15"/>
      <c r="RII156" s="15"/>
      <c r="RIJ156" s="15"/>
      <c r="RIK156" s="15"/>
      <c r="RIL156" s="15"/>
      <c r="RIM156" s="15"/>
      <c r="RIN156" s="15"/>
      <c r="RIO156" s="15"/>
      <c r="RIP156" s="15"/>
      <c r="RIQ156" s="15"/>
      <c r="RIR156" s="15"/>
      <c r="RIS156" s="15"/>
      <c r="RIT156" s="15"/>
      <c r="RIU156" s="15"/>
      <c r="RIV156" s="15"/>
      <c r="RIW156" s="15"/>
      <c r="RIX156" s="15"/>
      <c r="RIY156" s="15"/>
      <c r="RIZ156" s="15"/>
      <c r="RJA156" s="15"/>
      <c r="RJB156" s="15"/>
      <c r="RJC156" s="15"/>
      <c r="RJD156" s="15"/>
      <c r="RJE156" s="15"/>
      <c r="RJF156" s="15"/>
      <c r="RJG156" s="15"/>
      <c r="RJH156" s="15"/>
      <c r="RJI156" s="15"/>
      <c r="RJJ156" s="15"/>
      <c r="RJK156" s="15"/>
      <c r="RJL156" s="15"/>
      <c r="RJM156" s="15"/>
      <c r="RJN156" s="15"/>
      <c r="RJO156" s="15"/>
      <c r="RJP156" s="15"/>
      <c r="RJQ156" s="15"/>
      <c r="RJR156" s="15"/>
      <c r="RJS156" s="15"/>
      <c r="RJT156" s="15"/>
      <c r="RJU156" s="15"/>
      <c r="RJV156" s="15"/>
      <c r="RJW156" s="15"/>
      <c r="RJX156" s="15"/>
      <c r="RJY156" s="15"/>
      <c r="RJZ156" s="15"/>
      <c r="RKA156" s="15"/>
      <c r="RKB156" s="15"/>
      <c r="RKC156" s="15"/>
      <c r="RKD156" s="15"/>
      <c r="RKE156" s="15"/>
      <c r="RKF156" s="15"/>
      <c r="RKG156" s="15"/>
      <c r="RKH156" s="15"/>
      <c r="RKI156" s="15"/>
      <c r="RKJ156" s="15"/>
      <c r="RKK156" s="15"/>
      <c r="RKL156" s="15"/>
      <c r="RKM156" s="15"/>
      <c r="RKN156" s="15"/>
      <c r="RKO156" s="15"/>
      <c r="RKP156" s="15"/>
      <c r="RKQ156" s="15"/>
      <c r="RKR156" s="15"/>
      <c r="RKS156" s="15"/>
      <c r="RKT156" s="15"/>
      <c r="RKU156" s="15"/>
      <c r="RKV156" s="15"/>
      <c r="RKW156" s="15"/>
      <c r="RKX156" s="15"/>
      <c r="RKY156" s="15"/>
      <c r="RKZ156" s="15"/>
      <c r="RLA156" s="15"/>
      <c r="RLB156" s="15"/>
      <c r="RLC156" s="15"/>
      <c r="RLD156" s="15"/>
      <c r="RLE156" s="15"/>
      <c r="RLF156" s="15"/>
      <c r="RLG156" s="15"/>
      <c r="RLH156" s="15"/>
      <c r="RLI156" s="15"/>
      <c r="RLJ156" s="15"/>
      <c r="RLK156" s="15"/>
      <c r="RLL156" s="15"/>
      <c r="RLM156" s="15"/>
      <c r="RLN156" s="15"/>
      <c r="RLO156" s="15"/>
      <c r="RLP156" s="15"/>
      <c r="RLQ156" s="15"/>
      <c r="RLR156" s="15"/>
      <c r="RLS156" s="15"/>
      <c r="RLT156" s="15"/>
      <c r="RLU156" s="15"/>
      <c r="RLV156" s="15"/>
      <c r="RLW156" s="15"/>
      <c r="RLX156" s="15"/>
      <c r="RLY156" s="15"/>
      <c r="RLZ156" s="15"/>
      <c r="RMA156" s="15"/>
      <c r="RMB156" s="15"/>
      <c r="RMC156" s="15"/>
      <c r="RMD156" s="15"/>
      <c r="RME156" s="15"/>
      <c r="RMF156" s="15"/>
      <c r="RMG156" s="15"/>
      <c r="RMH156" s="15"/>
      <c r="RMI156" s="15"/>
      <c r="RMJ156" s="15"/>
      <c r="RMK156" s="15"/>
      <c r="RML156" s="15"/>
      <c r="RMM156" s="15"/>
      <c r="RMN156" s="15"/>
      <c r="RMO156" s="15"/>
      <c r="RMP156" s="15"/>
      <c r="RMQ156" s="15"/>
      <c r="RMR156" s="15"/>
      <c r="RMS156" s="15"/>
      <c r="RMT156" s="15"/>
      <c r="RMU156" s="15"/>
      <c r="RMV156" s="15"/>
      <c r="RMW156" s="15"/>
      <c r="RMX156" s="15"/>
      <c r="RMY156" s="15"/>
      <c r="RMZ156" s="15"/>
      <c r="RNA156" s="15"/>
      <c r="RNB156" s="15"/>
      <c r="RNC156" s="15"/>
      <c r="RND156" s="15"/>
      <c r="RNE156" s="15"/>
      <c r="RNF156" s="15"/>
      <c r="RNG156" s="15"/>
      <c r="RNH156" s="15"/>
      <c r="RNI156" s="15"/>
      <c r="RNJ156" s="15"/>
      <c r="RNK156" s="15"/>
      <c r="RNL156" s="15"/>
      <c r="RNM156" s="15"/>
      <c r="RNN156" s="15"/>
      <c r="RNO156" s="15"/>
      <c r="RNP156" s="15"/>
      <c r="RNQ156" s="15"/>
      <c r="RNR156" s="15"/>
      <c r="RNS156" s="15"/>
      <c r="RNT156" s="15"/>
      <c r="RNU156" s="15"/>
      <c r="RNV156" s="15"/>
      <c r="RNW156" s="15"/>
      <c r="RNX156" s="15"/>
      <c r="RNY156" s="15"/>
      <c r="RNZ156" s="15"/>
      <c r="ROA156" s="15"/>
      <c r="ROB156" s="15"/>
      <c r="ROC156" s="15"/>
      <c r="ROD156" s="15"/>
      <c r="ROE156" s="15"/>
      <c r="ROF156" s="15"/>
      <c r="ROG156" s="15"/>
      <c r="ROH156" s="15"/>
      <c r="ROI156" s="15"/>
      <c r="ROJ156" s="15"/>
      <c r="ROK156" s="15"/>
      <c r="ROL156" s="15"/>
      <c r="ROM156" s="15"/>
      <c r="RON156" s="15"/>
      <c r="ROO156" s="15"/>
      <c r="ROP156" s="15"/>
      <c r="ROQ156" s="15"/>
      <c r="ROR156" s="15"/>
      <c r="ROS156" s="15"/>
      <c r="ROT156" s="15"/>
      <c r="ROU156" s="15"/>
      <c r="ROV156" s="15"/>
      <c r="ROW156" s="15"/>
      <c r="ROX156" s="15"/>
      <c r="ROY156" s="15"/>
      <c r="ROZ156" s="15"/>
      <c r="RPA156" s="15"/>
      <c r="RPB156" s="15"/>
      <c r="RPC156" s="15"/>
      <c r="RPD156" s="15"/>
      <c r="RPE156" s="15"/>
      <c r="RPF156" s="15"/>
      <c r="RPG156" s="15"/>
      <c r="RPH156" s="15"/>
      <c r="RPI156" s="15"/>
      <c r="RPJ156" s="15"/>
      <c r="RPK156" s="15"/>
      <c r="RPL156" s="15"/>
      <c r="RPM156" s="15"/>
      <c r="RPN156" s="15"/>
      <c r="RPO156" s="15"/>
      <c r="RPP156" s="15"/>
      <c r="RPQ156" s="15"/>
      <c r="RPR156" s="15"/>
      <c r="RPS156" s="15"/>
      <c r="RPT156" s="15"/>
      <c r="RPU156" s="15"/>
      <c r="RPV156" s="15"/>
      <c r="RPW156" s="15"/>
      <c r="RPX156" s="15"/>
      <c r="RPY156" s="15"/>
      <c r="RPZ156" s="15"/>
      <c r="RQA156" s="15"/>
      <c r="RQB156" s="15"/>
      <c r="RQC156" s="15"/>
      <c r="RQD156" s="15"/>
      <c r="RQE156" s="15"/>
      <c r="RQF156" s="15"/>
      <c r="RQG156" s="15"/>
      <c r="RQH156" s="15"/>
      <c r="RQI156" s="15"/>
      <c r="RQJ156" s="15"/>
      <c r="RQK156" s="15"/>
      <c r="RQL156" s="15"/>
      <c r="RQM156" s="15"/>
      <c r="RQN156" s="15"/>
      <c r="RQO156" s="15"/>
      <c r="RQP156" s="15"/>
      <c r="RQQ156" s="15"/>
      <c r="RQR156" s="15"/>
      <c r="RQS156" s="15"/>
      <c r="RQT156" s="15"/>
      <c r="RQU156" s="15"/>
      <c r="RQV156" s="15"/>
      <c r="RQW156" s="15"/>
      <c r="RQX156" s="15"/>
      <c r="RQY156" s="15"/>
      <c r="RQZ156" s="15"/>
      <c r="RRA156" s="15"/>
      <c r="RRB156" s="15"/>
      <c r="RRC156" s="15"/>
      <c r="RRD156" s="15"/>
      <c r="RRE156" s="15"/>
      <c r="RRF156" s="15"/>
      <c r="RRG156" s="15"/>
      <c r="RRH156" s="15"/>
      <c r="RRI156" s="15"/>
      <c r="RRJ156" s="15"/>
      <c r="RRK156" s="15"/>
      <c r="RRL156" s="15"/>
      <c r="RRM156" s="15"/>
      <c r="RRN156" s="15"/>
      <c r="RRO156" s="15"/>
      <c r="RRP156" s="15"/>
      <c r="RRQ156" s="15"/>
      <c r="RRR156" s="15"/>
      <c r="RRS156" s="15"/>
      <c r="RRT156" s="15"/>
      <c r="RRU156" s="15"/>
      <c r="RRV156" s="15"/>
      <c r="RRW156" s="15"/>
      <c r="RRX156" s="15"/>
      <c r="RRY156" s="15"/>
      <c r="RRZ156" s="15"/>
      <c r="RSA156" s="15"/>
      <c r="RSB156" s="15"/>
      <c r="RSC156" s="15"/>
      <c r="RSD156" s="15"/>
      <c r="RSE156" s="15"/>
      <c r="RSF156" s="15"/>
      <c r="RSG156" s="15"/>
      <c r="RSH156" s="15"/>
      <c r="RSI156" s="15"/>
      <c r="RSJ156" s="15"/>
      <c r="RSK156" s="15"/>
      <c r="RSL156" s="15"/>
      <c r="RSM156" s="15"/>
      <c r="RSN156" s="15"/>
      <c r="RSO156" s="15"/>
      <c r="RSP156" s="15"/>
      <c r="RSQ156" s="15"/>
      <c r="RSR156" s="15"/>
      <c r="RSS156" s="15"/>
      <c r="RST156" s="15"/>
      <c r="RSU156" s="15"/>
      <c r="RSV156" s="15"/>
      <c r="RSW156" s="15"/>
      <c r="RSX156" s="15"/>
      <c r="RSY156" s="15"/>
      <c r="RSZ156" s="15"/>
      <c r="RTA156" s="15"/>
      <c r="RTB156" s="15"/>
      <c r="RTC156" s="15"/>
      <c r="RTD156" s="15"/>
      <c r="RTE156" s="15"/>
      <c r="RTF156" s="15"/>
      <c r="RTG156" s="15"/>
      <c r="RTH156" s="15"/>
      <c r="RTI156" s="15"/>
      <c r="RTJ156" s="15"/>
      <c r="RTK156" s="15"/>
      <c r="RTL156" s="15"/>
      <c r="RTM156" s="15"/>
      <c r="RTN156" s="15"/>
      <c r="RTO156" s="15"/>
      <c r="RTP156" s="15"/>
      <c r="RTQ156" s="15"/>
      <c r="RTR156" s="15"/>
      <c r="RTS156" s="15"/>
      <c r="RTT156" s="15"/>
      <c r="RTU156" s="15"/>
      <c r="RTV156" s="15"/>
      <c r="RTW156" s="15"/>
      <c r="RTX156" s="15"/>
      <c r="RTY156" s="15"/>
      <c r="RTZ156" s="15"/>
      <c r="RUA156" s="15"/>
      <c r="RUB156" s="15"/>
      <c r="RUC156" s="15"/>
      <c r="RUD156" s="15"/>
      <c r="RUE156" s="15"/>
      <c r="RUF156" s="15"/>
      <c r="RUG156" s="15"/>
      <c r="RUH156" s="15"/>
      <c r="RUI156" s="15"/>
      <c r="RUJ156" s="15"/>
      <c r="RUK156" s="15"/>
      <c r="RUL156" s="15"/>
      <c r="RUM156" s="15"/>
      <c r="RUN156" s="15"/>
      <c r="RUO156" s="15"/>
      <c r="RUP156" s="15"/>
      <c r="RUQ156" s="15"/>
      <c r="RUR156" s="15"/>
      <c r="RUS156" s="15"/>
      <c r="RUT156" s="15"/>
      <c r="RUU156" s="15"/>
      <c r="RUV156" s="15"/>
      <c r="RUW156" s="15"/>
      <c r="RUX156" s="15"/>
      <c r="RUY156" s="15"/>
      <c r="RUZ156" s="15"/>
      <c r="RVA156" s="15"/>
      <c r="RVB156" s="15"/>
      <c r="RVC156" s="15"/>
      <c r="RVD156" s="15"/>
      <c r="RVE156" s="15"/>
      <c r="RVF156" s="15"/>
      <c r="RVG156" s="15"/>
      <c r="RVH156" s="15"/>
      <c r="RVI156" s="15"/>
      <c r="RVJ156" s="15"/>
      <c r="RVK156" s="15"/>
      <c r="RVL156" s="15"/>
      <c r="RVM156" s="15"/>
      <c r="RVN156" s="15"/>
      <c r="RVO156" s="15"/>
      <c r="RVP156" s="15"/>
      <c r="RVQ156" s="15"/>
      <c r="RVR156" s="15"/>
      <c r="RVS156" s="15"/>
      <c r="RVT156" s="15"/>
      <c r="RVU156" s="15"/>
      <c r="RVV156" s="15"/>
      <c r="RVW156" s="15"/>
      <c r="RVX156" s="15"/>
      <c r="RVY156" s="15"/>
      <c r="RVZ156" s="15"/>
      <c r="RWA156" s="15"/>
      <c r="RWB156" s="15"/>
      <c r="RWC156" s="15"/>
      <c r="RWD156" s="15"/>
      <c r="RWE156" s="15"/>
      <c r="RWF156" s="15"/>
      <c r="RWG156" s="15"/>
      <c r="RWH156" s="15"/>
      <c r="RWI156" s="15"/>
      <c r="RWJ156" s="15"/>
      <c r="RWK156" s="15"/>
      <c r="RWL156" s="15"/>
      <c r="RWM156" s="15"/>
      <c r="RWN156" s="15"/>
      <c r="RWO156" s="15"/>
      <c r="RWP156" s="15"/>
      <c r="RWQ156" s="15"/>
      <c r="RWR156" s="15"/>
      <c r="RWS156" s="15"/>
      <c r="RWT156" s="15"/>
      <c r="RWU156" s="15"/>
      <c r="RWV156" s="15"/>
      <c r="RWW156" s="15"/>
      <c r="RWX156" s="15"/>
      <c r="RWY156" s="15"/>
      <c r="RWZ156" s="15"/>
      <c r="RXA156" s="15"/>
      <c r="RXB156" s="15"/>
      <c r="RXC156" s="15"/>
      <c r="RXD156" s="15"/>
      <c r="RXE156" s="15"/>
      <c r="RXF156" s="15"/>
      <c r="RXG156" s="15"/>
      <c r="RXH156" s="15"/>
      <c r="RXI156" s="15"/>
      <c r="RXJ156" s="15"/>
      <c r="RXK156" s="15"/>
      <c r="RXL156" s="15"/>
      <c r="RXM156" s="15"/>
      <c r="RXN156" s="15"/>
      <c r="RXO156" s="15"/>
      <c r="RXP156" s="15"/>
      <c r="RXQ156" s="15"/>
      <c r="RXR156" s="15"/>
      <c r="RXS156" s="15"/>
      <c r="RXT156" s="15"/>
      <c r="RXU156" s="15"/>
      <c r="RXV156" s="15"/>
      <c r="RXW156" s="15"/>
      <c r="RXX156" s="15"/>
      <c r="RXY156" s="15"/>
      <c r="RXZ156" s="15"/>
      <c r="RYA156" s="15"/>
      <c r="RYB156" s="15"/>
      <c r="RYC156" s="15"/>
      <c r="RYD156" s="15"/>
      <c r="RYE156" s="15"/>
      <c r="RYF156" s="15"/>
      <c r="RYG156" s="15"/>
      <c r="RYH156" s="15"/>
      <c r="RYI156" s="15"/>
      <c r="RYJ156" s="15"/>
      <c r="RYK156" s="15"/>
      <c r="RYL156" s="15"/>
      <c r="RYM156" s="15"/>
      <c r="RYN156" s="15"/>
      <c r="RYO156" s="15"/>
      <c r="RYP156" s="15"/>
      <c r="RYQ156" s="15"/>
      <c r="RYR156" s="15"/>
      <c r="RYS156" s="15"/>
      <c r="RYT156" s="15"/>
      <c r="RYU156" s="15"/>
      <c r="RYV156" s="15"/>
      <c r="RYW156" s="15"/>
      <c r="RYX156" s="15"/>
      <c r="RYY156" s="15"/>
      <c r="RYZ156" s="15"/>
      <c r="RZA156" s="15"/>
      <c r="RZB156" s="15"/>
      <c r="RZC156" s="15"/>
      <c r="RZD156" s="15"/>
      <c r="RZE156" s="15"/>
      <c r="RZF156" s="15"/>
      <c r="RZG156" s="15"/>
      <c r="RZH156" s="15"/>
      <c r="RZI156" s="15"/>
      <c r="RZJ156" s="15"/>
      <c r="RZK156" s="15"/>
      <c r="RZL156" s="15"/>
      <c r="RZM156" s="15"/>
      <c r="RZN156" s="15"/>
      <c r="RZO156" s="15"/>
      <c r="RZP156" s="15"/>
      <c r="RZQ156" s="15"/>
      <c r="RZR156" s="15"/>
      <c r="RZS156" s="15"/>
      <c r="RZT156" s="15"/>
      <c r="RZU156" s="15"/>
      <c r="RZV156" s="15"/>
      <c r="RZW156" s="15"/>
      <c r="RZX156" s="15"/>
      <c r="RZY156" s="15"/>
      <c r="RZZ156" s="15"/>
      <c r="SAA156" s="15"/>
      <c r="SAB156" s="15"/>
      <c r="SAC156" s="15"/>
      <c r="SAD156" s="15"/>
      <c r="SAE156" s="15"/>
      <c r="SAF156" s="15"/>
      <c r="SAG156" s="15"/>
      <c r="SAH156" s="15"/>
      <c r="SAI156" s="15"/>
      <c r="SAJ156" s="15"/>
      <c r="SAK156" s="15"/>
      <c r="SAL156" s="15"/>
      <c r="SAM156" s="15"/>
      <c r="SAN156" s="15"/>
      <c r="SAO156" s="15"/>
      <c r="SAP156" s="15"/>
      <c r="SAQ156" s="15"/>
      <c r="SAR156" s="15"/>
      <c r="SAS156" s="15"/>
      <c r="SAT156" s="15"/>
      <c r="SAU156" s="15"/>
      <c r="SAV156" s="15"/>
      <c r="SAW156" s="15"/>
      <c r="SAX156" s="15"/>
      <c r="SAY156" s="15"/>
      <c r="SAZ156" s="15"/>
      <c r="SBA156" s="15"/>
      <c r="SBB156" s="15"/>
      <c r="SBC156" s="15"/>
      <c r="SBD156" s="15"/>
      <c r="SBE156" s="15"/>
      <c r="SBF156" s="15"/>
      <c r="SBG156" s="15"/>
      <c r="SBH156" s="15"/>
      <c r="SBI156" s="15"/>
      <c r="SBJ156" s="15"/>
      <c r="SBK156" s="15"/>
      <c r="SBL156" s="15"/>
      <c r="SBM156" s="15"/>
      <c r="SBN156" s="15"/>
      <c r="SBO156" s="15"/>
      <c r="SBP156" s="15"/>
      <c r="SBQ156" s="15"/>
      <c r="SBR156" s="15"/>
      <c r="SBS156" s="15"/>
      <c r="SBT156" s="15"/>
      <c r="SBU156" s="15"/>
      <c r="SBV156" s="15"/>
      <c r="SBW156" s="15"/>
      <c r="SBX156" s="15"/>
      <c r="SBY156" s="15"/>
      <c r="SBZ156" s="15"/>
      <c r="SCA156" s="15"/>
      <c r="SCB156" s="15"/>
      <c r="SCC156" s="15"/>
      <c r="SCD156" s="15"/>
      <c r="SCE156" s="15"/>
      <c r="SCF156" s="15"/>
      <c r="SCG156" s="15"/>
      <c r="SCH156" s="15"/>
      <c r="SCI156" s="15"/>
      <c r="SCJ156" s="15"/>
      <c r="SCK156" s="15"/>
      <c r="SCL156" s="15"/>
      <c r="SCM156" s="15"/>
      <c r="SCN156" s="15"/>
      <c r="SCO156" s="15"/>
      <c r="SCP156" s="15"/>
      <c r="SCQ156" s="15"/>
      <c r="SCR156" s="15"/>
      <c r="SCS156" s="15"/>
      <c r="SCT156" s="15"/>
      <c r="SCU156" s="15"/>
      <c r="SCV156" s="15"/>
      <c r="SCW156" s="15"/>
      <c r="SCX156" s="15"/>
      <c r="SCY156" s="15"/>
      <c r="SCZ156" s="15"/>
      <c r="SDA156" s="15"/>
      <c r="SDB156" s="15"/>
      <c r="SDC156" s="15"/>
      <c r="SDD156" s="15"/>
      <c r="SDE156" s="15"/>
      <c r="SDF156" s="15"/>
      <c r="SDG156" s="15"/>
      <c r="SDH156" s="15"/>
      <c r="SDI156" s="15"/>
      <c r="SDJ156" s="15"/>
      <c r="SDK156" s="15"/>
      <c r="SDL156" s="15"/>
      <c r="SDM156" s="15"/>
      <c r="SDN156" s="15"/>
      <c r="SDO156" s="15"/>
      <c r="SDP156" s="15"/>
      <c r="SDQ156" s="15"/>
      <c r="SDR156" s="15"/>
      <c r="SDS156" s="15"/>
      <c r="SDT156" s="15"/>
      <c r="SDU156" s="15"/>
      <c r="SDV156" s="15"/>
      <c r="SDW156" s="15"/>
      <c r="SDX156" s="15"/>
      <c r="SDY156" s="15"/>
      <c r="SDZ156" s="15"/>
      <c r="SEA156" s="15"/>
      <c r="SEB156" s="15"/>
      <c r="SEC156" s="15"/>
      <c r="SED156" s="15"/>
      <c r="SEE156" s="15"/>
      <c r="SEF156" s="15"/>
      <c r="SEG156" s="15"/>
      <c r="SEH156" s="15"/>
      <c r="SEI156" s="15"/>
      <c r="SEJ156" s="15"/>
      <c r="SEK156" s="15"/>
      <c r="SEL156" s="15"/>
      <c r="SEM156" s="15"/>
      <c r="SEN156" s="15"/>
      <c r="SEO156" s="15"/>
      <c r="SEP156" s="15"/>
      <c r="SEQ156" s="15"/>
      <c r="SER156" s="15"/>
      <c r="SES156" s="15"/>
      <c r="SET156" s="15"/>
      <c r="SEU156" s="15"/>
      <c r="SEV156" s="15"/>
      <c r="SEW156" s="15"/>
      <c r="SEX156" s="15"/>
      <c r="SEY156" s="15"/>
      <c r="SEZ156" s="15"/>
      <c r="SFA156" s="15"/>
      <c r="SFB156" s="15"/>
      <c r="SFC156" s="15"/>
      <c r="SFD156" s="15"/>
      <c r="SFE156" s="15"/>
      <c r="SFF156" s="15"/>
      <c r="SFG156" s="15"/>
      <c r="SFH156" s="15"/>
      <c r="SFI156" s="15"/>
      <c r="SFJ156" s="15"/>
      <c r="SFK156" s="15"/>
      <c r="SFL156" s="15"/>
      <c r="SFM156" s="15"/>
      <c r="SFN156" s="15"/>
      <c r="SFO156" s="15"/>
      <c r="SFP156" s="15"/>
      <c r="SFQ156" s="15"/>
      <c r="SFR156" s="15"/>
      <c r="SFS156" s="15"/>
      <c r="SFT156" s="15"/>
      <c r="SFU156" s="15"/>
      <c r="SFV156" s="15"/>
      <c r="SFW156" s="15"/>
      <c r="SFX156" s="15"/>
      <c r="SFY156" s="15"/>
      <c r="SFZ156" s="15"/>
      <c r="SGA156" s="15"/>
      <c r="SGB156" s="15"/>
      <c r="SGC156" s="15"/>
      <c r="SGD156" s="15"/>
      <c r="SGE156" s="15"/>
      <c r="SGF156" s="15"/>
      <c r="SGG156" s="15"/>
      <c r="SGH156" s="15"/>
      <c r="SGI156" s="15"/>
      <c r="SGJ156" s="15"/>
      <c r="SGK156" s="15"/>
      <c r="SGL156" s="15"/>
      <c r="SGM156" s="15"/>
      <c r="SGN156" s="15"/>
      <c r="SGO156" s="15"/>
      <c r="SGP156" s="15"/>
      <c r="SGQ156" s="15"/>
      <c r="SGR156" s="15"/>
      <c r="SGS156" s="15"/>
      <c r="SGT156" s="15"/>
      <c r="SGU156" s="15"/>
      <c r="SGV156" s="15"/>
      <c r="SGW156" s="15"/>
      <c r="SGX156" s="15"/>
      <c r="SGY156" s="15"/>
      <c r="SGZ156" s="15"/>
      <c r="SHA156" s="15"/>
      <c r="SHB156" s="15"/>
      <c r="SHC156" s="15"/>
      <c r="SHD156" s="15"/>
      <c r="SHE156" s="15"/>
      <c r="SHF156" s="15"/>
      <c r="SHG156" s="15"/>
      <c r="SHH156" s="15"/>
      <c r="SHI156" s="15"/>
      <c r="SHJ156" s="15"/>
      <c r="SHK156" s="15"/>
      <c r="SHL156" s="15"/>
      <c r="SHM156" s="15"/>
      <c r="SHN156" s="15"/>
      <c r="SHO156" s="15"/>
      <c r="SHP156" s="15"/>
      <c r="SHQ156" s="15"/>
      <c r="SHR156" s="15"/>
      <c r="SHS156" s="15"/>
      <c r="SHT156" s="15"/>
      <c r="SHU156" s="15"/>
      <c r="SHV156" s="15"/>
      <c r="SHW156" s="15"/>
      <c r="SHX156" s="15"/>
      <c r="SHY156" s="15"/>
      <c r="SHZ156" s="15"/>
      <c r="SIA156" s="15"/>
      <c r="SIB156" s="15"/>
      <c r="SIC156" s="15"/>
      <c r="SID156" s="15"/>
      <c r="SIE156" s="15"/>
      <c r="SIF156" s="15"/>
      <c r="SIG156" s="15"/>
      <c r="SIH156" s="15"/>
      <c r="SII156" s="15"/>
      <c r="SIJ156" s="15"/>
      <c r="SIK156" s="15"/>
      <c r="SIL156" s="15"/>
      <c r="SIM156" s="15"/>
      <c r="SIN156" s="15"/>
      <c r="SIO156" s="15"/>
      <c r="SIP156" s="15"/>
      <c r="SIQ156" s="15"/>
      <c r="SIR156" s="15"/>
      <c r="SIS156" s="15"/>
      <c r="SIT156" s="15"/>
      <c r="SIU156" s="15"/>
      <c r="SIV156" s="15"/>
      <c r="SIW156" s="15"/>
      <c r="SIX156" s="15"/>
      <c r="SIY156" s="15"/>
      <c r="SIZ156" s="15"/>
      <c r="SJA156" s="15"/>
      <c r="SJB156" s="15"/>
      <c r="SJC156" s="15"/>
      <c r="SJD156" s="15"/>
      <c r="SJE156" s="15"/>
      <c r="SJF156" s="15"/>
      <c r="SJG156" s="15"/>
      <c r="SJH156" s="15"/>
      <c r="SJI156" s="15"/>
      <c r="SJJ156" s="15"/>
      <c r="SJK156" s="15"/>
      <c r="SJL156" s="15"/>
      <c r="SJM156" s="15"/>
      <c r="SJN156" s="15"/>
      <c r="SJO156" s="15"/>
      <c r="SJP156" s="15"/>
      <c r="SJQ156" s="15"/>
      <c r="SJR156" s="15"/>
      <c r="SJS156" s="15"/>
      <c r="SJT156" s="15"/>
      <c r="SJU156" s="15"/>
      <c r="SJV156" s="15"/>
      <c r="SJW156" s="15"/>
      <c r="SJX156" s="15"/>
      <c r="SJY156" s="15"/>
      <c r="SJZ156" s="15"/>
      <c r="SKA156" s="15"/>
      <c r="SKB156" s="15"/>
      <c r="SKC156" s="15"/>
      <c r="SKD156" s="15"/>
      <c r="SKE156" s="15"/>
      <c r="SKF156" s="15"/>
      <c r="SKG156" s="15"/>
      <c r="SKH156" s="15"/>
      <c r="SKI156" s="15"/>
      <c r="SKJ156" s="15"/>
      <c r="SKK156" s="15"/>
      <c r="SKL156" s="15"/>
      <c r="SKM156" s="15"/>
      <c r="SKN156" s="15"/>
      <c r="SKO156" s="15"/>
      <c r="SKP156" s="15"/>
      <c r="SKQ156" s="15"/>
      <c r="SKR156" s="15"/>
      <c r="SKS156" s="15"/>
      <c r="SKT156" s="15"/>
      <c r="SKU156" s="15"/>
      <c r="SKV156" s="15"/>
      <c r="SKW156" s="15"/>
      <c r="SKX156" s="15"/>
      <c r="SKY156" s="15"/>
      <c r="SKZ156" s="15"/>
      <c r="SLA156" s="15"/>
      <c r="SLB156" s="15"/>
      <c r="SLC156" s="15"/>
      <c r="SLD156" s="15"/>
      <c r="SLE156" s="15"/>
      <c r="SLF156" s="15"/>
      <c r="SLG156" s="15"/>
      <c r="SLH156" s="15"/>
      <c r="SLI156" s="15"/>
      <c r="SLJ156" s="15"/>
      <c r="SLK156" s="15"/>
      <c r="SLL156" s="15"/>
      <c r="SLM156" s="15"/>
      <c r="SLN156" s="15"/>
      <c r="SLO156" s="15"/>
      <c r="SLP156" s="15"/>
      <c r="SLQ156" s="15"/>
      <c r="SLR156" s="15"/>
      <c r="SLS156" s="15"/>
      <c r="SLT156" s="15"/>
      <c r="SLU156" s="15"/>
      <c r="SLV156" s="15"/>
      <c r="SLW156" s="15"/>
      <c r="SLX156" s="15"/>
      <c r="SLY156" s="15"/>
      <c r="SLZ156" s="15"/>
      <c r="SMA156" s="15"/>
      <c r="SMB156" s="15"/>
      <c r="SMC156" s="15"/>
      <c r="SMD156" s="15"/>
      <c r="SME156" s="15"/>
      <c r="SMF156" s="15"/>
      <c r="SMG156" s="15"/>
      <c r="SMH156" s="15"/>
      <c r="SMI156" s="15"/>
      <c r="SMJ156" s="15"/>
      <c r="SMK156" s="15"/>
      <c r="SML156" s="15"/>
      <c r="SMM156" s="15"/>
      <c r="SMN156" s="15"/>
      <c r="SMO156" s="15"/>
      <c r="SMP156" s="15"/>
      <c r="SMQ156" s="15"/>
      <c r="SMR156" s="15"/>
      <c r="SMS156" s="15"/>
      <c r="SMT156" s="15"/>
      <c r="SMU156" s="15"/>
      <c r="SMV156" s="15"/>
      <c r="SMW156" s="15"/>
      <c r="SMX156" s="15"/>
      <c r="SMY156" s="15"/>
      <c r="SMZ156" s="15"/>
      <c r="SNA156" s="15"/>
      <c r="SNB156" s="15"/>
      <c r="SNC156" s="15"/>
      <c r="SND156" s="15"/>
      <c r="SNE156" s="15"/>
      <c r="SNF156" s="15"/>
      <c r="SNG156" s="15"/>
      <c r="SNH156" s="15"/>
      <c r="SNI156" s="15"/>
      <c r="SNJ156" s="15"/>
      <c r="SNK156" s="15"/>
      <c r="SNL156" s="15"/>
      <c r="SNM156" s="15"/>
      <c r="SNN156" s="15"/>
      <c r="SNO156" s="15"/>
      <c r="SNP156" s="15"/>
      <c r="SNQ156" s="15"/>
      <c r="SNR156" s="15"/>
      <c r="SNS156" s="15"/>
      <c r="SNT156" s="15"/>
      <c r="SNU156" s="15"/>
      <c r="SNV156" s="15"/>
      <c r="SNW156" s="15"/>
      <c r="SNX156" s="15"/>
      <c r="SNY156" s="15"/>
      <c r="SNZ156" s="15"/>
      <c r="SOA156" s="15"/>
      <c r="SOB156" s="15"/>
      <c r="SOC156" s="15"/>
      <c r="SOD156" s="15"/>
      <c r="SOE156" s="15"/>
      <c r="SOF156" s="15"/>
      <c r="SOG156" s="15"/>
      <c r="SOH156" s="15"/>
      <c r="SOI156" s="15"/>
      <c r="SOJ156" s="15"/>
      <c r="SOK156" s="15"/>
      <c r="SOL156" s="15"/>
      <c r="SOM156" s="15"/>
      <c r="SON156" s="15"/>
      <c r="SOO156" s="15"/>
      <c r="SOP156" s="15"/>
      <c r="SOQ156" s="15"/>
      <c r="SOR156" s="15"/>
      <c r="SOS156" s="15"/>
      <c r="SOT156" s="15"/>
      <c r="SOU156" s="15"/>
      <c r="SOV156" s="15"/>
      <c r="SOW156" s="15"/>
      <c r="SOX156" s="15"/>
      <c r="SOY156" s="15"/>
      <c r="SOZ156" s="15"/>
      <c r="SPA156" s="15"/>
      <c r="SPB156" s="15"/>
      <c r="SPC156" s="15"/>
      <c r="SPD156" s="15"/>
      <c r="SPE156" s="15"/>
      <c r="SPF156" s="15"/>
      <c r="SPG156" s="15"/>
      <c r="SPH156" s="15"/>
      <c r="SPI156" s="15"/>
      <c r="SPJ156" s="15"/>
      <c r="SPK156" s="15"/>
      <c r="SPL156" s="15"/>
      <c r="SPM156" s="15"/>
      <c r="SPN156" s="15"/>
      <c r="SPO156" s="15"/>
      <c r="SPP156" s="15"/>
      <c r="SPQ156" s="15"/>
      <c r="SPR156" s="15"/>
      <c r="SPS156" s="15"/>
      <c r="SPT156" s="15"/>
      <c r="SPU156" s="15"/>
      <c r="SPV156" s="15"/>
      <c r="SPW156" s="15"/>
      <c r="SPX156" s="15"/>
      <c r="SPY156" s="15"/>
      <c r="SPZ156" s="15"/>
      <c r="SQA156" s="15"/>
      <c r="SQB156" s="15"/>
      <c r="SQC156" s="15"/>
      <c r="SQD156" s="15"/>
      <c r="SQE156" s="15"/>
      <c r="SQF156" s="15"/>
      <c r="SQG156" s="15"/>
      <c r="SQH156" s="15"/>
      <c r="SQI156" s="15"/>
      <c r="SQJ156" s="15"/>
      <c r="SQK156" s="15"/>
      <c r="SQL156" s="15"/>
      <c r="SQM156" s="15"/>
      <c r="SQN156" s="15"/>
      <c r="SQO156" s="15"/>
      <c r="SQP156" s="15"/>
      <c r="SQQ156" s="15"/>
      <c r="SQR156" s="15"/>
      <c r="SQS156" s="15"/>
      <c r="SQT156" s="15"/>
      <c r="SQU156" s="15"/>
      <c r="SQV156" s="15"/>
      <c r="SQW156" s="15"/>
      <c r="SQX156" s="15"/>
      <c r="SQY156" s="15"/>
      <c r="SQZ156" s="15"/>
      <c r="SRA156" s="15"/>
      <c r="SRB156" s="15"/>
      <c r="SRC156" s="15"/>
      <c r="SRD156" s="15"/>
      <c r="SRE156" s="15"/>
      <c r="SRF156" s="15"/>
      <c r="SRG156" s="15"/>
      <c r="SRH156" s="15"/>
      <c r="SRI156" s="15"/>
      <c r="SRJ156" s="15"/>
      <c r="SRK156" s="15"/>
      <c r="SRL156" s="15"/>
      <c r="SRM156" s="15"/>
      <c r="SRN156" s="15"/>
      <c r="SRO156" s="15"/>
      <c r="SRP156" s="15"/>
      <c r="SRQ156" s="15"/>
      <c r="SRR156" s="15"/>
      <c r="SRS156" s="15"/>
      <c r="SRT156" s="15"/>
      <c r="SRU156" s="15"/>
      <c r="SRV156" s="15"/>
      <c r="SRW156" s="15"/>
      <c r="SRX156" s="15"/>
      <c r="SRY156" s="15"/>
      <c r="SRZ156" s="15"/>
      <c r="SSA156" s="15"/>
      <c r="SSB156" s="15"/>
      <c r="SSC156" s="15"/>
      <c r="SSD156" s="15"/>
      <c r="SSE156" s="15"/>
      <c r="SSF156" s="15"/>
      <c r="SSG156" s="15"/>
      <c r="SSH156" s="15"/>
      <c r="SSI156" s="15"/>
      <c r="SSJ156" s="15"/>
      <c r="SSK156" s="15"/>
      <c r="SSL156" s="15"/>
      <c r="SSM156" s="15"/>
      <c r="SSN156" s="15"/>
      <c r="SSO156" s="15"/>
      <c r="SSP156" s="15"/>
      <c r="SSQ156" s="15"/>
      <c r="SSR156" s="15"/>
      <c r="SSS156" s="15"/>
      <c r="SST156" s="15"/>
      <c r="SSU156" s="15"/>
      <c r="SSV156" s="15"/>
      <c r="SSW156" s="15"/>
      <c r="SSX156" s="15"/>
      <c r="SSY156" s="15"/>
      <c r="SSZ156" s="15"/>
      <c r="STA156" s="15"/>
      <c r="STB156" s="15"/>
      <c r="STC156" s="15"/>
      <c r="STD156" s="15"/>
      <c r="STE156" s="15"/>
      <c r="STF156" s="15"/>
      <c r="STG156" s="15"/>
      <c r="STH156" s="15"/>
      <c r="STI156" s="15"/>
      <c r="STJ156" s="15"/>
      <c r="STK156" s="15"/>
      <c r="STL156" s="15"/>
      <c r="STM156" s="15"/>
      <c r="STN156" s="15"/>
      <c r="STO156" s="15"/>
      <c r="STP156" s="15"/>
      <c r="STQ156" s="15"/>
      <c r="STR156" s="15"/>
      <c r="STS156" s="15"/>
      <c r="STT156" s="15"/>
      <c r="STU156" s="15"/>
      <c r="STV156" s="15"/>
      <c r="STW156" s="15"/>
      <c r="STX156" s="15"/>
      <c r="STY156" s="15"/>
      <c r="STZ156" s="15"/>
      <c r="SUA156" s="15"/>
      <c r="SUB156" s="15"/>
      <c r="SUC156" s="15"/>
      <c r="SUD156" s="15"/>
      <c r="SUE156" s="15"/>
      <c r="SUF156" s="15"/>
      <c r="SUG156" s="15"/>
      <c r="SUH156" s="15"/>
      <c r="SUI156" s="15"/>
      <c r="SUJ156" s="15"/>
      <c r="SUK156" s="15"/>
      <c r="SUL156" s="15"/>
      <c r="SUM156" s="15"/>
      <c r="SUN156" s="15"/>
      <c r="SUO156" s="15"/>
      <c r="SUP156" s="15"/>
      <c r="SUQ156" s="15"/>
      <c r="SUR156" s="15"/>
      <c r="SUS156" s="15"/>
      <c r="SUT156" s="15"/>
      <c r="SUU156" s="15"/>
      <c r="SUV156" s="15"/>
      <c r="SUW156" s="15"/>
      <c r="SUX156" s="15"/>
      <c r="SUY156" s="15"/>
      <c r="SUZ156" s="15"/>
      <c r="SVA156" s="15"/>
      <c r="SVB156" s="15"/>
      <c r="SVC156" s="15"/>
      <c r="SVD156" s="15"/>
      <c r="SVE156" s="15"/>
      <c r="SVF156" s="15"/>
      <c r="SVG156" s="15"/>
      <c r="SVH156" s="15"/>
      <c r="SVI156" s="15"/>
      <c r="SVJ156" s="15"/>
      <c r="SVK156" s="15"/>
      <c r="SVL156" s="15"/>
      <c r="SVM156" s="15"/>
      <c r="SVN156" s="15"/>
      <c r="SVO156" s="15"/>
      <c r="SVP156" s="15"/>
      <c r="SVQ156" s="15"/>
      <c r="SVR156" s="15"/>
      <c r="SVS156" s="15"/>
      <c r="SVT156" s="15"/>
      <c r="SVU156" s="15"/>
      <c r="SVV156" s="15"/>
      <c r="SVW156" s="15"/>
      <c r="SVX156" s="15"/>
      <c r="SVY156" s="15"/>
      <c r="SVZ156" s="15"/>
      <c r="SWA156" s="15"/>
      <c r="SWB156" s="15"/>
      <c r="SWC156" s="15"/>
      <c r="SWD156" s="15"/>
      <c r="SWE156" s="15"/>
      <c r="SWF156" s="15"/>
      <c r="SWG156" s="15"/>
      <c r="SWH156" s="15"/>
      <c r="SWI156" s="15"/>
      <c r="SWJ156" s="15"/>
      <c r="SWK156" s="15"/>
      <c r="SWL156" s="15"/>
      <c r="SWM156" s="15"/>
      <c r="SWN156" s="15"/>
      <c r="SWO156" s="15"/>
      <c r="SWP156" s="15"/>
      <c r="SWQ156" s="15"/>
      <c r="SWR156" s="15"/>
      <c r="SWS156" s="15"/>
      <c r="SWT156" s="15"/>
      <c r="SWU156" s="15"/>
      <c r="SWV156" s="15"/>
      <c r="SWW156" s="15"/>
      <c r="SWX156" s="15"/>
      <c r="SWY156" s="15"/>
      <c r="SWZ156" s="15"/>
      <c r="SXA156" s="15"/>
      <c r="SXB156" s="15"/>
      <c r="SXC156" s="15"/>
      <c r="SXD156" s="15"/>
      <c r="SXE156" s="15"/>
      <c r="SXF156" s="15"/>
      <c r="SXG156" s="15"/>
      <c r="SXH156" s="15"/>
      <c r="SXI156" s="15"/>
      <c r="SXJ156" s="15"/>
      <c r="SXK156" s="15"/>
      <c r="SXL156" s="15"/>
      <c r="SXM156" s="15"/>
      <c r="SXN156" s="15"/>
      <c r="SXO156" s="15"/>
      <c r="SXP156" s="15"/>
      <c r="SXQ156" s="15"/>
      <c r="SXR156" s="15"/>
      <c r="SXS156" s="15"/>
      <c r="SXT156" s="15"/>
      <c r="SXU156" s="15"/>
      <c r="SXV156" s="15"/>
      <c r="SXW156" s="15"/>
      <c r="SXX156" s="15"/>
      <c r="SXY156" s="15"/>
      <c r="SXZ156" s="15"/>
      <c r="SYA156" s="15"/>
      <c r="SYB156" s="15"/>
      <c r="SYC156" s="15"/>
      <c r="SYD156" s="15"/>
      <c r="SYE156" s="15"/>
      <c r="SYF156" s="15"/>
      <c r="SYG156" s="15"/>
      <c r="SYH156" s="15"/>
      <c r="SYI156" s="15"/>
      <c r="SYJ156" s="15"/>
      <c r="SYK156" s="15"/>
      <c r="SYL156" s="15"/>
      <c r="SYM156" s="15"/>
      <c r="SYN156" s="15"/>
      <c r="SYO156" s="15"/>
      <c r="SYP156" s="15"/>
      <c r="SYQ156" s="15"/>
      <c r="SYR156" s="15"/>
      <c r="SYS156" s="15"/>
      <c r="SYT156" s="15"/>
      <c r="SYU156" s="15"/>
      <c r="SYV156" s="15"/>
      <c r="SYW156" s="15"/>
      <c r="SYX156" s="15"/>
      <c r="SYY156" s="15"/>
      <c r="SYZ156" s="15"/>
      <c r="SZA156" s="15"/>
      <c r="SZB156" s="15"/>
      <c r="SZC156" s="15"/>
      <c r="SZD156" s="15"/>
      <c r="SZE156" s="15"/>
      <c r="SZF156" s="15"/>
      <c r="SZG156" s="15"/>
      <c r="SZH156" s="15"/>
      <c r="SZI156" s="15"/>
      <c r="SZJ156" s="15"/>
      <c r="SZK156" s="15"/>
      <c r="SZL156" s="15"/>
      <c r="SZM156" s="15"/>
      <c r="SZN156" s="15"/>
      <c r="SZO156" s="15"/>
      <c r="SZP156" s="15"/>
      <c r="SZQ156" s="15"/>
      <c r="SZR156" s="15"/>
      <c r="SZS156" s="15"/>
      <c r="SZT156" s="15"/>
      <c r="SZU156" s="15"/>
      <c r="SZV156" s="15"/>
      <c r="SZW156" s="15"/>
      <c r="SZX156" s="15"/>
      <c r="SZY156" s="15"/>
      <c r="SZZ156" s="15"/>
      <c r="TAA156" s="15"/>
      <c r="TAB156" s="15"/>
      <c r="TAC156" s="15"/>
      <c r="TAD156" s="15"/>
      <c r="TAE156" s="15"/>
      <c r="TAF156" s="15"/>
      <c r="TAG156" s="15"/>
      <c r="TAH156" s="15"/>
      <c r="TAI156" s="15"/>
      <c r="TAJ156" s="15"/>
      <c r="TAK156" s="15"/>
      <c r="TAL156" s="15"/>
      <c r="TAM156" s="15"/>
      <c r="TAN156" s="15"/>
      <c r="TAO156" s="15"/>
      <c r="TAP156" s="15"/>
      <c r="TAQ156" s="15"/>
      <c r="TAR156" s="15"/>
      <c r="TAS156" s="15"/>
      <c r="TAT156" s="15"/>
      <c r="TAU156" s="15"/>
      <c r="TAV156" s="15"/>
      <c r="TAW156" s="15"/>
      <c r="TAX156" s="15"/>
      <c r="TAY156" s="15"/>
      <c r="TAZ156" s="15"/>
      <c r="TBA156" s="15"/>
      <c r="TBB156" s="15"/>
      <c r="TBC156" s="15"/>
      <c r="TBD156" s="15"/>
      <c r="TBE156" s="15"/>
      <c r="TBF156" s="15"/>
      <c r="TBG156" s="15"/>
      <c r="TBH156" s="15"/>
      <c r="TBI156" s="15"/>
      <c r="TBJ156" s="15"/>
      <c r="TBK156" s="15"/>
      <c r="TBL156" s="15"/>
      <c r="TBM156" s="15"/>
      <c r="TBN156" s="15"/>
      <c r="TBO156" s="15"/>
      <c r="TBP156" s="15"/>
      <c r="TBQ156" s="15"/>
      <c r="TBR156" s="15"/>
      <c r="TBS156" s="15"/>
      <c r="TBT156" s="15"/>
      <c r="TBU156" s="15"/>
      <c r="TBV156" s="15"/>
      <c r="TBW156" s="15"/>
      <c r="TBX156" s="15"/>
      <c r="TBY156" s="15"/>
      <c r="TBZ156" s="15"/>
      <c r="TCA156" s="15"/>
      <c r="TCB156" s="15"/>
      <c r="TCC156" s="15"/>
      <c r="TCD156" s="15"/>
      <c r="TCE156" s="15"/>
      <c r="TCF156" s="15"/>
      <c r="TCG156" s="15"/>
      <c r="TCH156" s="15"/>
      <c r="TCI156" s="15"/>
      <c r="TCJ156" s="15"/>
      <c r="TCK156" s="15"/>
      <c r="TCL156" s="15"/>
      <c r="TCM156" s="15"/>
      <c r="TCN156" s="15"/>
      <c r="TCO156" s="15"/>
      <c r="TCP156" s="15"/>
      <c r="TCQ156" s="15"/>
      <c r="TCR156" s="15"/>
      <c r="TCS156" s="15"/>
      <c r="TCT156" s="15"/>
      <c r="TCU156" s="15"/>
      <c r="TCV156" s="15"/>
      <c r="TCW156" s="15"/>
      <c r="TCX156" s="15"/>
      <c r="TCY156" s="15"/>
      <c r="TCZ156" s="15"/>
      <c r="TDA156" s="15"/>
      <c r="TDB156" s="15"/>
      <c r="TDC156" s="15"/>
      <c r="TDD156" s="15"/>
      <c r="TDE156" s="15"/>
      <c r="TDF156" s="15"/>
      <c r="TDG156" s="15"/>
      <c r="TDH156" s="15"/>
      <c r="TDI156" s="15"/>
      <c r="TDJ156" s="15"/>
      <c r="TDK156" s="15"/>
      <c r="TDL156" s="15"/>
      <c r="TDM156" s="15"/>
      <c r="TDN156" s="15"/>
      <c r="TDO156" s="15"/>
      <c r="TDP156" s="15"/>
      <c r="TDQ156" s="15"/>
      <c r="TDR156" s="15"/>
      <c r="TDS156" s="15"/>
      <c r="TDT156" s="15"/>
      <c r="TDU156" s="15"/>
      <c r="TDV156" s="15"/>
      <c r="TDW156" s="15"/>
      <c r="TDX156" s="15"/>
      <c r="TDY156" s="15"/>
      <c r="TDZ156" s="15"/>
      <c r="TEA156" s="15"/>
      <c r="TEB156" s="15"/>
      <c r="TEC156" s="15"/>
      <c r="TED156" s="15"/>
      <c r="TEE156" s="15"/>
      <c r="TEF156" s="15"/>
      <c r="TEG156" s="15"/>
      <c r="TEH156" s="15"/>
      <c r="TEI156" s="15"/>
      <c r="TEJ156" s="15"/>
      <c r="TEK156" s="15"/>
      <c r="TEL156" s="15"/>
      <c r="TEM156" s="15"/>
      <c r="TEN156" s="15"/>
      <c r="TEO156" s="15"/>
      <c r="TEP156" s="15"/>
      <c r="TEQ156" s="15"/>
      <c r="TER156" s="15"/>
      <c r="TES156" s="15"/>
      <c r="TET156" s="15"/>
      <c r="TEU156" s="15"/>
      <c r="TEV156" s="15"/>
      <c r="TEW156" s="15"/>
      <c r="TEX156" s="15"/>
      <c r="TEY156" s="15"/>
      <c r="TEZ156" s="15"/>
      <c r="TFA156" s="15"/>
      <c r="TFB156" s="15"/>
      <c r="TFC156" s="15"/>
      <c r="TFD156" s="15"/>
      <c r="TFE156" s="15"/>
      <c r="TFF156" s="15"/>
      <c r="TFG156" s="15"/>
      <c r="TFH156" s="15"/>
      <c r="TFI156" s="15"/>
      <c r="TFJ156" s="15"/>
      <c r="TFK156" s="15"/>
      <c r="TFL156" s="15"/>
      <c r="TFM156" s="15"/>
      <c r="TFN156" s="15"/>
      <c r="TFO156" s="15"/>
      <c r="TFP156" s="15"/>
      <c r="TFQ156" s="15"/>
      <c r="TFR156" s="15"/>
      <c r="TFS156" s="15"/>
      <c r="TFT156" s="15"/>
      <c r="TFU156" s="15"/>
      <c r="TFV156" s="15"/>
      <c r="TFW156" s="15"/>
      <c r="TFX156" s="15"/>
      <c r="TFY156" s="15"/>
      <c r="TFZ156" s="15"/>
      <c r="TGA156" s="15"/>
      <c r="TGB156" s="15"/>
      <c r="TGC156" s="15"/>
      <c r="TGD156" s="15"/>
      <c r="TGE156" s="15"/>
      <c r="TGF156" s="15"/>
      <c r="TGG156" s="15"/>
      <c r="TGH156" s="15"/>
      <c r="TGI156" s="15"/>
      <c r="TGJ156" s="15"/>
      <c r="TGK156" s="15"/>
      <c r="TGL156" s="15"/>
      <c r="TGM156" s="15"/>
      <c r="TGN156" s="15"/>
      <c r="TGO156" s="15"/>
      <c r="TGP156" s="15"/>
      <c r="TGQ156" s="15"/>
      <c r="TGR156" s="15"/>
      <c r="TGS156" s="15"/>
      <c r="TGT156" s="15"/>
      <c r="TGU156" s="15"/>
      <c r="TGV156" s="15"/>
      <c r="TGW156" s="15"/>
      <c r="TGX156" s="15"/>
      <c r="TGY156" s="15"/>
      <c r="TGZ156" s="15"/>
      <c r="THA156" s="15"/>
      <c r="THB156" s="15"/>
      <c r="THC156" s="15"/>
      <c r="THD156" s="15"/>
      <c r="THE156" s="15"/>
      <c r="THF156" s="15"/>
      <c r="THG156" s="15"/>
      <c r="THH156" s="15"/>
      <c r="THI156" s="15"/>
      <c r="THJ156" s="15"/>
      <c r="THK156" s="15"/>
      <c r="THL156" s="15"/>
      <c r="THM156" s="15"/>
      <c r="THN156" s="15"/>
      <c r="THO156" s="15"/>
      <c r="THP156" s="15"/>
      <c r="THQ156" s="15"/>
      <c r="THR156" s="15"/>
      <c r="THS156" s="15"/>
      <c r="THT156" s="15"/>
      <c r="THU156" s="15"/>
      <c r="THV156" s="15"/>
      <c r="THW156" s="15"/>
      <c r="THX156" s="15"/>
      <c r="THY156" s="15"/>
      <c r="THZ156" s="15"/>
      <c r="TIA156" s="15"/>
      <c r="TIB156" s="15"/>
      <c r="TIC156" s="15"/>
      <c r="TID156" s="15"/>
      <c r="TIE156" s="15"/>
      <c r="TIF156" s="15"/>
      <c r="TIG156" s="15"/>
      <c r="TIH156" s="15"/>
      <c r="TII156" s="15"/>
      <c r="TIJ156" s="15"/>
      <c r="TIK156" s="15"/>
      <c r="TIL156" s="15"/>
      <c r="TIM156" s="15"/>
      <c r="TIN156" s="15"/>
      <c r="TIO156" s="15"/>
      <c r="TIP156" s="15"/>
      <c r="TIQ156" s="15"/>
      <c r="TIR156" s="15"/>
      <c r="TIS156" s="15"/>
      <c r="TIT156" s="15"/>
      <c r="TIU156" s="15"/>
      <c r="TIV156" s="15"/>
      <c r="TIW156" s="15"/>
      <c r="TIX156" s="15"/>
      <c r="TIY156" s="15"/>
      <c r="TIZ156" s="15"/>
      <c r="TJA156" s="15"/>
      <c r="TJB156" s="15"/>
      <c r="TJC156" s="15"/>
      <c r="TJD156" s="15"/>
      <c r="TJE156" s="15"/>
      <c r="TJF156" s="15"/>
      <c r="TJG156" s="15"/>
      <c r="TJH156" s="15"/>
      <c r="TJI156" s="15"/>
      <c r="TJJ156" s="15"/>
      <c r="TJK156" s="15"/>
      <c r="TJL156" s="15"/>
      <c r="TJM156" s="15"/>
      <c r="TJN156" s="15"/>
      <c r="TJO156" s="15"/>
      <c r="TJP156" s="15"/>
      <c r="TJQ156" s="15"/>
      <c r="TJR156" s="15"/>
      <c r="TJS156" s="15"/>
      <c r="TJT156" s="15"/>
      <c r="TJU156" s="15"/>
      <c r="TJV156" s="15"/>
      <c r="TJW156" s="15"/>
      <c r="TJX156" s="15"/>
      <c r="TJY156" s="15"/>
      <c r="TJZ156" s="15"/>
      <c r="TKA156" s="15"/>
      <c r="TKB156" s="15"/>
      <c r="TKC156" s="15"/>
      <c r="TKD156" s="15"/>
      <c r="TKE156" s="15"/>
      <c r="TKF156" s="15"/>
      <c r="TKG156" s="15"/>
      <c r="TKH156" s="15"/>
      <c r="TKI156" s="15"/>
      <c r="TKJ156" s="15"/>
      <c r="TKK156" s="15"/>
      <c r="TKL156" s="15"/>
      <c r="TKM156" s="15"/>
      <c r="TKN156" s="15"/>
      <c r="TKO156" s="15"/>
      <c r="TKP156" s="15"/>
      <c r="TKQ156" s="15"/>
      <c r="TKR156" s="15"/>
      <c r="TKS156" s="15"/>
      <c r="TKT156" s="15"/>
      <c r="TKU156" s="15"/>
      <c r="TKV156" s="15"/>
      <c r="TKW156" s="15"/>
      <c r="TKX156" s="15"/>
      <c r="TKY156" s="15"/>
      <c r="TKZ156" s="15"/>
      <c r="TLA156" s="15"/>
      <c r="TLB156" s="15"/>
      <c r="TLC156" s="15"/>
      <c r="TLD156" s="15"/>
      <c r="TLE156" s="15"/>
      <c r="TLF156" s="15"/>
      <c r="TLG156" s="15"/>
      <c r="TLH156" s="15"/>
      <c r="TLI156" s="15"/>
      <c r="TLJ156" s="15"/>
      <c r="TLK156" s="15"/>
      <c r="TLL156" s="15"/>
      <c r="TLM156" s="15"/>
      <c r="TLN156" s="15"/>
      <c r="TLO156" s="15"/>
      <c r="TLP156" s="15"/>
      <c r="TLQ156" s="15"/>
      <c r="TLR156" s="15"/>
      <c r="TLS156" s="15"/>
      <c r="TLT156" s="15"/>
      <c r="TLU156" s="15"/>
      <c r="TLV156" s="15"/>
      <c r="TLW156" s="15"/>
      <c r="TLX156" s="15"/>
      <c r="TLY156" s="15"/>
      <c r="TLZ156" s="15"/>
      <c r="TMA156" s="15"/>
      <c r="TMB156" s="15"/>
      <c r="TMC156" s="15"/>
      <c r="TMD156" s="15"/>
      <c r="TME156" s="15"/>
      <c r="TMF156" s="15"/>
      <c r="TMG156" s="15"/>
      <c r="TMH156" s="15"/>
      <c r="TMI156" s="15"/>
      <c r="TMJ156" s="15"/>
      <c r="TMK156" s="15"/>
      <c r="TML156" s="15"/>
      <c r="TMM156" s="15"/>
      <c r="TMN156" s="15"/>
      <c r="TMO156" s="15"/>
      <c r="TMP156" s="15"/>
      <c r="TMQ156" s="15"/>
      <c r="TMR156" s="15"/>
      <c r="TMS156" s="15"/>
      <c r="TMT156" s="15"/>
      <c r="TMU156" s="15"/>
      <c r="TMV156" s="15"/>
      <c r="TMW156" s="15"/>
      <c r="TMX156" s="15"/>
      <c r="TMY156" s="15"/>
      <c r="TMZ156" s="15"/>
      <c r="TNA156" s="15"/>
      <c r="TNB156" s="15"/>
      <c r="TNC156" s="15"/>
      <c r="TND156" s="15"/>
      <c r="TNE156" s="15"/>
      <c r="TNF156" s="15"/>
      <c r="TNG156" s="15"/>
      <c r="TNH156" s="15"/>
      <c r="TNI156" s="15"/>
      <c r="TNJ156" s="15"/>
      <c r="TNK156" s="15"/>
      <c r="TNL156" s="15"/>
      <c r="TNM156" s="15"/>
      <c r="TNN156" s="15"/>
      <c r="TNO156" s="15"/>
      <c r="TNP156" s="15"/>
      <c r="TNQ156" s="15"/>
      <c r="TNR156" s="15"/>
      <c r="TNS156" s="15"/>
      <c r="TNT156" s="15"/>
      <c r="TNU156" s="15"/>
      <c r="TNV156" s="15"/>
      <c r="TNW156" s="15"/>
      <c r="TNX156" s="15"/>
      <c r="TNY156" s="15"/>
      <c r="TNZ156" s="15"/>
      <c r="TOA156" s="15"/>
      <c r="TOB156" s="15"/>
      <c r="TOC156" s="15"/>
      <c r="TOD156" s="15"/>
      <c r="TOE156" s="15"/>
      <c r="TOF156" s="15"/>
      <c r="TOG156" s="15"/>
      <c r="TOH156" s="15"/>
      <c r="TOI156" s="15"/>
      <c r="TOJ156" s="15"/>
      <c r="TOK156" s="15"/>
      <c r="TOL156" s="15"/>
      <c r="TOM156" s="15"/>
      <c r="TON156" s="15"/>
      <c r="TOO156" s="15"/>
      <c r="TOP156" s="15"/>
      <c r="TOQ156" s="15"/>
      <c r="TOR156" s="15"/>
      <c r="TOS156" s="15"/>
      <c r="TOT156" s="15"/>
      <c r="TOU156" s="15"/>
      <c r="TOV156" s="15"/>
      <c r="TOW156" s="15"/>
      <c r="TOX156" s="15"/>
      <c r="TOY156" s="15"/>
      <c r="TOZ156" s="15"/>
      <c r="TPA156" s="15"/>
      <c r="TPB156" s="15"/>
      <c r="TPC156" s="15"/>
      <c r="TPD156" s="15"/>
      <c r="TPE156" s="15"/>
      <c r="TPF156" s="15"/>
      <c r="TPG156" s="15"/>
      <c r="TPH156" s="15"/>
      <c r="TPI156" s="15"/>
      <c r="TPJ156" s="15"/>
      <c r="TPK156" s="15"/>
      <c r="TPL156" s="15"/>
      <c r="TPM156" s="15"/>
      <c r="TPN156" s="15"/>
      <c r="TPO156" s="15"/>
      <c r="TPP156" s="15"/>
      <c r="TPQ156" s="15"/>
      <c r="TPR156" s="15"/>
      <c r="TPS156" s="15"/>
      <c r="TPT156" s="15"/>
      <c r="TPU156" s="15"/>
      <c r="TPV156" s="15"/>
      <c r="TPW156" s="15"/>
      <c r="TPX156" s="15"/>
      <c r="TPY156" s="15"/>
      <c r="TPZ156" s="15"/>
      <c r="TQA156" s="15"/>
      <c r="TQB156" s="15"/>
      <c r="TQC156" s="15"/>
      <c r="TQD156" s="15"/>
      <c r="TQE156" s="15"/>
      <c r="TQF156" s="15"/>
      <c r="TQG156" s="15"/>
      <c r="TQH156" s="15"/>
      <c r="TQI156" s="15"/>
      <c r="TQJ156" s="15"/>
      <c r="TQK156" s="15"/>
      <c r="TQL156" s="15"/>
      <c r="TQM156" s="15"/>
      <c r="TQN156" s="15"/>
      <c r="TQO156" s="15"/>
      <c r="TQP156" s="15"/>
      <c r="TQQ156" s="15"/>
      <c r="TQR156" s="15"/>
      <c r="TQS156" s="15"/>
      <c r="TQT156" s="15"/>
      <c r="TQU156" s="15"/>
      <c r="TQV156" s="15"/>
      <c r="TQW156" s="15"/>
      <c r="TQX156" s="15"/>
      <c r="TQY156" s="15"/>
      <c r="TQZ156" s="15"/>
      <c r="TRA156" s="15"/>
      <c r="TRB156" s="15"/>
      <c r="TRC156" s="15"/>
      <c r="TRD156" s="15"/>
      <c r="TRE156" s="15"/>
      <c r="TRF156" s="15"/>
      <c r="TRG156" s="15"/>
      <c r="TRH156" s="15"/>
      <c r="TRI156" s="15"/>
      <c r="TRJ156" s="15"/>
      <c r="TRK156" s="15"/>
      <c r="TRL156" s="15"/>
      <c r="TRM156" s="15"/>
      <c r="TRN156" s="15"/>
      <c r="TRO156" s="15"/>
      <c r="TRP156" s="15"/>
      <c r="TRQ156" s="15"/>
      <c r="TRR156" s="15"/>
      <c r="TRS156" s="15"/>
      <c r="TRT156" s="15"/>
      <c r="TRU156" s="15"/>
      <c r="TRV156" s="15"/>
      <c r="TRW156" s="15"/>
      <c r="TRX156" s="15"/>
      <c r="TRY156" s="15"/>
      <c r="TRZ156" s="15"/>
      <c r="TSA156" s="15"/>
      <c r="TSB156" s="15"/>
      <c r="TSC156" s="15"/>
      <c r="TSD156" s="15"/>
      <c r="TSE156" s="15"/>
      <c r="TSF156" s="15"/>
      <c r="TSG156" s="15"/>
      <c r="TSH156" s="15"/>
      <c r="TSI156" s="15"/>
      <c r="TSJ156" s="15"/>
      <c r="TSK156" s="15"/>
      <c r="TSL156" s="15"/>
      <c r="TSM156" s="15"/>
      <c r="TSN156" s="15"/>
      <c r="TSO156" s="15"/>
      <c r="TSP156" s="15"/>
      <c r="TSQ156" s="15"/>
      <c r="TSR156" s="15"/>
      <c r="TSS156" s="15"/>
      <c r="TST156" s="15"/>
      <c r="TSU156" s="15"/>
      <c r="TSV156" s="15"/>
      <c r="TSW156" s="15"/>
      <c r="TSX156" s="15"/>
      <c r="TSY156" s="15"/>
      <c r="TSZ156" s="15"/>
      <c r="TTA156" s="15"/>
      <c r="TTB156" s="15"/>
      <c r="TTC156" s="15"/>
      <c r="TTD156" s="15"/>
      <c r="TTE156" s="15"/>
      <c r="TTF156" s="15"/>
      <c r="TTG156" s="15"/>
      <c r="TTH156" s="15"/>
      <c r="TTI156" s="15"/>
      <c r="TTJ156" s="15"/>
      <c r="TTK156" s="15"/>
      <c r="TTL156" s="15"/>
      <c r="TTM156" s="15"/>
      <c r="TTN156" s="15"/>
      <c r="TTO156" s="15"/>
      <c r="TTP156" s="15"/>
      <c r="TTQ156" s="15"/>
      <c r="TTR156" s="15"/>
      <c r="TTS156" s="15"/>
      <c r="TTT156" s="15"/>
      <c r="TTU156" s="15"/>
      <c r="TTV156" s="15"/>
      <c r="TTW156" s="15"/>
      <c r="TTX156" s="15"/>
      <c r="TTY156" s="15"/>
      <c r="TTZ156" s="15"/>
      <c r="TUA156" s="15"/>
      <c r="TUB156" s="15"/>
      <c r="TUC156" s="15"/>
      <c r="TUD156" s="15"/>
      <c r="TUE156" s="15"/>
      <c r="TUF156" s="15"/>
      <c r="TUG156" s="15"/>
      <c r="TUH156" s="15"/>
      <c r="TUI156" s="15"/>
      <c r="TUJ156" s="15"/>
      <c r="TUK156" s="15"/>
      <c r="TUL156" s="15"/>
      <c r="TUM156" s="15"/>
      <c r="TUN156" s="15"/>
      <c r="TUO156" s="15"/>
      <c r="TUP156" s="15"/>
      <c r="TUQ156" s="15"/>
      <c r="TUR156" s="15"/>
      <c r="TUS156" s="15"/>
      <c r="TUT156" s="15"/>
      <c r="TUU156" s="15"/>
      <c r="TUV156" s="15"/>
      <c r="TUW156" s="15"/>
      <c r="TUX156" s="15"/>
      <c r="TUY156" s="15"/>
      <c r="TUZ156" s="15"/>
      <c r="TVA156" s="15"/>
      <c r="TVB156" s="15"/>
      <c r="TVC156" s="15"/>
      <c r="TVD156" s="15"/>
      <c r="TVE156" s="15"/>
      <c r="TVF156" s="15"/>
      <c r="TVG156" s="15"/>
      <c r="TVH156" s="15"/>
      <c r="TVI156" s="15"/>
      <c r="TVJ156" s="15"/>
      <c r="TVK156" s="15"/>
      <c r="TVL156" s="15"/>
      <c r="TVM156" s="15"/>
      <c r="TVN156" s="15"/>
      <c r="TVO156" s="15"/>
      <c r="TVP156" s="15"/>
      <c r="TVQ156" s="15"/>
      <c r="TVR156" s="15"/>
      <c r="TVS156" s="15"/>
      <c r="TVT156" s="15"/>
      <c r="TVU156" s="15"/>
      <c r="TVV156" s="15"/>
      <c r="TVW156" s="15"/>
      <c r="TVX156" s="15"/>
      <c r="TVY156" s="15"/>
      <c r="TVZ156" s="15"/>
      <c r="TWA156" s="15"/>
      <c r="TWB156" s="15"/>
      <c r="TWC156" s="15"/>
      <c r="TWD156" s="15"/>
      <c r="TWE156" s="15"/>
      <c r="TWF156" s="15"/>
      <c r="TWG156" s="15"/>
      <c r="TWH156" s="15"/>
      <c r="TWI156" s="15"/>
      <c r="TWJ156" s="15"/>
      <c r="TWK156" s="15"/>
      <c r="TWL156" s="15"/>
      <c r="TWM156" s="15"/>
      <c r="TWN156" s="15"/>
      <c r="TWO156" s="15"/>
      <c r="TWP156" s="15"/>
      <c r="TWQ156" s="15"/>
      <c r="TWR156" s="15"/>
      <c r="TWS156" s="15"/>
      <c r="TWT156" s="15"/>
      <c r="TWU156" s="15"/>
      <c r="TWV156" s="15"/>
      <c r="TWW156" s="15"/>
      <c r="TWX156" s="15"/>
      <c r="TWY156" s="15"/>
      <c r="TWZ156" s="15"/>
      <c r="TXA156" s="15"/>
      <c r="TXB156" s="15"/>
      <c r="TXC156" s="15"/>
      <c r="TXD156" s="15"/>
      <c r="TXE156" s="15"/>
      <c r="TXF156" s="15"/>
      <c r="TXG156" s="15"/>
      <c r="TXH156" s="15"/>
      <c r="TXI156" s="15"/>
      <c r="TXJ156" s="15"/>
      <c r="TXK156" s="15"/>
      <c r="TXL156" s="15"/>
      <c r="TXM156" s="15"/>
      <c r="TXN156" s="15"/>
      <c r="TXO156" s="15"/>
      <c r="TXP156" s="15"/>
      <c r="TXQ156" s="15"/>
      <c r="TXR156" s="15"/>
      <c r="TXS156" s="15"/>
      <c r="TXT156" s="15"/>
      <c r="TXU156" s="15"/>
      <c r="TXV156" s="15"/>
      <c r="TXW156" s="15"/>
      <c r="TXX156" s="15"/>
      <c r="TXY156" s="15"/>
      <c r="TXZ156" s="15"/>
      <c r="TYA156" s="15"/>
      <c r="TYB156" s="15"/>
      <c r="TYC156" s="15"/>
      <c r="TYD156" s="15"/>
      <c r="TYE156" s="15"/>
      <c r="TYF156" s="15"/>
      <c r="TYG156" s="15"/>
      <c r="TYH156" s="15"/>
      <c r="TYI156" s="15"/>
      <c r="TYJ156" s="15"/>
      <c r="TYK156" s="15"/>
      <c r="TYL156" s="15"/>
      <c r="TYM156" s="15"/>
      <c r="TYN156" s="15"/>
      <c r="TYO156" s="15"/>
      <c r="TYP156" s="15"/>
      <c r="TYQ156" s="15"/>
      <c r="TYR156" s="15"/>
      <c r="TYS156" s="15"/>
      <c r="TYT156" s="15"/>
      <c r="TYU156" s="15"/>
      <c r="TYV156" s="15"/>
      <c r="TYW156" s="15"/>
      <c r="TYX156" s="15"/>
      <c r="TYY156" s="15"/>
      <c r="TYZ156" s="15"/>
      <c r="TZA156" s="15"/>
      <c r="TZB156" s="15"/>
      <c r="TZC156" s="15"/>
      <c r="TZD156" s="15"/>
      <c r="TZE156" s="15"/>
      <c r="TZF156" s="15"/>
      <c r="TZG156" s="15"/>
      <c r="TZH156" s="15"/>
      <c r="TZI156" s="15"/>
      <c r="TZJ156" s="15"/>
      <c r="TZK156" s="15"/>
      <c r="TZL156" s="15"/>
      <c r="TZM156" s="15"/>
      <c r="TZN156" s="15"/>
      <c r="TZO156" s="15"/>
      <c r="TZP156" s="15"/>
      <c r="TZQ156" s="15"/>
      <c r="TZR156" s="15"/>
      <c r="TZS156" s="15"/>
      <c r="TZT156" s="15"/>
      <c r="TZU156" s="15"/>
      <c r="TZV156" s="15"/>
      <c r="TZW156" s="15"/>
      <c r="TZX156" s="15"/>
      <c r="TZY156" s="15"/>
      <c r="TZZ156" s="15"/>
      <c r="UAA156" s="15"/>
      <c r="UAB156" s="15"/>
      <c r="UAC156" s="15"/>
      <c r="UAD156" s="15"/>
      <c r="UAE156" s="15"/>
      <c r="UAF156" s="15"/>
      <c r="UAG156" s="15"/>
      <c r="UAH156" s="15"/>
      <c r="UAI156" s="15"/>
      <c r="UAJ156" s="15"/>
      <c r="UAK156" s="15"/>
      <c r="UAL156" s="15"/>
      <c r="UAM156" s="15"/>
      <c r="UAN156" s="15"/>
      <c r="UAO156" s="15"/>
      <c r="UAP156" s="15"/>
      <c r="UAQ156" s="15"/>
      <c r="UAR156" s="15"/>
      <c r="UAS156" s="15"/>
      <c r="UAT156" s="15"/>
      <c r="UAU156" s="15"/>
      <c r="UAV156" s="15"/>
      <c r="UAW156" s="15"/>
      <c r="UAX156" s="15"/>
      <c r="UAY156" s="15"/>
      <c r="UAZ156" s="15"/>
      <c r="UBA156" s="15"/>
      <c r="UBB156" s="15"/>
      <c r="UBC156" s="15"/>
      <c r="UBD156" s="15"/>
      <c r="UBE156" s="15"/>
      <c r="UBF156" s="15"/>
      <c r="UBG156" s="15"/>
      <c r="UBH156" s="15"/>
      <c r="UBI156" s="15"/>
      <c r="UBJ156" s="15"/>
      <c r="UBK156" s="15"/>
      <c r="UBL156" s="15"/>
      <c r="UBM156" s="15"/>
      <c r="UBN156" s="15"/>
      <c r="UBO156" s="15"/>
      <c r="UBP156" s="15"/>
      <c r="UBQ156" s="15"/>
      <c r="UBR156" s="15"/>
      <c r="UBS156" s="15"/>
      <c r="UBT156" s="15"/>
      <c r="UBU156" s="15"/>
      <c r="UBV156" s="15"/>
      <c r="UBW156" s="15"/>
      <c r="UBX156" s="15"/>
      <c r="UBY156" s="15"/>
      <c r="UBZ156" s="15"/>
      <c r="UCA156" s="15"/>
      <c r="UCB156" s="15"/>
      <c r="UCC156" s="15"/>
      <c r="UCD156" s="15"/>
      <c r="UCE156" s="15"/>
      <c r="UCF156" s="15"/>
      <c r="UCG156" s="15"/>
      <c r="UCH156" s="15"/>
      <c r="UCI156" s="15"/>
      <c r="UCJ156" s="15"/>
      <c r="UCK156" s="15"/>
      <c r="UCL156" s="15"/>
      <c r="UCM156" s="15"/>
      <c r="UCN156" s="15"/>
      <c r="UCO156" s="15"/>
      <c r="UCP156" s="15"/>
      <c r="UCQ156" s="15"/>
      <c r="UCR156" s="15"/>
      <c r="UCS156" s="15"/>
      <c r="UCT156" s="15"/>
      <c r="UCU156" s="15"/>
      <c r="UCV156" s="15"/>
      <c r="UCW156" s="15"/>
      <c r="UCX156" s="15"/>
      <c r="UCY156" s="15"/>
      <c r="UCZ156" s="15"/>
      <c r="UDA156" s="15"/>
      <c r="UDB156" s="15"/>
      <c r="UDC156" s="15"/>
      <c r="UDD156" s="15"/>
      <c r="UDE156" s="15"/>
      <c r="UDF156" s="15"/>
      <c r="UDG156" s="15"/>
      <c r="UDH156" s="15"/>
      <c r="UDI156" s="15"/>
      <c r="UDJ156" s="15"/>
      <c r="UDK156" s="15"/>
      <c r="UDL156" s="15"/>
      <c r="UDM156" s="15"/>
      <c r="UDN156" s="15"/>
      <c r="UDO156" s="15"/>
      <c r="UDP156" s="15"/>
      <c r="UDQ156" s="15"/>
      <c r="UDR156" s="15"/>
      <c r="UDS156" s="15"/>
      <c r="UDT156" s="15"/>
      <c r="UDU156" s="15"/>
      <c r="UDV156" s="15"/>
      <c r="UDW156" s="15"/>
      <c r="UDX156" s="15"/>
      <c r="UDY156" s="15"/>
      <c r="UDZ156" s="15"/>
      <c r="UEA156" s="15"/>
      <c r="UEB156" s="15"/>
      <c r="UEC156" s="15"/>
      <c r="UED156" s="15"/>
      <c r="UEE156" s="15"/>
      <c r="UEF156" s="15"/>
      <c r="UEG156" s="15"/>
      <c r="UEH156" s="15"/>
      <c r="UEI156" s="15"/>
      <c r="UEJ156" s="15"/>
      <c r="UEK156" s="15"/>
      <c r="UEL156" s="15"/>
      <c r="UEM156" s="15"/>
      <c r="UEN156" s="15"/>
      <c r="UEO156" s="15"/>
      <c r="UEP156" s="15"/>
      <c r="UEQ156" s="15"/>
      <c r="UER156" s="15"/>
      <c r="UES156" s="15"/>
      <c r="UET156" s="15"/>
      <c r="UEU156" s="15"/>
      <c r="UEV156" s="15"/>
      <c r="UEW156" s="15"/>
      <c r="UEX156" s="15"/>
      <c r="UEY156" s="15"/>
      <c r="UEZ156" s="15"/>
      <c r="UFA156" s="15"/>
      <c r="UFB156" s="15"/>
      <c r="UFC156" s="15"/>
      <c r="UFD156" s="15"/>
      <c r="UFE156" s="15"/>
      <c r="UFF156" s="15"/>
      <c r="UFG156" s="15"/>
      <c r="UFH156" s="15"/>
      <c r="UFI156" s="15"/>
      <c r="UFJ156" s="15"/>
      <c r="UFK156" s="15"/>
      <c r="UFL156" s="15"/>
      <c r="UFM156" s="15"/>
      <c r="UFN156" s="15"/>
      <c r="UFO156" s="15"/>
      <c r="UFP156" s="15"/>
      <c r="UFQ156" s="15"/>
      <c r="UFR156" s="15"/>
      <c r="UFS156" s="15"/>
      <c r="UFT156" s="15"/>
      <c r="UFU156" s="15"/>
      <c r="UFV156" s="15"/>
      <c r="UFW156" s="15"/>
      <c r="UFX156" s="15"/>
      <c r="UFY156" s="15"/>
      <c r="UFZ156" s="15"/>
      <c r="UGA156" s="15"/>
      <c r="UGB156" s="15"/>
      <c r="UGC156" s="15"/>
      <c r="UGD156" s="15"/>
      <c r="UGE156" s="15"/>
      <c r="UGF156" s="15"/>
      <c r="UGG156" s="15"/>
      <c r="UGH156" s="15"/>
      <c r="UGI156" s="15"/>
      <c r="UGJ156" s="15"/>
      <c r="UGK156" s="15"/>
      <c r="UGL156" s="15"/>
      <c r="UGM156" s="15"/>
      <c r="UGN156" s="15"/>
      <c r="UGO156" s="15"/>
      <c r="UGP156" s="15"/>
      <c r="UGQ156" s="15"/>
      <c r="UGR156" s="15"/>
      <c r="UGS156" s="15"/>
      <c r="UGT156" s="15"/>
      <c r="UGU156" s="15"/>
      <c r="UGV156" s="15"/>
      <c r="UGW156" s="15"/>
      <c r="UGX156" s="15"/>
      <c r="UGY156" s="15"/>
      <c r="UGZ156" s="15"/>
      <c r="UHA156" s="15"/>
      <c r="UHB156" s="15"/>
      <c r="UHC156" s="15"/>
      <c r="UHD156" s="15"/>
      <c r="UHE156" s="15"/>
      <c r="UHF156" s="15"/>
      <c r="UHG156" s="15"/>
      <c r="UHH156" s="15"/>
      <c r="UHI156" s="15"/>
      <c r="UHJ156" s="15"/>
      <c r="UHK156" s="15"/>
      <c r="UHL156" s="15"/>
      <c r="UHM156" s="15"/>
      <c r="UHN156" s="15"/>
      <c r="UHO156" s="15"/>
      <c r="UHP156" s="15"/>
      <c r="UHQ156" s="15"/>
      <c r="UHR156" s="15"/>
      <c r="UHS156" s="15"/>
      <c r="UHT156" s="15"/>
      <c r="UHU156" s="15"/>
      <c r="UHV156" s="15"/>
      <c r="UHW156" s="15"/>
      <c r="UHX156" s="15"/>
      <c r="UHY156" s="15"/>
      <c r="UHZ156" s="15"/>
      <c r="UIA156" s="15"/>
      <c r="UIB156" s="15"/>
      <c r="UIC156" s="15"/>
      <c r="UID156" s="15"/>
      <c r="UIE156" s="15"/>
      <c r="UIF156" s="15"/>
      <c r="UIG156" s="15"/>
      <c r="UIH156" s="15"/>
      <c r="UII156" s="15"/>
      <c r="UIJ156" s="15"/>
      <c r="UIK156" s="15"/>
      <c r="UIL156" s="15"/>
      <c r="UIM156" s="15"/>
      <c r="UIN156" s="15"/>
      <c r="UIO156" s="15"/>
      <c r="UIP156" s="15"/>
      <c r="UIQ156" s="15"/>
      <c r="UIR156" s="15"/>
      <c r="UIS156" s="15"/>
      <c r="UIT156" s="15"/>
      <c r="UIU156" s="15"/>
      <c r="UIV156" s="15"/>
      <c r="UIW156" s="15"/>
      <c r="UIX156" s="15"/>
      <c r="UIY156" s="15"/>
      <c r="UIZ156" s="15"/>
      <c r="UJA156" s="15"/>
      <c r="UJB156" s="15"/>
      <c r="UJC156" s="15"/>
      <c r="UJD156" s="15"/>
      <c r="UJE156" s="15"/>
      <c r="UJF156" s="15"/>
      <c r="UJG156" s="15"/>
      <c r="UJH156" s="15"/>
      <c r="UJI156" s="15"/>
      <c r="UJJ156" s="15"/>
      <c r="UJK156" s="15"/>
      <c r="UJL156" s="15"/>
      <c r="UJM156" s="15"/>
      <c r="UJN156" s="15"/>
      <c r="UJO156" s="15"/>
      <c r="UJP156" s="15"/>
      <c r="UJQ156" s="15"/>
      <c r="UJR156" s="15"/>
      <c r="UJS156" s="15"/>
      <c r="UJT156" s="15"/>
      <c r="UJU156" s="15"/>
      <c r="UJV156" s="15"/>
      <c r="UJW156" s="15"/>
      <c r="UJX156" s="15"/>
      <c r="UJY156" s="15"/>
      <c r="UJZ156" s="15"/>
      <c r="UKA156" s="15"/>
      <c r="UKB156" s="15"/>
      <c r="UKC156" s="15"/>
      <c r="UKD156" s="15"/>
      <c r="UKE156" s="15"/>
      <c r="UKF156" s="15"/>
      <c r="UKG156" s="15"/>
      <c r="UKH156" s="15"/>
      <c r="UKI156" s="15"/>
      <c r="UKJ156" s="15"/>
      <c r="UKK156" s="15"/>
      <c r="UKL156" s="15"/>
      <c r="UKM156" s="15"/>
      <c r="UKN156" s="15"/>
      <c r="UKO156" s="15"/>
      <c r="UKP156" s="15"/>
      <c r="UKQ156" s="15"/>
      <c r="UKR156" s="15"/>
      <c r="UKS156" s="15"/>
      <c r="UKT156" s="15"/>
      <c r="UKU156" s="15"/>
      <c r="UKV156" s="15"/>
      <c r="UKW156" s="15"/>
      <c r="UKX156" s="15"/>
      <c r="UKY156" s="15"/>
      <c r="UKZ156" s="15"/>
      <c r="ULA156" s="15"/>
      <c r="ULB156" s="15"/>
      <c r="ULC156" s="15"/>
      <c r="ULD156" s="15"/>
      <c r="ULE156" s="15"/>
      <c r="ULF156" s="15"/>
      <c r="ULG156" s="15"/>
      <c r="ULH156" s="15"/>
      <c r="ULI156" s="15"/>
      <c r="ULJ156" s="15"/>
      <c r="ULK156" s="15"/>
      <c r="ULL156" s="15"/>
      <c r="ULM156" s="15"/>
      <c r="ULN156" s="15"/>
      <c r="ULO156" s="15"/>
      <c r="ULP156" s="15"/>
      <c r="ULQ156" s="15"/>
      <c r="ULR156" s="15"/>
      <c r="ULS156" s="15"/>
      <c r="ULT156" s="15"/>
      <c r="ULU156" s="15"/>
      <c r="ULV156" s="15"/>
      <c r="ULW156" s="15"/>
      <c r="ULX156" s="15"/>
      <c r="ULY156" s="15"/>
      <c r="ULZ156" s="15"/>
      <c r="UMA156" s="15"/>
      <c r="UMB156" s="15"/>
      <c r="UMC156" s="15"/>
      <c r="UMD156" s="15"/>
      <c r="UME156" s="15"/>
      <c r="UMF156" s="15"/>
      <c r="UMG156" s="15"/>
      <c r="UMH156" s="15"/>
      <c r="UMI156" s="15"/>
      <c r="UMJ156" s="15"/>
      <c r="UMK156" s="15"/>
      <c r="UML156" s="15"/>
      <c r="UMM156" s="15"/>
      <c r="UMN156" s="15"/>
      <c r="UMO156" s="15"/>
      <c r="UMP156" s="15"/>
      <c r="UMQ156" s="15"/>
      <c r="UMR156" s="15"/>
      <c r="UMS156" s="15"/>
      <c r="UMT156" s="15"/>
      <c r="UMU156" s="15"/>
      <c r="UMV156" s="15"/>
      <c r="UMW156" s="15"/>
      <c r="UMX156" s="15"/>
      <c r="UMY156" s="15"/>
      <c r="UMZ156" s="15"/>
      <c r="UNA156" s="15"/>
      <c r="UNB156" s="15"/>
      <c r="UNC156" s="15"/>
      <c r="UND156" s="15"/>
      <c r="UNE156" s="15"/>
      <c r="UNF156" s="15"/>
      <c r="UNG156" s="15"/>
      <c r="UNH156" s="15"/>
      <c r="UNI156" s="15"/>
      <c r="UNJ156" s="15"/>
      <c r="UNK156" s="15"/>
      <c r="UNL156" s="15"/>
      <c r="UNM156" s="15"/>
      <c r="UNN156" s="15"/>
      <c r="UNO156" s="15"/>
      <c r="UNP156" s="15"/>
      <c r="UNQ156" s="15"/>
      <c r="UNR156" s="15"/>
      <c r="UNS156" s="15"/>
      <c r="UNT156" s="15"/>
      <c r="UNU156" s="15"/>
      <c r="UNV156" s="15"/>
      <c r="UNW156" s="15"/>
      <c r="UNX156" s="15"/>
      <c r="UNY156" s="15"/>
      <c r="UNZ156" s="15"/>
      <c r="UOA156" s="15"/>
      <c r="UOB156" s="15"/>
      <c r="UOC156" s="15"/>
      <c r="UOD156" s="15"/>
      <c r="UOE156" s="15"/>
      <c r="UOF156" s="15"/>
      <c r="UOG156" s="15"/>
      <c r="UOH156" s="15"/>
      <c r="UOI156" s="15"/>
      <c r="UOJ156" s="15"/>
      <c r="UOK156" s="15"/>
      <c r="UOL156" s="15"/>
      <c r="UOM156" s="15"/>
      <c r="UON156" s="15"/>
      <c r="UOO156" s="15"/>
      <c r="UOP156" s="15"/>
      <c r="UOQ156" s="15"/>
      <c r="UOR156" s="15"/>
      <c r="UOS156" s="15"/>
      <c r="UOT156" s="15"/>
      <c r="UOU156" s="15"/>
      <c r="UOV156" s="15"/>
      <c r="UOW156" s="15"/>
      <c r="UOX156" s="15"/>
      <c r="UOY156" s="15"/>
      <c r="UOZ156" s="15"/>
      <c r="UPA156" s="15"/>
      <c r="UPB156" s="15"/>
      <c r="UPC156" s="15"/>
      <c r="UPD156" s="15"/>
      <c r="UPE156" s="15"/>
      <c r="UPF156" s="15"/>
      <c r="UPG156" s="15"/>
      <c r="UPH156" s="15"/>
      <c r="UPI156" s="15"/>
      <c r="UPJ156" s="15"/>
      <c r="UPK156" s="15"/>
      <c r="UPL156" s="15"/>
      <c r="UPM156" s="15"/>
      <c r="UPN156" s="15"/>
      <c r="UPO156" s="15"/>
      <c r="UPP156" s="15"/>
      <c r="UPQ156" s="15"/>
      <c r="UPR156" s="15"/>
      <c r="UPS156" s="15"/>
      <c r="UPT156" s="15"/>
      <c r="UPU156" s="15"/>
      <c r="UPV156" s="15"/>
      <c r="UPW156" s="15"/>
      <c r="UPX156" s="15"/>
      <c r="UPY156" s="15"/>
      <c r="UPZ156" s="15"/>
      <c r="UQA156" s="15"/>
      <c r="UQB156" s="15"/>
      <c r="UQC156" s="15"/>
      <c r="UQD156" s="15"/>
      <c r="UQE156" s="15"/>
      <c r="UQF156" s="15"/>
      <c r="UQG156" s="15"/>
      <c r="UQH156" s="15"/>
      <c r="UQI156" s="15"/>
      <c r="UQJ156" s="15"/>
      <c r="UQK156" s="15"/>
      <c r="UQL156" s="15"/>
      <c r="UQM156" s="15"/>
      <c r="UQN156" s="15"/>
      <c r="UQO156" s="15"/>
      <c r="UQP156" s="15"/>
      <c r="UQQ156" s="15"/>
      <c r="UQR156" s="15"/>
      <c r="UQS156" s="15"/>
      <c r="UQT156" s="15"/>
      <c r="UQU156" s="15"/>
      <c r="UQV156" s="15"/>
      <c r="UQW156" s="15"/>
      <c r="UQX156" s="15"/>
      <c r="UQY156" s="15"/>
      <c r="UQZ156" s="15"/>
      <c r="URA156" s="15"/>
      <c r="URB156" s="15"/>
      <c r="URC156" s="15"/>
      <c r="URD156" s="15"/>
      <c r="URE156" s="15"/>
      <c r="URF156" s="15"/>
      <c r="URG156" s="15"/>
      <c r="URH156" s="15"/>
      <c r="URI156" s="15"/>
      <c r="URJ156" s="15"/>
      <c r="URK156" s="15"/>
      <c r="URL156" s="15"/>
      <c r="URM156" s="15"/>
      <c r="URN156" s="15"/>
      <c r="URO156" s="15"/>
      <c r="URP156" s="15"/>
      <c r="URQ156" s="15"/>
      <c r="URR156" s="15"/>
      <c r="URS156" s="15"/>
      <c r="URT156" s="15"/>
      <c r="URU156" s="15"/>
      <c r="URV156" s="15"/>
      <c r="URW156" s="15"/>
      <c r="URX156" s="15"/>
      <c r="URY156" s="15"/>
      <c r="URZ156" s="15"/>
      <c r="USA156" s="15"/>
      <c r="USB156" s="15"/>
      <c r="USC156" s="15"/>
      <c r="USD156" s="15"/>
      <c r="USE156" s="15"/>
      <c r="USF156" s="15"/>
      <c r="USG156" s="15"/>
      <c r="USH156" s="15"/>
      <c r="USI156" s="15"/>
      <c r="USJ156" s="15"/>
      <c r="USK156" s="15"/>
      <c r="USL156" s="15"/>
      <c r="USM156" s="15"/>
      <c r="USN156" s="15"/>
      <c r="USO156" s="15"/>
      <c r="USP156" s="15"/>
      <c r="USQ156" s="15"/>
      <c r="USR156" s="15"/>
      <c r="USS156" s="15"/>
      <c r="UST156" s="15"/>
      <c r="USU156" s="15"/>
      <c r="USV156" s="15"/>
      <c r="USW156" s="15"/>
      <c r="USX156" s="15"/>
      <c r="USY156" s="15"/>
      <c r="USZ156" s="15"/>
      <c r="UTA156" s="15"/>
      <c r="UTB156" s="15"/>
      <c r="UTC156" s="15"/>
      <c r="UTD156" s="15"/>
      <c r="UTE156" s="15"/>
      <c r="UTF156" s="15"/>
      <c r="UTG156" s="15"/>
      <c r="UTH156" s="15"/>
      <c r="UTI156" s="15"/>
      <c r="UTJ156" s="15"/>
      <c r="UTK156" s="15"/>
      <c r="UTL156" s="15"/>
      <c r="UTM156" s="15"/>
      <c r="UTN156" s="15"/>
      <c r="UTO156" s="15"/>
      <c r="UTP156" s="15"/>
      <c r="UTQ156" s="15"/>
      <c r="UTR156" s="15"/>
      <c r="UTS156" s="15"/>
      <c r="UTT156" s="15"/>
      <c r="UTU156" s="15"/>
      <c r="UTV156" s="15"/>
      <c r="UTW156" s="15"/>
      <c r="UTX156" s="15"/>
      <c r="UTY156" s="15"/>
      <c r="UTZ156" s="15"/>
      <c r="UUA156" s="15"/>
      <c r="UUB156" s="15"/>
      <c r="UUC156" s="15"/>
      <c r="UUD156" s="15"/>
      <c r="UUE156" s="15"/>
      <c r="UUF156" s="15"/>
      <c r="UUG156" s="15"/>
      <c r="UUH156" s="15"/>
      <c r="UUI156" s="15"/>
      <c r="UUJ156" s="15"/>
      <c r="UUK156" s="15"/>
      <c r="UUL156" s="15"/>
      <c r="UUM156" s="15"/>
      <c r="UUN156" s="15"/>
      <c r="UUO156" s="15"/>
      <c r="UUP156" s="15"/>
      <c r="UUQ156" s="15"/>
      <c r="UUR156" s="15"/>
      <c r="UUS156" s="15"/>
      <c r="UUT156" s="15"/>
      <c r="UUU156" s="15"/>
      <c r="UUV156" s="15"/>
      <c r="UUW156" s="15"/>
      <c r="UUX156" s="15"/>
      <c r="UUY156" s="15"/>
      <c r="UUZ156" s="15"/>
      <c r="UVA156" s="15"/>
      <c r="UVB156" s="15"/>
      <c r="UVC156" s="15"/>
      <c r="UVD156" s="15"/>
      <c r="UVE156" s="15"/>
      <c r="UVF156" s="15"/>
      <c r="UVG156" s="15"/>
      <c r="UVH156" s="15"/>
      <c r="UVI156" s="15"/>
      <c r="UVJ156" s="15"/>
      <c r="UVK156" s="15"/>
      <c r="UVL156" s="15"/>
      <c r="UVM156" s="15"/>
      <c r="UVN156" s="15"/>
      <c r="UVO156" s="15"/>
      <c r="UVP156" s="15"/>
      <c r="UVQ156" s="15"/>
      <c r="UVR156" s="15"/>
      <c r="UVS156" s="15"/>
      <c r="UVT156" s="15"/>
      <c r="UVU156" s="15"/>
      <c r="UVV156" s="15"/>
      <c r="UVW156" s="15"/>
      <c r="UVX156" s="15"/>
      <c r="UVY156" s="15"/>
      <c r="UVZ156" s="15"/>
      <c r="UWA156" s="15"/>
      <c r="UWB156" s="15"/>
      <c r="UWC156" s="15"/>
      <c r="UWD156" s="15"/>
      <c r="UWE156" s="15"/>
      <c r="UWF156" s="15"/>
      <c r="UWG156" s="15"/>
      <c r="UWH156" s="15"/>
      <c r="UWI156" s="15"/>
      <c r="UWJ156" s="15"/>
      <c r="UWK156" s="15"/>
      <c r="UWL156" s="15"/>
      <c r="UWM156" s="15"/>
      <c r="UWN156" s="15"/>
      <c r="UWO156" s="15"/>
      <c r="UWP156" s="15"/>
      <c r="UWQ156" s="15"/>
      <c r="UWR156" s="15"/>
      <c r="UWS156" s="15"/>
      <c r="UWT156" s="15"/>
      <c r="UWU156" s="15"/>
      <c r="UWV156" s="15"/>
      <c r="UWW156" s="15"/>
      <c r="UWX156" s="15"/>
      <c r="UWY156" s="15"/>
      <c r="UWZ156" s="15"/>
      <c r="UXA156" s="15"/>
      <c r="UXB156" s="15"/>
      <c r="UXC156" s="15"/>
      <c r="UXD156" s="15"/>
      <c r="UXE156" s="15"/>
      <c r="UXF156" s="15"/>
      <c r="UXG156" s="15"/>
      <c r="UXH156" s="15"/>
      <c r="UXI156" s="15"/>
      <c r="UXJ156" s="15"/>
      <c r="UXK156" s="15"/>
      <c r="UXL156" s="15"/>
      <c r="UXM156" s="15"/>
      <c r="UXN156" s="15"/>
      <c r="UXO156" s="15"/>
      <c r="UXP156" s="15"/>
      <c r="UXQ156" s="15"/>
      <c r="UXR156" s="15"/>
      <c r="UXS156" s="15"/>
      <c r="UXT156" s="15"/>
      <c r="UXU156" s="15"/>
      <c r="UXV156" s="15"/>
      <c r="UXW156" s="15"/>
      <c r="UXX156" s="15"/>
      <c r="UXY156" s="15"/>
      <c r="UXZ156" s="15"/>
      <c r="UYA156" s="15"/>
      <c r="UYB156" s="15"/>
      <c r="UYC156" s="15"/>
      <c r="UYD156" s="15"/>
      <c r="UYE156" s="15"/>
      <c r="UYF156" s="15"/>
      <c r="UYG156" s="15"/>
      <c r="UYH156" s="15"/>
      <c r="UYI156" s="15"/>
      <c r="UYJ156" s="15"/>
      <c r="UYK156" s="15"/>
      <c r="UYL156" s="15"/>
      <c r="UYM156" s="15"/>
      <c r="UYN156" s="15"/>
      <c r="UYO156" s="15"/>
      <c r="UYP156" s="15"/>
      <c r="UYQ156" s="15"/>
      <c r="UYR156" s="15"/>
      <c r="UYS156" s="15"/>
      <c r="UYT156" s="15"/>
      <c r="UYU156" s="15"/>
      <c r="UYV156" s="15"/>
      <c r="UYW156" s="15"/>
      <c r="UYX156" s="15"/>
      <c r="UYY156" s="15"/>
      <c r="UYZ156" s="15"/>
      <c r="UZA156" s="15"/>
      <c r="UZB156" s="15"/>
      <c r="UZC156" s="15"/>
      <c r="UZD156" s="15"/>
      <c r="UZE156" s="15"/>
      <c r="UZF156" s="15"/>
      <c r="UZG156" s="15"/>
      <c r="UZH156" s="15"/>
      <c r="UZI156" s="15"/>
      <c r="UZJ156" s="15"/>
      <c r="UZK156" s="15"/>
      <c r="UZL156" s="15"/>
      <c r="UZM156" s="15"/>
      <c r="UZN156" s="15"/>
      <c r="UZO156" s="15"/>
      <c r="UZP156" s="15"/>
      <c r="UZQ156" s="15"/>
      <c r="UZR156" s="15"/>
      <c r="UZS156" s="15"/>
      <c r="UZT156" s="15"/>
      <c r="UZU156" s="15"/>
      <c r="UZV156" s="15"/>
      <c r="UZW156" s="15"/>
      <c r="UZX156" s="15"/>
      <c r="UZY156" s="15"/>
      <c r="UZZ156" s="15"/>
      <c r="VAA156" s="15"/>
      <c r="VAB156" s="15"/>
      <c r="VAC156" s="15"/>
      <c r="VAD156" s="15"/>
      <c r="VAE156" s="15"/>
      <c r="VAF156" s="15"/>
      <c r="VAG156" s="15"/>
      <c r="VAH156" s="15"/>
      <c r="VAI156" s="15"/>
      <c r="VAJ156" s="15"/>
      <c r="VAK156" s="15"/>
      <c r="VAL156" s="15"/>
      <c r="VAM156" s="15"/>
      <c r="VAN156" s="15"/>
      <c r="VAO156" s="15"/>
      <c r="VAP156" s="15"/>
      <c r="VAQ156" s="15"/>
      <c r="VAR156" s="15"/>
      <c r="VAS156" s="15"/>
      <c r="VAT156" s="15"/>
      <c r="VAU156" s="15"/>
      <c r="VAV156" s="15"/>
      <c r="VAW156" s="15"/>
      <c r="VAX156" s="15"/>
      <c r="VAY156" s="15"/>
      <c r="VAZ156" s="15"/>
      <c r="VBA156" s="15"/>
      <c r="VBB156" s="15"/>
      <c r="VBC156" s="15"/>
      <c r="VBD156" s="15"/>
      <c r="VBE156" s="15"/>
      <c r="VBF156" s="15"/>
      <c r="VBG156" s="15"/>
      <c r="VBH156" s="15"/>
      <c r="VBI156" s="15"/>
      <c r="VBJ156" s="15"/>
      <c r="VBK156" s="15"/>
      <c r="VBL156" s="15"/>
      <c r="VBM156" s="15"/>
      <c r="VBN156" s="15"/>
      <c r="VBO156" s="15"/>
      <c r="VBP156" s="15"/>
      <c r="VBQ156" s="15"/>
      <c r="VBR156" s="15"/>
      <c r="VBS156" s="15"/>
      <c r="VBT156" s="15"/>
      <c r="VBU156" s="15"/>
      <c r="VBV156" s="15"/>
      <c r="VBW156" s="15"/>
      <c r="VBX156" s="15"/>
      <c r="VBY156" s="15"/>
      <c r="VBZ156" s="15"/>
      <c r="VCA156" s="15"/>
      <c r="VCB156" s="15"/>
      <c r="VCC156" s="15"/>
      <c r="VCD156" s="15"/>
      <c r="VCE156" s="15"/>
      <c r="VCF156" s="15"/>
      <c r="VCG156" s="15"/>
      <c r="VCH156" s="15"/>
      <c r="VCI156" s="15"/>
      <c r="VCJ156" s="15"/>
      <c r="VCK156" s="15"/>
      <c r="VCL156" s="15"/>
      <c r="VCM156" s="15"/>
      <c r="VCN156" s="15"/>
      <c r="VCO156" s="15"/>
      <c r="VCP156" s="15"/>
      <c r="VCQ156" s="15"/>
      <c r="VCR156" s="15"/>
      <c r="VCS156" s="15"/>
      <c r="VCT156" s="15"/>
      <c r="VCU156" s="15"/>
      <c r="VCV156" s="15"/>
      <c r="VCW156" s="15"/>
      <c r="VCX156" s="15"/>
      <c r="VCY156" s="15"/>
      <c r="VCZ156" s="15"/>
      <c r="VDA156" s="15"/>
      <c r="VDB156" s="15"/>
      <c r="VDC156" s="15"/>
      <c r="VDD156" s="15"/>
      <c r="VDE156" s="15"/>
      <c r="VDF156" s="15"/>
      <c r="VDG156" s="15"/>
      <c r="VDH156" s="15"/>
      <c r="VDI156" s="15"/>
      <c r="VDJ156" s="15"/>
      <c r="VDK156" s="15"/>
      <c r="VDL156" s="15"/>
      <c r="VDM156" s="15"/>
      <c r="VDN156" s="15"/>
      <c r="VDO156" s="15"/>
      <c r="VDP156" s="15"/>
      <c r="VDQ156" s="15"/>
      <c r="VDR156" s="15"/>
      <c r="VDS156" s="15"/>
      <c r="VDT156" s="15"/>
      <c r="VDU156" s="15"/>
      <c r="VDV156" s="15"/>
      <c r="VDW156" s="15"/>
      <c r="VDX156" s="15"/>
      <c r="VDY156" s="15"/>
      <c r="VDZ156" s="15"/>
      <c r="VEA156" s="15"/>
      <c r="VEB156" s="15"/>
      <c r="VEC156" s="15"/>
      <c r="VED156" s="15"/>
      <c r="VEE156" s="15"/>
      <c r="VEF156" s="15"/>
      <c r="VEG156" s="15"/>
      <c r="VEH156" s="15"/>
      <c r="VEI156" s="15"/>
      <c r="VEJ156" s="15"/>
      <c r="VEK156" s="15"/>
      <c r="VEL156" s="15"/>
      <c r="VEM156" s="15"/>
      <c r="VEN156" s="15"/>
      <c r="VEO156" s="15"/>
      <c r="VEP156" s="15"/>
      <c r="VEQ156" s="15"/>
      <c r="VER156" s="15"/>
      <c r="VES156" s="15"/>
      <c r="VET156" s="15"/>
      <c r="VEU156" s="15"/>
      <c r="VEV156" s="15"/>
      <c r="VEW156" s="15"/>
      <c r="VEX156" s="15"/>
      <c r="VEY156" s="15"/>
      <c r="VEZ156" s="15"/>
      <c r="VFA156" s="15"/>
      <c r="VFB156" s="15"/>
      <c r="VFC156" s="15"/>
      <c r="VFD156" s="15"/>
      <c r="VFE156" s="15"/>
      <c r="VFF156" s="15"/>
      <c r="VFG156" s="15"/>
      <c r="VFH156" s="15"/>
      <c r="VFI156" s="15"/>
      <c r="VFJ156" s="15"/>
      <c r="VFK156" s="15"/>
      <c r="VFL156" s="15"/>
      <c r="VFM156" s="15"/>
      <c r="VFN156" s="15"/>
      <c r="VFO156" s="15"/>
      <c r="VFP156" s="15"/>
      <c r="VFQ156" s="15"/>
      <c r="VFR156" s="15"/>
      <c r="VFS156" s="15"/>
      <c r="VFT156" s="15"/>
      <c r="VFU156" s="15"/>
      <c r="VFV156" s="15"/>
      <c r="VFW156" s="15"/>
      <c r="VFX156" s="15"/>
      <c r="VFY156" s="15"/>
      <c r="VFZ156" s="15"/>
      <c r="VGA156" s="15"/>
      <c r="VGB156" s="15"/>
      <c r="VGC156" s="15"/>
      <c r="VGD156" s="15"/>
      <c r="VGE156" s="15"/>
      <c r="VGF156" s="15"/>
      <c r="VGG156" s="15"/>
      <c r="VGH156" s="15"/>
      <c r="VGI156" s="15"/>
      <c r="VGJ156" s="15"/>
      <c r="VGK156" s="15"/>
      <c r="VGL156" s="15"/>
      <c r="VGM156" s="15"/>
      <c r="VGN156" s="15"/>
      <c r="VGO156" s="15"/>
      <c r="VGP156" s="15"/>
      <c r="VGQ156" s="15"/>
      <c r="VGR156" s="15"/>
      <c r="VGS156" s="15"/>
      <c r="VGT156" s="15"/>
      <c r="VGU156" s="15"/>
      <c r="VGV156" s="15"/>
      <c r="VGW156" s="15"/>
      <c r="VGX156" s="15"/>
      <c r="VGY156" s="15"/>
      <c r="VGZ156" s="15"/>
      <c r="VHA156" s="15"/>
      <c r="VHB156" s="15"/>
      <c r="VHC156" s="15"/>
      <c r="VHD156" s="15"/>
      <c r="VHE156" s="15"/>
      <c r="VHF156" s="15"/>
      <c r="VHG156" s="15"/>
      <c r="VHH156" s="15"/>
      <c r="VHI156" s="15"/>
      <c r="VHJ156" s="15"/>
      <c r="VHK156" s="15"/>
      <c r="VHL156" s="15"/>
      <c r="VHM156" s="15"/>
      <c r="VHN156" s="15"/>
      <c r="VHO156" s="15"/>
      <c r="VHP156" s="15"/>
      <c r="VHQ156" s="15"/>
      <c r="VHR156" s="15"/>
      <c r="VHS156" s="15"/>
      <c r="VHT156" s="15"/>
      <c r="VHU156" s="15"/>
      <c r="VHV156" s="15"/>
      <c r="VHW156" s="15"/>
      <c r="VHX156" s="15"/>
      <c r="VHY156" s="15"/>
      <c r="VHZ156" s="15"/>
      <c r="VIA156" s="15"/>
      <c r="VIB156" s="15"/>
      <c r="VIC156" s="15"/>
      <c r="VID156" s="15"/>
      <c r="VIE156" s="15"/>
      <c r="VIF156" s="15"/>
      <c r="VIG156" s="15"/>
      <c r="VIH156" s="15"/>
      <c r="VII156" s="15"/>
      <c r="VIJ156" s="15"/>
      <c r="VIK156" s="15"/>
      <c r="VIL156" s="15"/>
      <c r="VIM156" s="15"/>
      <c r="VIN156" s="15"/>
      <c r="VIO156" s="15"/>
      <c r="VIP156" s="15"/>
      <c r="VIQ156" s="15"/>
      <c r="VIR156" s="15"/>
      <c r="VIS156" s="15"/>
      <c r="VIT156" s="15"/>
      <c r="VIU156" s="15"/>
      <c r="VIV156" s="15"/>
      <c r="VIW156" s="15"/>
      <c r="VIX156" s="15"/>
      <c r="VIY156" s="15"/>
      <c r="VIZ156" s="15"/>
      <c r="VJA156" s="15"/>
      <c r="VJB156" s="15"/>
      <c r="VJC156" s="15"/>
      <c r="VJD156" s="15"/>
      <c r="VJE156" s="15"/>
      <c r="VJF156" s="15"/>
      <c r="VJG156" s="15"/>
      <c r="VJH156" s="15"/>
      <c r="VJI156" s="15"/>
      <c r="VJJ156" s="15"/>
      <c r="VJK156" s="15"/>
      <c r="VJL156" s="15"/>
      <c r="VJM156" s="15"/>
      <c r="VJN156" s="15"/>
      <c r="VJO156" s="15"/>
      <c r="VJP156" s="15"/>
      <c r="VJQ156" s="15"/>
      <c r="VJR156" s="15"/>
      <c r="VJS156" s="15"/>
      <c r="VJT156" s="15"/>
      <c r="VJU156" s="15"/>
      <c r="VJV156" s="15"/>
      <c r="VJW156" s="15"/>
      <c r="VJX156" s="15"/>
      <c r="VJY156" s="15"/>
      <c r="VJZ156" s="15"/>
      <c r="VKA156" s="15"/>
      <c r="VKB156" s="15"/>
      <c r="VKC156" s="15"/>
      <c r="VKD156" s="15"/>
      <c r="VKE156" s="15"/>
      <c r="VKF156" s="15"/>
      <c r="VKG156" s="15"/>
      <c r="VKH156" s="15"/>
      <c r="VKI156" s="15"/>
      <c r="VKJ156" s="15"/>
      <c r="VKK156" s="15"/>
      <c r="VKL156" s="15"/>
      <c r="VKM156" s="15"/>
      <c r="VKN156" s="15"/>
      <c r="VKO156" s="15"/>
      <c r="VKP156" s="15"/>
      <c r="VKQ156" s="15"/>
      <c r="VKR156" s="15"/>
      <c r="VKS156" s="15"/>
      <c r="VKT156" s="15"/>
      <c r="VKU156" s="15"/>
      <c r="VKV156" s="15"/>
      <c r="VKW156" s="15"/>
      <c r="VKX156" s="15"/>
      <c r="VKY156" s="15"/>
      <c r="VKZ156" s="15"/>
      <c r="VLA156" s="15"/>
      <c r="VLB156" s="15"/>
      <c r="VLC156" s="15"/>
      <c r="VLD156" s="15"/>
      <c r="VLE156" s="15"/>
      <c r="VLF156" s="15"/>
      <c r="VLG156" s="15"/>
      <c r="VLH156" s="15"/>
      <c r="VLI156" s="15"/>
      <c r="VLJ156" s="15"/>
      <c r="VLK156" s="15"/>
      <c r="VLL156" s="15"/>
      <c r="VLM156" s="15"/>
      <c r="VLN156" s="15"/>
      <c r="VLO156" s="15"/>
      <c r="VLP156" s="15"/>
      <c r="VLQ156" s="15"/>
      <c r="VLR156" s="15"/>
      <c r="VLS156" s="15"/>
      <c r="VLT156" s="15"/>
      <c r="VLU156" s="15"/>
      <c r="VLV156" s="15"/>
      <c r="VLW156" s="15"/>
      <c r="VLX156" s="15"/>
      <c r="VLY156" s="15"/>
      <c r="VLZ156" s="15"/>
      <c r="VMA156" s="15"/>
      <c r="VMB156" s="15"/>
      <c r="VMC156" s="15"/>
      <c r="VMD156" s="15"/>
      <c r="VME156" s="15"/>
      <c r="VMF156" s="15"/>
      <c r="VMG156" s="15"/>
      <c r="VMH156" s="15"/>
      <c r="VMI156" s="15"/>
      <c r="VMJ156" s="15"/>
      <c r="VMK156" s="15"/>
      <c r="VML156" s="15"/>
      <c r="VMM156" s="15"/>
      <c r="VMN156" s="15"/>
      <c r="VMO156" s="15"/>
      <c r="VMP156" s="15"/>
      <c r="VMQ156" s="15"/>
      <c r="VMR156" s="15"/>
      <c r="VMS156" s="15"/>
      <c r="VMT156" s="15"/>
      <c r="VMU156" s="15"/>
      <c r="VMV156" s="15"/>
      <c r="VMW156" s="15"/>
      <c r="VMX156" s="15"/>
      <c r="VMY156" s="15"/>
      <c r="VMZ156" s="15"/>
      <c r="VNA156" s="15"/>
      <c r="VNB156" s="15"/>
      <c r="VNC156" s="15"/>
      <c r="VND156" s="15"/>
      <c r="VNE156" s="15"/>
      <c r="VNF156" s="15"/>
      <c r="VNG156" s="15"/>
      <c r="VNH156" s="15"/>
      <c r="VNI156" s="15"/>
      <c r="VNJ156" s="15"/>
      <c r="VNK156" s="15"/>
      <c r="VNL156" s="15"/>
      <c r="VNM156" s="15"/>
      <c r="VNN156" s="15"/>
      <c r="VNO156" s="15"/>
      <c r="VNP156" s="15"/>
      <c r="VNQ156" s="15"/>
      <c r="VNR156" s="15"/>
      <c r="VNS156" s="15"/>
      <c r="VNT156" s="15"/>
      <c r="VNU156" s="15"/>
      <c r="VNV156" s="15"/>
      <c r="VNW156" s="15"/>
      <c r="VNX156" s="15"/>
      <c r="VNY156" s="15"/>
      <c r="VNZ156" s="15"/>
      <c r="VOA156" s="15"/>
      <c r="VOB156" s="15"/>
      <c r="VOC156" s="15"/>
      <c r="VOD156" s="15"/>
      <c r="VOE156" s="15"/>
      <c r="VOF156" s="15"/>
      <c r="VOG156" s="15"/>
      <c r="VOH156" s="15"/>
      <c r="VOI156" s="15"/>
      <c r="VOJ156" s="15"/>
      <c r="VOK156" s="15"/>
      <c r="VOL156" s="15"/>
      <c r="VOM156" s="15"/>
      <c r="VON156" s="15"/>
      <c r="VOO156" s="15"/>
      <c r="VOP156" s="15"/>
      <c r="VOQ156" s="15"/>
      <c r="VOR156" s="15"/>
      <c r="VOS156" s="15"/>
      <c r="VOT156" s="15"/>
      <c r="VOU156" s="15"/>
      <c r="VOV156" s="15"/>
      <c r="VOW156" s="15"/>
      <c r="VOX156" s="15"/>
      <c r="VOY156" s="15"/>
      <c r="VOZ156" s="15"/>
      <c r="VPA156" s="15"/>
      <c r="VPB156" s="15"/>
      <c r="VPC156" s="15"/>
      <c r="VPD156" s="15"/>
      <c r="VPE156" s="15"/>
      <c r="VPF156" s="15"/>
      <c r="VPG156" s="15"/>
      <c r="VPH156" s="15"/>
      <c r="VPI156" s="15"/>
      <c r="VPJ156" s="15"/>
      <c r="VPK156" s="15"/>
      <c r="VPL156" s="15"/>
      <c r="VPM156" s="15"/>
      <c r="VPN156" s="15"/>
      <c r="VPO156" s="15"/>
      <c r="VPP156" s="15"/>
      <c r="VPQ156" s="15"/>
      <c r="VPR156" s="15"/>
      <c r="VPS156" s="15"/>
      <c r="VPT156" s="15"/>
      <c r="VPU156" s="15"/>
      <c r="VPV156" s="15"/>
      <c r="VPW156" s="15"/>
      <c r="VPX156" s="15"/>
      <c r="VPY156" s="15"/>
      <c r="VPZ156" s="15"/>
      <c r="VQA156" s="15"/>
      <c r="VQB156" s="15"/>
      <c r="VQC156" s="15"/>
      <c r="VQD156" s="15"/>
      <c r="VQE156" s="15"/>
      <c r="VQF156" s="15"/>
      <c r="VQG156" s="15"/>
      <c r="VQH156" s="15"/>
      <c r="VQI156" s="15"/>
      <c r="VQJ156" s="15"/>
      <c r="VQK156" s="15"/>
      <c r="VQL156" s="15"/>
      <c r="VQM156" s="15"/>
      <c r="VQN156" s="15"/>
      <c r="VQO156" s="15"/>
      <c r="VQP156" s="15"/>
      <c r="VQQ156" s="15"/>
      <c r="VQR156" s="15"/>
      <c r="VQS156" s="15"/>
      <c r="VQT156" s="15"/>
      <c r="VQU156" s="15"/>
      <c r="VQV156" s="15"/>
      <c r="VQW156" s="15"/>
      <c r="VQX156" s="15"/>
      <c r="VQY156" s="15"/>
      <c r="VQZ156" s="15"/>
      <c r="VRA156" s="15"/>
      <c r="VRB156" s="15"/>
      <c r="VRC156" s="15"/>
      <c r="VRD156" s="15"/>
      <c r="VRE156" s="15"/>
      <c r="VRF156" s="15"/>
      <c r="VRG156" s="15"/>
      <c r="VRH156" s="15"/>
      <c r="VRI156" s="15"/>
      <c r="VRJ156" s="15"/>
      <c r="VRK156" s="15"/>
      <c r="VRL156" s="15"/>
      <c r="VRM156" s="15"/>
      <c r="VRN156" s="15"/>
      <c r="VRO156" s="15"/>
      <c r="VRP156" s="15"/>
      <c r="VRQ156" s="15"/>
      <c r="VRR156" s="15"/>
      <c r="VRS156" s="15"/>
      <c r="VRT156" s="15"/>
      <c r="VRU156" s="15"/>
      <c r="VRV156" s="15"/>
      <c r="VRW156" s="15"/>
      <c r="VRX156" s="15"/>
      <c r="VRY156" s="15"/>
      <c r="VRZ156" s="15"/>
      <c r="VSA156" s="15"/>
      <c r="VSB156" s="15"/>
      <c r="VSC156" s="15"/>
      <c r="VSD156" s="15"/>
      <c r="VSE156" s="15"/>
      <c r="VSF156" s="15"/>
      <c r="VSG156" s="15"/>
      <c r="VSH156" s="15"/>
      <c r="VSI156" s="15"/>
      <c r="VSJ156" s="15"/>
      <c r="VSK156" s="15"/>
      <c r="VSL156" s="15"/>
      <c r="VSM156" s="15"/>
      <c r="VSN156" s="15"/>
      <c r="VSO156" s="15"/>
      <c r="VSP156" s="15"/>
      <c r="VSQ156" s="15"/>
      <c r="VSR156" s="15"/>
      <c r="VSS156" s="15"/>
      <c r="VST156" s="15"/>
      <c r="VSU156" s="15"/>
      <c r="VSV156" s="15"/>
      <c r="VSW156" s="15"/>
      <c r="VSX156" s="15"/>
      <c r="VSY156" s="15"/>
      <c r="VSZ156" s="15"/>
      <c r="VTA156" s="15"/>
      <c r="VTB156" s="15"/>
      <c r="VTC156" s="15"/>
      <c r="VTD156" s="15"/>
      <c r="VTE156" s="15"/>
      <c r="VTF156" s="15"/>
      <c r="VTG156" s="15"/>
      <c r="VTH156" s="15"/>
      <c r="VTI156" s="15"/>
      <c r="VTJ156" s="15"/>
      <c r="VTK156" s="15"/>
      <c r="VTL156" s="15"/>
      <c r="VTM156" s="15"/>
      <c r="VTN156" s="15"/>
      <c r="VTO156" s="15"/>
      <c r="VTP156" s="15"/>
      <c r="VTQ156" s="15"/>
      <c r="VTR156" s="15"/>
      <c r="VTS156" s="15"/>
      <c r="VTT156" s="15"/>
      <c r="VTU156" s="15"/>
      <c r="VTV156" s="15"/>
      <c r="VTW156" s="15"/>
      <c r="VTX156" s="15"/>
      <c r="VTY156" s="15"/>
      <c r="VTZ156" s="15"/>
      <c r="VUA156" s="15"/>
      <c r="VUB156" s="15"/>
      <c r="VUC156" s="15"/>
      <c r="VUD156" s="15"/>
      <c r="VUE156" s="15"/>
      <c r="VUF156" s="15"/>
      <c r="VUG156" s="15"/>
      <c r="VUH156" s="15"/>
      <c r="VUI156" s="15"/>
      <c r="VUJ156" s="15"/>
      <c r="VUK156" s="15"/>
      <c r="VUL156" s="15"/>
      <c r="VUM156" s="15"/>
      <c r="VUN156" s="15"/>
      <c r="VUO156" s="15"/>
      <c r="VUP156" s="15"/>
      <c r="VUQ156" s="15"/>
      <c r="VUR156" s="15"/>
      <c r="VUS156" s="15"/>
      <c r="VUT156" s="15"/>
      <c r="VUU156" s="15"/>
      <c r="VUV156" s="15"/>
      <c r="VUW156" s="15"/>
      <c r="VUX156" s="15"/>
      <c r="VUY156" s="15"/>
      <c r="VUZ156" s="15"/>
      <c r="VVA156" s="15"/>
      <c r="VVB156" s="15"/>
      <c r="VVC156" s="15"/>
      <c r="VVD156" s="15"/>
      <c r="VVE156" s="15"/>
      <c r="VVF156" s="15"/>
      <c r="VVG156" s="15"/>
      <c r="VVH156" s="15"/>
      <c r="VVI156" s="15"/>
      <c r="VVJ156" s="15"/>
      <c r="VVK156" s="15"/>
      <c r="VVL156" s="15"/>
      <c r="VVM156" s="15"/>
      <c r="VVN156" s="15"/>
      <c r="VVO156" s="15"/>
      <c r="VVP156" s="15"/>
      <c r="VVQ156" s="15"/>
      <c r="VVR156" s="15"/>
      <c r="VVS156" s="15"/>
      <c r="VVT156" s="15"/>
      <c r="VVU156" s="15"/>
      <c r="VVV156" s="15"/>
      <c r="VVW156" s="15"/>
      <c r="VVX156" s="15"/>
      <c r="VVY156" s="15"/>
      <c r="VVZ156" s="15"/>
      <c r="VWA156" s="15"/>
      <c r="VWB156" s="15"/>
      <c r="VWC156" s="15"/>
      <c r="VWD156" s="15"/>
      <c r="VWE156" s="15"/>
      <c r="VWF156" s="15"/>
      <c r="VWG156" s="15"/>
      <c r="VWH156" s="15"/>
      <c r="VWI156" s="15"/>
      <c r="VWJ156" s="15"/>
      <c r="VWK156" s="15"/>
      <c r="VWL156" s="15"/>
      <c r="VWM156" s="15"/>
      <c r="VWN156" s="15"/>
      <c r="VWO156" s="15"/>
      <c r="VWP156" s="15"/>
      <c r="VWQ156" s="15"/>
      <c r="VWR156" s="15"/>
      <c r="VWS156" s="15"/>
      <c r="VWT156" s="15"/>
      <c r="VWU156" s="15"/>
      <c r="VWV156" s="15"/>
      <c r="VWW156" s="15"/>
      <c r="VWX156" s="15"/>
      <c r="VWY156" s="15"/>
      <c r="VWZ156" s="15"/>
      <c r="VXA156" s="15"/>
      <c r="VXB156" s="15"/>
      <c r="VXC156" s="15"/>
      <c r="VXD156" s="15"/>
      <c r="VXE156" s="15"/>
      <c r="VXF156" s="15"/>
      <c r="VXG156" s="15"/>
      <c r="VXH156" s="15"/>
      <c r="VXI156" s="15"/>
      <c r="VXJ156" s="15"/>
      <c r="VXK156" s="15"/>
      <c r="VXL156" s="15"/>
      <c r="VXM156" s="15"/>
      <c r="VXN156" s="15"/>
      <c r="VXO156" s="15"/>
      <c r="VXP156" s="15"/>
      <c r="VXQ156" s="15"/>
      <c r="VXR156" s="15"/>
      <c r="VXS156" s="15"/>
      <c r="VXT156" s="15"/>
      <c r="VXU156" s="15"/>
      <c r="VXV156" s="15"/>
      <c r="VXW156" s="15"/>
      <c r="VXX156" s="15"/>
      <c r="VXY156" s="15"/>
      <c r="VXZ156" s="15"/>
      <c r="VYA156" s="15"/>
      <c r="VYB156" s="15"/>
      <c r="VYC156" s="15"/>
      <c r="VYD156" s="15"/>
      <c r="VYE156" s="15"/>
      <c r="VYF156" s="15"/>
      <c r="VYG156" s="15"/>
      <c r="VYH156" s="15"/>
      <c r="VYI156" s="15"/>
      <c r="VYJ156" s="15"/>
      <c r="VYK156" s="15"/>
      <c r="VYL156" s="15"/>
      <c r="VYM156" s="15"/>
      <c r="VYN156" s="15"/>
      <c r="VYO156" s="15"/>
      <c r="VYP156" s="15"/>
      <c r="VYQ156" s="15"/>
      <c r="VYR156" s="15"/>
      <c r="VYS156" s="15"/>
      <c r="VYT156" s="15"/>
      <c r="VYU156" s="15"/>
      <c r="VYV156" s="15"/>
      <c r="VYW156" s="15"/>
      <c r="VYX156" s="15"/>
      <c r="VYY156" s="15"/>
      <c r="VYZ156" s="15"/>
      <c r="VZA156" s="15"/>
      <c r="VZB156" s="15"/>
      <c r="VZC156" s="15"/>
      <c r="VZD156" s="15"/>
      <c r="VZE156" s="15"/>
      <c r="VZF156" s="15"/>
      <c r="VZG156" s="15"/>
      <c r="VZH156" s="15"/>
      <c r="VZI156" s="15"/>
      <c r="VZJ156" s="15"/>
      <c r="VZK156" s="15"/>
      <c r="VZL156" s="15"/>
      <c r="VZM156" s="15"/>
      <c r="VZN156" s="15"/>
      <c r="VZO156" s="15"/>
      <c r="VZP156" s="15"/>
      <c r="VZQ156" s="15"/>
      <c r="VZR156" s="15"/>
      <c r="VZS156" s="15"/>
      <c r="VZT156" s="15"/>
      <c r="VZU156" s="15"/>
      <c r="VZV156" s="15"/>
      <c r="VZW156" s="15"/>
      <c r="VZX156" s="15"/>
      <c r="VZY156" s="15"/>
      <c r="VZZ156" s="15"/>
      <c r="WAA156" s="15"/>
      <c r="WAB156" s="15"/>
      <c r="WAC156" s="15"/>
      <c r="WAD156" s="15"/>
      <c r="WAE156" s="15"/>
      <c r="WAF156" s="15"/>
      <c r="WAG156" s="15"/>
      <c r="WAH156" s="15"/>
      <c r="WAI156" s="15"/>
      <c r="WAJ156" s="15"/>
      <c r="WAK156" s="15"/>
      <c r="WAL156" s="15"/>
      <c r="WAM156" s="15"/>
      <c r="WAN156" s="15"/>
      <c r="WAO156" s="15"/>
      <c r="WAP156" s="15"/>
      <c r="WAQ156" s="15"/>
      <c r="WAR156" s="15"/>
      <c r="WAS156" s="15"/>
      <c r="WAT156" s="15"/>
      <c r="WAU156" s="15"/>
      <c r="WAV156" s="15"/>
      <c r="WAW156" s="15"/>
      <c r="WAX156" s="15"/>
      <c r="WAY156" s="15"/>
      <c r="WAZ156" s="15"/>
      <c r="WBA156" s="15"/>
      <c r="WBB156" s="15"/>
      <c r="WBC156" s="15"/>
      <c r="WBD156" s="15"/>
      <c r="WBE156" s="15"/>
      <c r="WBF156" s="15"/>
      <c r="WBG156" s="15"/>
      <c r="WBH156" s="15"/>
      <c r="WBI156" s="15"/>
      <c r="WBJ156" s="15"/>
      <c r="WBK156" s="15"/>
      <c r="WBL156" s="15"/>
      <c r="WBM156" s="15"/>
      <c r="WBN156" s="15"/>
      <c r="WBO156" s="15"/>
      <c r="WBP156" s="15"/>
      <c r="WBQ156" s="15"/>
      <c r="WBR156" s="15"/>
      <c r="WBS156" s="15"/>
      <c r="WBT156" s="15"/>
      <c r="WBU156" s="15"/>
      <c r="WBV156" s="15"/>
      <c r="WBW156" s="15"/>
      <c r="WBX156" s="15"/>
      <c r="WBY156" s="15"/>
      <c r="WBZ156" s="15"/>
      <c r="WCA156" s="15"/>
      <c r="WCB156" s="15"/>
      <c r="WCC156" s="15"/>
      <c r="WCD156" s="15"/>
      <c r="WCE156" s="15"/>
      <c r="WCF156" s="15"/>
      <c r="WCG156" s="15"/>
      <c r="WCH156" s="15"/>
      <c r="WCI156" s="15"/>
      <c r="WCJ156" s="15"/>
      <c r="WCK156" s="15"/>
      <c r="WCL156" s="15"/>
      <c r="WCM156" s="15"/>
      <c r="WCN156" s="15"/>
      <c r="WCO156" s="15"/>
      <c r="WCP156" s="15"/>
      <c r="WCQ156" s="15"/>
      <c r="WCR156" s="15"/>
      <c r="WCS156" s="15"/>
      <c r="WCT156" s="15"/>
      <c r="WCU156" s="15"/>
      <c r="WCV156" s="15"/>
      <c r="WCW156" s="15"/>
      <c r="WCX156" s="15"/>
      <c r="WCY156" s="15"/>
      <c r="WCZ156" s="15"/>
      <c r="WDA156" s="15"/>
      <c r="WDB156" s="15"/>
      <c r="WDC156" s="15"/>
      <c r="WDD156" s="15"/>
      <c r="WDE156" s="15"/>
      <c r="WDF156" s="15"/>
      <c r="WDG156" s="15"/>
      <c r="WDH156" s="15"/>
      <c r="WDI156" s="15"/>
      <c r="WDJ156" s="15"/>
      <c r="WDK156" s="15"/>
      <c r="WDL156" s="15"/>
      <c r="WDM156" s="15"/>
      <c r="WDN156" s="15"/>
      <c r="WDO156" s="15"/>
      <c r="WDP156" s="15"/>
      <c r="WDQ156" s="15"/>
      <c r="WDR156" s="15"/>
      <c r="WDS156" s="15"/>
      <c r="WDT156" s="15"/>
      <c r="WDU156" s="15"/>
      <c r="WDV156" s="15"/>
      <c r="WDW156" s="15"/>
      <c r="WDX156" s="15"/>
      <c r="WDY156" s="15"/>
      <c r="WDZ156" s="15"/>
      <c r="WEA156" s="15"/>
      <c r="WEB156" s="15"/>
      <c r="WEC156" s="15"/>
      <c r="WED156" s="15"/>
      <c r="WEE156" s="15"/>
      <c r="WEF156" s="15"/>
      <c r="WEG156" s="15"/>
      <c r="WEH156" s="15"/>
      <c r="WEI156" s="15"/>
      <c r="WEJ156" s="15"/>
      <c r="WEK156" s="15"/>
      <c r="WEL156" s="15"/>
      <c r="WEM156" s="15"/>
      <c r="WEN156" s="15"/>
      <c r="WEO156" s="15"/>
      <c r="WEP156" s="15"/>
      <c r="WEQ156" s="15"/>
      <c r="WER156" s="15"/>
      <c r="WES156" s="15"/>
      <c r="WET156" s="15"/>
      <c r="WEU156" s="15"/>
      <c r="WEV156" s="15"/>
      <c r="WEW156" s="15"/>
      <c r="WEX156" s="15"/>
      <c r="WEY156" s="15"/>
      <c r="WEZ156" s="15"/>
      <c r="WFA156" s="15"/>
      <c r="WFB156" s="15"/>
      <c r="WFC156" s="15"/>
      <c r="WFD156" s="15"/>
      <c r="WFE156" s="15"/>
      <c r="WFF156" s="15"/>
      <c r="WFG156" s="15"/>
      <c r="WFH156" s="15"/>
      <c r="WFI156" s="15"/>
      <c r="WFJ156" s="15"/>
      <c r="WFK156" s="15"/>
      <c r="WFL156" s="15"/>
      <c r="WFM156" s="15"/>
      <c r="WFN156" s="15"/>
      <c r="WFO156" s="15"/>
      <c r="WFP156" s="15"/>
      <c r="WFQ156" s="15"/>
      <c r="WFR156" s="15"/>
      <c r="WFS156" s="15"/>
      <c r="WFT156" s="15"/>
      <c r="WFU156" s="15"/>
      <c r="WFV156" s="15"/>
      <c r="WFW156" s="15"/>
      <c r="WFX156" s="15"/>
      <c r="WFY156" s="15"/>
      <c r="WFZ156" s="15"/>
      <c r="WGA156" s="15"/>
      <c r="WGB156" s="15"/>
      <c r="WGC156" s="15"/>
      <c r="WGD156" s="15"/>
      <c r="WGE156" s="15"/>
      <c r="WGF156" s="15"/>
      <c r="WGG156" s="15"/>
      <c r="WGH156" s="15"/>
      <c r="WGI156" s="15"/>
      <c r="WGJ156" s="15"/>
      <c r="WGK156" s="15"/>
      <c r="WGL156" s="15"/>
      <c r="WGM156" s="15"/>
      <c r="WGN156" s="15"/>
      <c r="WGO156" s="15"/>
      <c r="WGP156" s="15"/>
      <c r="WGQ156" s="15"/>
      <c r="WGR156" s="15"/>
      <c r="WGS156" s="15"/>
      <c r="WGT156" s="15"/>
      <c r="WGU156" s="15"/>
      <c r="WGV156" s="15"/>
      <c r="WGW156" s="15"/>
      <c r="WGX156" s="15"/>
      <c r="WGY156" s="15"/>
      <c r="WGZ156" s="15"/>
      <c r="WHA156" s="15"/>
      <c r="WHB156" s="15"/>
      <c r="WHC156" s="15"/>
      <c r="WHD156" s="15"/>
      <c r="WHE156" s="15"/>
      <c r="WHF156" s="15"/>
      <c r="WHG156" s="15"/>
      <c r="WHH156" s="15"/>
      <c r="WHI156" s="15"/>
      <c r="WHJ156" s="15"/>
      <c r="WHK156" s="15"/>
      <c r="WHL156" s="15"/>
      <c r="WHM156" s="15"/>
      <c r="WHN156" s="15"/>
      <c r="WHO156" s="15"/>
      <c r="WHP156" s="15"/>
      <c r="WHQ156" s="15"/>
      <c r="WHR156" s="15"/>
      <c r="WHS156" s="15"/>
      <c r="WHT156" s="15"/>
      <c r="WHU156" s="15"/>
      <c r="WHV156" s="15"/>
      <c r="WHW156" s="15"/>
      <c r="WHX156" s="15"/>
      <c r="WHY156" s="15"/>
      <c r="WHZ156" s="15"/>
      <c r="WIA156" s="15"/>
      <c r="WIB156" s="15"/>
      <c r="WIC156" s="15"/>
      <c r="WID156" s="15"/>
      <c r="WIE156" s="15"/>
      <c r="WIF156" s="15"/>
      <c r="WIG156" s="15"/>
      <c r="WIH156" s="15"/>
      <c r="WII156" s="15"/>
      <c r="WIJ156" s="15"/>
      <c r="WIK156" s="15"/>
      <c r="WIL156" s="15"/>
      <c r="WIM156" s="15"/>
      <c r="WIN156" s="15"/>
      <c r="WIO156" s="15"/>
      <c r="WIP156" s="15"/>
      <c r="WIQ156" s="15"/>
      <c r="WIR156" s="15"/>
      <c r="WIS156" s="15"/>
      <c r="WIT156" s="15"/>
      <c r="WIU156" s="15"/>
      <c r="WIV156" s="15"/>
      <c r="WIW156" s="15"/>
      <c r="WIX156" s="15"/>
      <c r="WIY156" s="15"/>
      <c r="WIZ156" s="15"/>
      <c r="WJA156" s="15"/>
      <c r="WJB156" s="15"/>
      <c r="WJC156" s="15"/>
      <c r="WJD156" s="15"/>
      <c r="WJE156" s="15"/>
      <c r="WJF156" s="15"/>
      <c r="WJG156" s="15"/>
      <c r="WJH156" s="15"/>
      <c r="WJI156" s="15"/>
      <c r="WJJ156" s="15"/>
      <c r="WJK156" s="15"/>
      <c r="WJL156" s="15"/>
      <c r="WJM156" s="15"/>
      <c r="WJN156" s="15"/>
      <c r="WJO156" s="15"/>
      <c r="WJP156" s="15"/>
      <c r="WJQ156" s="15"/>
      <c r="WJR156" s="15"/>
      <c r="WJS156" s="15"/>
      <c r="WJT156" s="15"/>
      <c r="WJU156" s="15"/>
      <c r="WJV156" s="15"/>
      <c r="WJW156" s="15"/>
      <c r="WJX156" s="15"/>
      <c r="WJY156" s="15"/>
      <c r="WJZ156" s="15"/>
      <c r="WKA156" s="15"/>
      <c r="WKB156" s="15"/>
      <c r="WKC156" s="15"/>
      <c r="WKD156" s="15"/>
      <c r="WKE156" s="15"/>
      <c r="WKF156" s="15"/>
      <c r="WKG156" s="15"/>
      <c r="WKH156" s="15"/>
      <c r="WKI156" s="15"/>
      <c r="WKJ156" s="15"/>
      <c r="WKK156" s="15"/>
      <c r="WKL156" s="15"/>
      <c r="WKM156" s="15"/>
      <c r="WKN156" s="15"/>
      <c r="WKO156" s="15"/>
      <c r="WKP156" s="15"/>
      <c r="WKQ156" s="15"/>
      <c r="WKR156" s="15"/>
      <c r="WKS156" s="15"/>
      <c r="WKT156" s="15"/>
      <c r="WKU156" s="15"/>
      <c r="WKV156" s="15"/>
      <c r="WKW156" s="15"/>
      <c r="WKX156" s="15"/>
      <c r="WKY156" s="15"/>
      <c r="WKZ156" s="15"/>
      <c r="WLA156" s="15"/>
      <c r="WLB156" s="15"/>
      <c r="WLC156" s="15"/>
      <c r="WLD156" s="15"/>
      <c r="WLE156" s="15"/>
      <c r="WLF156" s="15"/>
      <c r="WLG156" s="15"/>
      <c r="WLH156" s="15"/>
      <c r="WLI156" s="15"/>
      <c r="WLJ156" s="15"/>
      <c r="WLK156" s="15"/>
      <c r="WLL156" s="15"/>
      <c r="WLM156" s="15"/>
      <c r="WLN156" s="15"/>
      <c r="WLO156" s="15"/>
      <c r="WLP156" s="15"/>
      <c r="WLQ156" s="15"/>
      <c r="WLR156" s="15"/>
      <c r="WLS156" s="15"/>
      <c r="WLT156" s="15"/>
      <c r="WLU156" s="15"/>
      <c r="WLV156" s="15"/>
      <c r="WLW156" s="15"/>
      <c r="WLX156" s="15"/>
      <c r="WLY156" s="15"/>
      <c r="WLZ156" s="15"/>
      <c r="WMA156" s="15"/>
      <c r="WMB156" s="15"/>
      <c r="WMC156" s="15"/>
      <c r="WMD156" s="15"/>
      <c r="WME156" s="15"/>
      <c r="WMF156" s="15"/>
      <c r="WMG156" s="15"/>
      <c r="WMH156" s="15"/>
      <c r="WMI156" s="15"/>
      <c r="WMJ156" s="15"/>
      <c r="WMK156" s="15"/>
      <c r="WML156" s="15"/>
      <c r="WMM156" s="15"/>
      <c r="WMN156" s="15"/>
      <c r="WMO156" s="15"/>
      <c r="WMP156" s="15"/>
      <c r="WMQ156" s="15"/>
      <c r="WMR156" s="15"/>
      <c r="WMS156" s="15"/>
      <c r="WMT156" s="15"/>
      <c r="WMU156" s="15"/>
      <c r="WMV156" s="15"/>
      <c r="WMW156" s="15"/>
      <c r="WMX156" s="15"/>
      <c r="WMY156" s="15"/>
      <c r="WMZ156" s="15"/>
      <c r="WNA156" s="15"/>
      <c r="WNB156" s="15"/>
      <c r="WNC156" s="15"/>
      <c r="WND156" s="15"/>
      <c r="WNE156" s="15"/>
      <c r="WNF156" s="15"/>
      <c r="WNG156" s="15"/>
      <c r="WNH156" s="15"/>
      <c r="WNI156" s="15"/>
      <c r="WNJ156" s="15"/>
      <c r="WNK156" s="15"/>
      <c r="WNL156" s="15"/>
      <c r="WNM156" s="15"/>
      <c r="WNN156" s="15"/>
      <c r="WNO156" s="15"/>
      <c r="WNP156" s="15"/>
      <c r="WNQ156" s="15"/>
      <c r="WNR156" s="15"/>
      <c r="WNS156" s="15"/>
      <c r="WNT156" s="15"/>
      <c r="WNU156" s="15"/>
      <c r="WNV156" s="15"/>
      <c r="WNW156" s="15"/>
      <c r="WNX156" s="15"/>
      <c r="WNY156" s="15"/>
      <c r="WNZ156" s="15"/>
      <c r="WOA156" s="15"/>
      <c r="WOB156" s="15"/>
      <c r="WOC156" s="15"/>
      <c r="WOD156" s="15"/>
      <c r="WOE156" s="15"/>
      <c r="WOF156" s="15"/>
      <c r="WOG156" s="15"/>
      <c r="WOH156" s="15"/>
      <c r="WOI156" s="15"/>
      <c r="WOJ156" s="15"/>
      <c r="WOK156" s="15"/>
      <c r="WOL156" s="15"/>
      <c r="WOM156" s="15"/>
      <c r="WON156" s="15"/>
      <c r="WOO156" s="15"/>
      <c r="WOP156" s="15"/>
      <c r="WOQ156" s="15"/>
      <c r="WOR156" s="15"/>
      <c r="WOS156" s="15"/>
      <c r="WOT156" s="15"/>
      <c r="WOU156" s="15"/>
      <c r="WOV156" s="15"/>
      <c r="WOW156" s="15"/>
      <c r="WOX156" s="15"/>
      <c r="WOY156" s="15"/>
      <c r="WOZ156" s="15"/>
      <c r="WPA156" s="15"/>
      <c r="WPB156" s="15"/>
      <c r="WPC156" s="15"/>
      <c r="WPD156" s="15"/>
      <c r="WPE156" s="15"/>
      <c r="WPF156" s="15"/>
      <c r="WPG156" s="15"/>
      <c r="WPH156" s="15"/>
      <c r="WPI156" s="15"/>
      <c r="WPJ156" s="15"/>
      <c r="WPK156" s="15"/>
      <c r="WPL156" s="15"/>
      <c r="WPM156" s="15"/>
      <c r="WPN156" s="15"/>
      <c r="WPO156" s="15"/>
      <c r="WPP156" s="15"/>
      <c r="WPQ156" s="15"/>
      <c r="WPR156" s="15"/>
      <c r="WPS156" s="15"/>
      <c r="WPT156" s="15"/>
      <c r="WPU156" s="15"/>
      <c r="WPV156" s="15"/>
      <c r="WPW156" s="15"/>
      <c r="WPX156" s="15"/>
      <c r="WPY156" s="15"/>
      <c r="WPZ156" s="15"/>
      <c r="WQA156" s="15"/>
      <c r="WQB156" s="15"/>
      <c r="WQC156" s="15"/>
      <c r="WQD156" s="15"/>
      <c r="WQE156" s="15"/>
      <c r="WQF156" s="15"/>
      <c r="WQG156" s="15"/>
      <c r="WQH156" s="15"/>
      <c r="WQI156" s="15"/>
      <c r="WQJ156" s="15"/>
      <c r="WQK156" s="15"/>
      <c r="WQL156" s="15"/>
      <c r="WQM156" s="15"/>
      <c r="WQN156" s="15"/>
      <c r="WQO156" s="15"/>
      <c r="WQP156" s="15"/>
      <c r="WQQ156" s="15"/>
      <c r="WQR156" s="15"/>
      <c r="WQS156" s="15"/>
      <c r="WQT156" s="15"/>
      <c r="WQU156" s="15"/>
      <c r="WQV156" s="15"/>
      <c r="WQW156" s="15"/>
      <c r="WQX156" s="15"/>
      <c r="WQY156" s="15"/>
      <c r="WQZ156" s="15"/>
      <c r="WRA156" s="15"/>
      <c r="WRB156" s="15"/>
      <c r="WRC156" s="15"/>
      <c r="WRD156" s="15"/>
      <c r="WRE156" s="15"/>
      <c r="WRF156" s="15"/>
      <c r="WRG156" s="15"/>
      <c r="WRH156" s="15"/>
      <c r="WRI156" s="15"/>
      <c r="WRJ156" s="15"/>
      <c r="WRK156" s="15"/>
      <c r="WRL156" s="15"/>
      <c r="WRM156" s="15"/>
      <c r="WRN156" s="15"/>
      <c r="WRO156" s="15"/>
      <c r="WRP156" s="15"/>
      <c r="WRQ156" s="15"/>
      <c r="WRR156" s="15"/>
      <c r="WRS156" s="15"/>
      <c r="WRT156" s="15"/>
      <c r="WRU156" s="15"/>
      <c r="WRV156" s="15"/>
      <c r="WRW156" s="15"/>
      <c r="WRX156" s="15"/>
      <c r="WRY156" s="15"/>
      <c r="WRZ156" s="15"/>
      <c r="WSA156" s="15"/>
      <c r="WSB156" s="15"/>
      <c r="WSC156" s="15"/>
      <c r="WSD156" s="15"/>
      <c r="WSE156" s="15"/>
      <c r="WSF156" s="15"/>
      <c r="WSG156" s="15"/>
      <c r="WSH156" s="15"/>
      <c r="WSI156" s="15"/>
      <c r="WSJ156" s="15"/>
      <c r="WSK156" s="15"/>
      <c r="WSL156" s="15"/>
      <c r="WSM156" s="15"/>
      <c r="WSN156" s="15"/>
      <c r="WSO156" s="15"/>
      <c r="WSP156" s="15"/>
      <c r="WSQ156" s="15"/>
      <c r="WSR156" s="15"/>
      <c r="WSS156" s="15"/>
      <c r="WST156" s="15"/>
      <c r="WSU156" s="15"/>
      <c r="WSV156" s="15"/>
      <c r="WSW156" s="15"/>
      <c r="WSX156" s="15"/>
      <c r="WSY156" s="15"/>
      <c r="WSZ156" s="15"/>
      <c r="WTA156" s="15"/>
      <c r="WTB156" s="15"/>
      <c r="WTC156" s="15"/>
      <c r="WTD156" s="15"/>
      <c r="WTE156" s="15"/>
      <c r="WTF156" s="15"/>
      <c r="WTG156" s="15"/>
      <c r="WTH156" s="15"/>
      <c r="WTI156" s="15"/>
      <c r="WTJ156" s="15"/>
      <c r="WTK156" s="15"/>
      <c r="WTL156" s="15"/>
      <c r="WTM156" s="15"/>
      <c r="WTN156" s="15"/>
      <c r="WTO156" s="15"/>
      <c r="WTP156" s="15"/>
      <c r="WTQ156" s="15"/>
      <c r="WTR156" s="15"/>
      <c r="WTS156" s="15"/>
      <c r="WTT156" s="15"/>
      <c r="WTU156" s="15"/>
      <c r="WTV156" s="15"/>
      <c r="WTW156" s="15"/>
      <c r="WTX156" s="15"/>
      <c r="WTY156" s="15"/>
      <c r="WTZ156" s="15"/>
      <c r="WUA156" s="15"/>
      <c r="WUB156" s="15"/>
      <c r="WUC156" s="15"/>
      <c r="WUD156" s="15"/>
      <c r="WUE156" s="15"/>
      <c r="WUF156" s="15"/>
      <c r="WUG156" s="15"/>
      <c r="WUH156" s="15"/>
      <c r="WUI156" s="15"/>
      <c r="WUJ156" s="15"/>
      <c r="WUK156" s="15"/>
      <c r="WUL156" s="15"/>
      <c r="WUM156" s="15"/>
      <c r="WUN156" s="15"/>
      <c r="WUO156" s="15"/>
      <c r="WUP156" s="15"/>
      <c r="WUQ156" s="15"/>
      <c r="WUR156" s="15"/>
      <c r="WUS156" s="15"/>
      <c r="WUT156" s="15"/>
      <c r="WUU156" s="15"/>
      <c r="WUV156" s="15"/>
      <c r="WUW156" s="15"/>
      <c r="WUX156" s="15"/>
      <c r="WUY156" s="15"/>
      <c r="WUZ156" s="15"/>
      <c r="WVA156" s="15"/>
      <c r="WVB156" s="15"/>
      <c r="WVC156" s="15"/>
      <c r="WVD156" s="15"/>
      <c r="WVE156" s="15"/>
      <c r="WVF156" s="15"/>
      <c r="WVG156" s="15"/>
      <c r="WVH156" s="15"/>
      <c r="WVI156" s="15"/>
      <c r="WVJ156" s="15"/>
      <c r="WVK156" s="15"/>
      <c r="WVL156" s="15"/>
      <c r="WVM156" s="15"/>
      <c r="WVN156" s="15"/>
      <c r="WVO156" s="15"/>
      <c r="WVP156" s="15"/>
      <c r="WVQ156" s="15"/>
      <c r="WVR156" s="15"/>
      <c r="WVS156" s="15"/>
      <c r="WVT156" s="15"/>
      <c r="WVU156" s="15"/>
      <c r="WVV156" s="15"/>
      <c r="WVW156" s="15"/>
      <c r="WVX156" s="15"/>
      <c r="WVY156" s="15"/>
      <c r="WVZ156" s="15"/>
      <c r="WWA156" s="15"/>
      <c r="WWB156" s="15"/>
      <c r="WWC156" s="15"/>
      <c r="WWD156" s="15"/>
      <c r="WWE156" s="15"/>
      <c r="WWF156" s="15"/>
      <c r="WWG156" s="15"/>
      <c r="WWH156" s="15"/>
      <c r="WWI156" s="15"/>
      <c r="WWJ156" s="15"/>
      <c r="WWK156" s="15"/>
      <c r="WWL156" s="15"/>
      <c r="WWM156" s="15"/>
      <c r="WWN156" s="15"/>
      <c r="WWO156" s="15"/>
      <c r="WWP156" s="15"/>
      <c r="WWQ156" s="15"/>
      <c r="WWR156" s="15"/>
      <c r="WWS156" s="15"/>
      <c r="WWT156" s="15"/>
      <c r="WWU156" s="15"/>
      <c r="WWV156" s="15"/>
      <c r="WWW156" s="15"/>
      <c r="WWX156" s="15"/>
      <c r="WWY156" s="15"/>
      <c r="WWZ156" s="15"/>
      <c r="WXA156" s="15"/>
      <c r="WXB156" s="15"/>
      <c r="WXC156" s="15"/>
      <c r="WXD156" s="15"/>
      <c r="WXE156" s="15"/>
      <c r="WXF156" s="15"/>
      <c r="WXG156" s="15"/>
      <c r="WXH156" s="15"/>
      <c r="WXI156" s="15"/>
      <c r="WXJ156" s="15"/>
      <c r="WXK156" s="15"/>
      <c r="WXL156" s="15"/>
      <c r="WXM156" s="15"/>
      <c r="WXN156" s="15"/>
      <c r="WXO156" s="15"/>
      <c r="WXP156" s="15"/>
      <c r="WXQ156" s="15"/>
      <c r="WXR156" s="15"/>
      <c r="WXS156" s="15"/>
      <c r="WXT156" s="15"/>
      <c r="WXU156" s="15"/>
      <c r="WXV156" s="15"/>
      <c r="WXW156" s="15"/>
      <c r="WXX156" s="15"/>
      <c r="WXY156" s="15"/>
      <c r="WXZ156" s="15"/>
      <c r="WYA156" s="15"/>
      <c r="WYB156" s="15"/>
      <c r="WYC156" s="15"/>
      <c r="WYD156" s="15"/>
      <c r="WYE156" s="15"/>
      <c r="WYF156" s="15"/>
      <c r="WYG156" s="15"/>
      <c r="WYH156" s="15"/>
      <c r="WYI156" s="15"/>
      <c r="WYJ156" s="15"/>
      <c r="WYK156" s="15"/>
      <c r="WYL156" s="15"/>
      <c r="WYM156" s="15"/>
      <c r="WYN156" s="15"/>
      <c r="WYO156" s="15"/>
      <c r="WYP156" s="15"/>
      <c r="WYQ156" s="15"/>
      <c r="WYR156" s="15"/>
      <c r="WYS156" s="15"/>
      <c r="WYT156" s="15"/>
      <c r="WYU156" s="15"/>
      <c r="WYV156" s="15"/>
      <c r="WYW156" s="15"/>
      <c r="WYX156" s="15"/>
      <c r="WYY156" s="15"/>
      <c r="WYZ156" s="15"/>
      <c r="WZA156" s="15"/>
      <c r="WZB156" s="15"/>
      <c r="WZC156" s="15"/>
      <c r="WZD156" s="15"/>
      <c r="WZE156" s="15"/>
      <c r="WZF156" s="15"/>
      <c r="WZG156" s="15"/>
      <c r="WZH156" s="15"/>
      <c r="WZI156" s="15"/>
      <c r="WZJ156" s="15"/>
      <c r="WZK156" s="15"/>
      <c r="WZL156" s="15"/>
      <c r="WZM156" s="15"/>
      <c r="WZN156" s="15"/>
      <c r="WZO156" s="15"/>
      <c r="WZP156" s="15"/>
      <c r="WZQ156" s="15"/>
      <c r="WZR156" s="15"/>
      <c r="WZS156" s="15"/>
      <c r="WZT156" s="15"/>
      <c r="WZU156" s="15"/>
      <c r="WZV156" s="15"/>
      <c r="WZW156" s="15"/>
      <c r="WZX156" s="15"/>
      <c r="WZY156" s="15"/>
      <c r="WZZ156" s="15"/>
      <c r="XAA156" s="15"/>
      <c r="XAB156" s="15"/>
      <c r="XAC156" s="15"/>
      <c r="XAD156" s="15"/>
      <c r="XAE156" s="15"/>
      <c r="XAF156" s="15"/>
      <c r="XAG156" s="15"/>
      <c r="XAH156" s="15"/>
      <c r="XAI156" s="15"/>
      <c r="XAJ156" s="15"/>
      <c r="XAK156" s="15"/>
      <c r="XAL156" s="15"/>
      <c r="XAM156" s="15"/>
      <c r="XAN156" s="15"/>
      <c r="XAO156" s="15"/>
      <c r="XAP156" s="15"/>
      <c r="XAQ156" s="15"/>
      <c r="XAR156" s="15"/>
      <c r="XAS156" s="15"/>
      <c r="XAT156" s="15"/>
      <c r="XAU156" s="15"/>
      <c r="XAV156" s="15"/>
      <c r="XAW156" s="15"/>
      <c r="XAX156" s="15"/>
      <c r="XAY156" s="15"/>
      <c r="XAZ156" s="15"/>
      <c r="XBA156" s="15"/>
      <c r="XBB156" s="15"/>
      <c r="XBC156" s="15"/>
      <c r="XBD156" s="15"/>
      <c r="XBE156" s="15"/>
      <c r="XBF156" s="15"/>
      <c r="XBG156" s="15"/>
      <c r="XBH156" s="15"/>
      <c r="XBI156" s="15"/>
      <c r="XBJ156" s="15"/>
      <c r="XBK156" s="15"/>
      <c r="XBL156" s="15"/>
      <c r="XBM156" s="15"/>
      <c r="XBN156" s="15"/>
      <c r="XBO156" s="15"/>
      <c r="XBP156" s="15"/>
      <c r="XBQ156" s="15"/>
      <c r="XBR156" s="15"/>
      <c r="XBS156" s="15"/>
      <c r="XBT156" s="15"/>
      <c r="XBU156" s="15"/>
      <c r="XBV156" s="15"/>
      <c r="XBW156" s="15"/>
      <c r="XBX156" s="15"/>
      <c r="XBY156" s="15"/>
      <c r="XBZ156" s="15"/>
      <c r="XCA156" s="15"/>
      <c r="XCB156" s="15"/>
      <c r="XCC156" s="15"/>
      <c r="XCD156" s="15"/>
      <c r="XCE156" s="15"/>
      <c r="XCF156" s="15"/>
      <c r="XCG156" s="15"/>
      <c r="XCH156" s="15"/>
      <c r="XCI156" s="15"/>
      <c r="XCJ156" s="15"/>
      <c r="XCK156" s="15"/>
      <c r="XCL156" s="15"/>
      <c r="XCM156" s="15"/>
      <c r="XCN156" s="15"/>
      <c r="XCO156" s="15"/>
      <c r="XCP156" s="15"/>
      <c r="XCQ156" s="15"/>
      <c r="XCR156" s="15"/>
      <c r="XCS156" s="15"/>
      <c r="XCT156" s="15"/>
      <c r="XCU156" s="15"/>
      <c r="XCV156" s="15"/>
      <c r="XCW156" s="15"/>
      <c r="XCX156" s="15"/>
      <c r="XCY156" s="15"/>
      <c r="XCZ156" s="15"/>
      <c r="XDA156" s="15"/>
      <c r="XDB156" s="15"/>
      <c r="XDC156" s="15"/>
      <c r="XDD156" s="15"/>
      <c r="XDE156" s="15"/>
      <c r="XDF156" s="15"/>
      <c r="XDG156" s="15"/>
      <c r="XDH156" s="15"/>
      <c r="XDI156" s="15"/>
      <c r="XDJ156" s="15"/>
      <c r="XDK156" s="15"/>
      <c r="XDL156" s="15"/>
      <c r="XDM156" s="15"/>
      <c r="XDN156" s="15"/>
      <c r="XDO156" s="15"/>
      <c r="XDP156" s="15"/>
      <c r="XDQ156" s="15"/>
      <c r="XDR156" s="15"/>
      <c r="XDS156" s="15"/>
      <c r="XDT156" s="15"/>
      <c r="XDU156" s="15"/>
      <c r="XDV156" s="15"/>
      <c r="XDW156" s="15"/>
      <c r="XDX156" s="15"/>
      <c r="XDY156" s="15"/>
      <c r="XDZ156" s="15"/>
      <c r="XEA156" s="15"/>
      <c r="XEB156" s="15"/>
      <c r="XEC156" s="15"/>
      <c r="XED156" s="15"/>
      <c r="XEE156" s="15"/>
      <c r="XEF156" s="15"/>
      <c r="XEG156" s="15"/>
      <c r="XEH156" s="15"/>
      <c r="XEI156" s="15"/>
      <c r="XEJ156" s="15"/>
      <c r="XEK156" s="15"/>
      <c r="XEL156" s="15"/>
      <c r="XEM156" s="15"/>
      <c r="XEN156" s="15"/>
      <c r="XEO156" s="15"/>
      <c r="XEP156" s="15"/>
      <c r="XEQ156" s="15"/>
      <c r="XER156" s="15"/>
      <c r="XES156" s="15"/>
      <c r="XET156" s="15"/>
      <c r="XEU156" s="15"/>
      <c r="XEV156" s="15"/>
      <c r="XEW156" s="15"/>
      <c r="XEX156" s="15"/>
      <c r="XEY156" s="15"/>
      <c r="XEZ156" s="15"/>
      <c r="XFA156" s="15"/>
      <c r="XFB156" s="15"/>
      <c r="XFC156" s="15"/>
      <c r="XFD156" s="15"/>
    </row>
  </sheetData>
  <autoFilter ref="A1:AC155">
    <sortState ref="A1:AC155">
      <sortCondition ref="A1:A148"/>
    </sortState>
    <extLst/>
  </autoFilter>
  <conditionalFormatting sqref="C144">
    <cfRule type="expression" dxfId="0" priority="6">
      <formula>F144=5</formula>
    </cfRule>
    <cfRule type="expression" dxfId="1" priority="5">
      <formula>F144=1</formula>
    </cfRule>
    <cfRule type="expression" dxfId="2" priority="4">
      <formula>F144=2</formula>
    </cfRule>
    <cfRule type="expression" dxfId="3" priority="3">
      <formula>F144=3</formula>
    </cfRule>
    <cfRule type="expression" dxfId="4" priority="2">
      <formula>F144=4</formula>
    </cfRule>
    <cfRule type="expression" dxfId="5" priority="1">
      <formula>F144=6</formula>
    </cfRule>
  </conditionalFormatting>
  <conditionalFormatting sqref="C2:C39">
    <cfRule type="expression" dxfId="0" priority="12">
      <formula>F2=5</formula>
    </cfRule>
    <cfRule type="expression" dxfId="1" priority="11">
      <formula>F2=1</formula>
    </cfRule>
    <cfRule type="expression" dxfId="2" priority="10">
      <formula>F2=2</formula>
    </cfRule>
    <cfRule type="expression" dxfId="3" priority="9">
      <formula>F2=3</formula>
    </cfRule>
    <cfRule type="expression" dxfId="4" priority="8">
      <formula>F2=4</formula>
    </cfRule>
    <cfRule type="expression" dxfId="5" priority="7">
      <formula>F2=6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9"/>
  <sheetViews>
    <sheetView workbookViewId="0">
      <pane xSplit="3" ySplit="1" topLeftCell="D222" activePane="bottomRight" state="frozen"/>
      <selection/>
      <selection pane="topRight"/>
      <selection pane="bottomLeft"/>
      <selection pane="bottomRight" activeCell="D244" sqref="D244"/>
    </sheetView>
  </sheetViews>
  <sheetFormatPr defaultColWidth="9" defaultRowHeight="14.25"/>
  <cols>
    <col min="1" max="1" width="9" style="27" customWidth="1"/>
    <col min="2" max="2" width="9" style="16"/>
    <col min="3" max="3" width="22.5" style="16" customWidth="1"/>
    <col min="4" max="28" width="9" style="16"/>
    <col min="29" max="29" width="9" style="27" customWidth="1"/>
    <col min="30" max="16384" width="9" style="16"/>
  </cols>
  <sheetData>
    <row r="1" s="16" customFormat="1" spans="1:29">
      <c r="A1" s="27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27" t="s">
        <v>28</v>
      </c>
    </row>
    <row r="2" spans="1:28">
      <c r="A2" s="27">
        <v>11001</v>
      </c>
      <c r="B2" s="16" t="s">
        <v>51</v>
      </c>
      <c r="C2" s="25" t="s">
        <v>217</v>
      </c>
      <c r="D2" s="27" t="s">
        <v>39</v>
      </c>
      <c r="E2" s="31">
        <v>80</v>
      </c>
      <c r="F2" s="31">
        <v>103</v>
      </c>
      <c r="G2" s="31">
        <v>0</v>
      </c>
      <c r="H2" s="31">
        <v>87</v>
      </c>
      <c r="I2" s="31">
        <v>85</v>
      </c>
      <c r="J2" s="31">
        <v>0</v>
      </c>
      <c r="K2" s="31">
        <v>102</v>
      </c>
      <c r="L2" s="31">
        <v>68</v>
      </c>
      <c r="M2" s="31">
        <v>45</v>
      </c>
      <c r="N2" s="31">
        <v>32</v>
      </c>
      <c r="O2" s="31">
        <v>3</v>
      </c>
      <c r="P2" s="31">
        <v>8</v>
      </c>
      <c r="Q2" s="31">
        <v>4</v>
      </c>
      <c r="R2" s="16">
        <f t="shared" ref="R2:R65" si="0">SUM($S2:$V2)</f>
        <v>12</v>
      </c>
      <c r="S2" s="31">
        <v>3</v>
      </c>
      <c r="T2" s="31">
        <v>3</v>
      </c>
      <c r="U2" s="31">
        <v>3</v>
      </c>
      <c r="V2" s="31">
        <v>3</v>
      </c>
      <c r="W2" s="31">
        <v>70</v>
      </c>
      <c r="X2" s="31">
        <v>120</v>
      </c>
      <c r="Y2" s="31">
        <v>2.88</v>
      </c>
      <c r="Z2" s="31">
        <v>5.4</v>
      </c>
      <c r="AA2" s="31">
        <v>110011</v>
      </c>
      <c r="AB2" s="31">
        <v>110012</v>
      </c>
    </row>
    <row r="3" spans="1:27">
      <c r="A3" s="27">
        <v>11002</v>
      </c>
      <c r="B3" s="16" t="s">
        <v>194</v>
      </c>
      <c r="C3" s="25" t="s">
        <v>218</v>
      </c>
      <c r="D3" s="16" t="s">
        <v>31</v>
      </c>
      <c r="E3" s="16">
        <v>72</v>
      </c>
      <c r="F3" s="16">
        <v>88</v>
      </c>
      <c r="G3" s="16">
        <v>0</v>
      </c>
      <c r="H3" s="16">
        <v>84</v>
      </c>
      <c r="I3" s="16">
        <v>67</v>
      </c>
      <c r="J3" s="16">
        <v>0</v>
      </c>
      <c r="K3" s="16">
        <v>100</v>
      </c>
      <c r="L3" s="16">
        <v>52</v>
      </c>
      <c r="M3" s="16">
        <v>47</v>
      </c>
      <c r="N3" s="16">
        <v>24</v>
      </c>
      <c r="O3" s="16">
        <v>3</v>
      </c>
      <c r="P3" s="16">
        <v>9</v>
      </c>
      <c r="Q3" s="16">
        <v>4</v>
      </c>
      <c r="R3" s="16">
        <f t="shared" si="0"/>
        <v>30</v>
      </c>
      <c r="S3" s="16">
        <v>0</v>
      </c>
      <c r="T3" s="16">
        <v>0</v>
      </c>
      <c r="U3" s="16">
        <v>12</v>
      </c>
      <c r="V3" s="16">
        <v>18</v>
      </c>
      <c r="W3" s="31">
        <v>85</v>
      </c>
      <c r="X3" s="31">
        <v>120</v>
      </c>
      <c r="Y3" s="31">
        <v>2.5</v>
      </c>
      <c r="Z3" s="31">
        <v>5.1</v>
      </c>
      <c r="AA3" s="16">
        <v>110021</v>
      </c>
    </row>
    <row r="4" spans="1:28">
      <c r="A4" s="27">
        <v>11003</v>
      </c>
      <c r="B4" s="16" t="s">
        <v>37</v>
      </c>
      <c r="C4" s="25" t="s">
        <v>219</v>
      </c>
      <c r="D4" s="27" t="s">
        <v>31</v>
      </c>
      <c r="E4" s="37">
        <v>72</v>
      </c>
      <c r="F4" s="37">
        <v>107</v>
      </c>
      <c r="G4" s="37">
        <v>0</v>
      </c>
      <c r="H4" s="37">
        <v>84</v>
      </c>
      <c r="I4" s="37">
        <v>50</v>
      </c>
      <c r="J4" s="31">
        <v>0</v>
      </c>
      <c r="K4" s="31">
        <v>97</v>
      </c>
      <c r="L4" s="31">
        <v>49</v>
      </c>
      <c r="M4" s="31">
        <v>37</v>
      </c>
      <c r="N4" s="37">
        <v>23</v>
      </c>
      <c r="O4" s="31">
        <v>3</v>
      </c>
      <c r="P4" s="37">
        <v>9</v>
      </c>
      <c r="Q4" s="31">
        <v>4</v>
      </c>
      <c r="R4" s="16">
        <f t="shared" si="0"/>
        <v>8</v>
      </c>
      <c r="S4" s="37">
        <v>2</v>
      </c>
      <c r="T4" s="37">
        <v>2</v>
      </c>
      <c r="U4" s="37">
        <v>2</v>
      </c>
      <c r="V4" s="37">
        <v>2</v>
      </c>
      <c r="W4" s="31">
        <v>85</v>
      </c>
      <c r="X4" s="31">
        <v>135</v>
      </c>
      <c r="Y4" s="31">
        <v>2.5</v>
      </c>
      <c r="Z4" s="31">
        <v>5.2</v>
      </c>
      <c r="AA4" s="31">
        <v>110021</v>
      </c>
      <c r="AB4" s="31"/>
    </row>
    <row r="5" spans="1:27">
      <c r="A5" s="27">
        <v>11004</v>
      </c>
      <c r="B5" s="16" t="s">
        <v>194</v>
      </c>
      <c r="C5" s="25" t="s">
        <v>220</v>
      </c>
      <c r="D5" s="16" t="s">
        <v>31</v>
      </c>
      <c r="E5" s="16">
        <v>79</v>
      </c>
      <c r="F5" s="16">
        <v>87</v>
      </c>
      <c r="G5" s="16">
        <v>0</v>
      </c>
      <c r="H5" s="16">
        <v>87</v>
      </c>
      <c r="I5" s="16">
        <v>78</v>
      </c>
      <c r="J5" s="16">
        <v>0</v>
      </c>
      <c r="K5" s="16">
        <v>100</v>
      </c>
      <c r="L5" s="16">
        <v>53</v>
      </c>
      <c r="M5" s="16">
        <v>47</v>
      </c>
      <c r="N5" s="16">
        <v>24.5</v>
      </c>
      <c r="O5" s="16">
        <v>3</v>
      </c>
      <c r="P5" s="16">
        <v>15</v>
      </c>
      <c r="Q5" s="16">
        <v>4</v>
      </c>
      <c r="R5" s="16">
        <f t="shared" si="0"/>
        <v>24</v>
      </c>
      <c r="S5" s="16">
        <v>0</v>
      </c>
      <c r="T5" s="16">
        <v>0</v>
      </c>
      <c r="U5" s="16">
        <v>12</v>
      </c>
      <c r="V5" s="16">
        <v>12</v>
      </c>
      <c r="W5" s="31">
        <v>85</v>
      </c>
      <c r="X5" s="31">
        <v>120</v>
      </c>
      <c r="Y5" s="31">
        <v>2.5</v>
      </c>
      <c r="Z5" s="31">
        <v>5.1</v>
      </c>
      <c r="AA5" s="16">
        <v>110041</v>
      </c>
    </row>
    <row r="6" spans="1:27">
      <c r="A6" s="27">
        <v>11005</v>
      </c>
      <c r="B6" s="16" t="s">
        <v>194</v>
      </c>
      <c r="C6" s="25" t="s">
        <v>221</v>
      </c>
      <c r="D6" s="16" t="s">
        <v>31</v>
      </c>
      <c r="E6" s="16">
        <v>79</v>
      </c>
      <c r="F6" s="16">
        <v>87</v>
      </c>
      <c r="G6" s="16">
        <v>0</v>
      </c>
      <c r="H6" s="16">
        <v>87</v>
      </c>
      <c r="I6" s="16">
        <v>78</v>
      </c>
      <c r="J6" s="16">
        <v>0</v>
      </c>
      <c r="K6" s="16">
        <v>100</v>
      </c>
      <c r="L6" s="16">
        <v>53</v>
      </c>
      <c r="M6" s="16">
        <v>47</v>
      </c>
      <c r="N6" s="16">
        <v>24.5</v>
      </c>
      <c r="O6" s="16">
        <v>3</v>
      </c>
      <c r="P6" s="16">
        <v>15</v>
      </c>
      <c r="Q6" s="16">
        <v>4</v>
      </c>
      <c r="R6" s="16">
        <f t="shared" si="0"/>
        <v>24</v>
      </c>
      <c r="S6" s="16">
        <v>0</v>
      </c>
      <c r="T6" s="16">
        <v>0</v>
      </c>
      <c r="U6" s="16">
        <v>12</v>
      </c>
      <c r="V6" s="16">
        <v>12</v>
      </c>
      <c r="W6" s="31">
        <v>85</v>
      </c>
      <c r="X6" s="31">
        <v>120</v>
      </c>
      <c r="Y6" s="31">
        <v>2.5</v>
      </c>
      <c r="Z6" s="31">
        <v>5.1</v>
      </c>
      <c r="AA6" s="16">
        <v>110051</v>
      </c>
    </row>
    <row r="7" spans="1:28">
      <c r="A7" s="27">
        <v>11006</v>
      </c>
      <c r="B7" s="16" t="s">
        <v>37</v>
      </c>
      <c r="C7" s="25" t="s">
        <v>222</v>
      </c>
      <c r="D7" s="27" t="s">
        <v>47</v>
      </c>
      <c r="E7" s="37">
        <v>100</v>
      </c>
      <c r="F7" s="37">
        <v>102</v>
      </c>
      <c r="G7" s="37">
        <v>0</v>
      </c>
      <c r="H7" s="37">
        <v>100</v>
      </c>
      <c r="I7" s="37">
        <v>67</v>
      </c>
      <c r="J7" s="31">
        <v>0</v>
      </c>
      <c r="K7" s="31">
        <v>102</v>
      </c>
      <c r="L7" s="31">
        <v>55</v>
      </c>
      <c r="M7" s="31">
        <v>49</v>
      </c>
      <c r="N7" s="37">
        <v>30.8</v>
      </c>
      <c r="O7" s="31">
        <v>3</v>
      </c>
      <c r="P7" s="37">
        <v>18</v>
      </c>
      <c r="Q7" s="31">
        <v>4</v>
      </c>
      <c r="R7" s="16">
        <f t="shared" si="0"/>
        <v>16</v>
      </c>
      <c r="S7" s="37">
        <v>4</v>
      </c>
      <c r="T7" s="37">
        <v>4</v>
      </c>
      <c r="U7" s="37">
        <v>4</v>
      </c>
      <c r="V7" s="37">
        <v>4</v>
      </c>
      <c r="W7" s="31">
        <v>90</v>
      </c>
      <c r="X7" s="31">
        <v>130</v>
      </c>
      <c r="Y7" s="31">
        <v>4.2</v>
      </c>
      <c r="Z7" s="31">
        <v>8.8</v>
      </c>
      <c r="AA7" s="31">
        <v>110061</v>
      </c>
      <c r="AB7" s="31">
        <v>110062</v>
      </c>
    </row>
    <row r="8" spans="1:28">
      <c r="A8" s="27">
        <v>11007</v>
      </c>
      <c r="B8" s="16" t="s">
        <v>37</v>
      </c>
      <c r="C8" s="25" t="s">
        <v>223</v>
      </c>
      <c r="D8" s="27" t="s">
        <v>47</v>
      </c>
      <c r="E8" s="37">
        <v>101</v>
      </c>
      <c r="F8" s="37">
        <v>102</v>
      </c>
      <c r="G8" s="37">
        <v>30</v>
      </c>
      <c r="H8" s="37">
        <v>100</v>
      </c>
      <c r="I8" s="37">
        <v>69</v>
      </c>
      <c r="J8" s="31">
        <v>0</v>
      </c>
      <c r="K8" s="31">
        <v>102</v>
      </c>
      <c r="L8" s="31">
        <v>55</v>
      </c>
      <c r="M8" s="31">
        <v>49</v>
      </c>
      <c r="N8" s="37">
        <v>30</v>
      </c>
      <c r="O8" s="31">
        <v>3</v>
      </c>
      <c r="P8" s="37">
        <v>16</v>
      </c>
      <c r="Q8" s="31">
        <v>4</v>
      </c>
      <c r="R8" s="16">
        <f t="shared" si="0"/>
        <v>16</v>
      </c>
      <c r="S8" s="37">
        <v>4</v>
      </c>
      <c r="T8" s="37">
        <v>4</v>
      </c>
      <c r="U8" s="37">
        <v>4</v>
      </c>
      <c r="V8" s="37">
        <v>4</v>
      </c>
      <c r="W8" s="31">
        <v>90</v>
      </c>
      <c r="X8" s="31">
        <v>130</v>
      </c>
      <c r="Y8" s="31">
        <v>4.2</v>
      </c>
      <c r="Z8" s="31">
        <v>8.8</v>
      </c>
      <c r="AA8" s="31">
        <v>110071</v>
      </c>
      <c r="AB8" s="31"/>
    </row>
    <row r="9" s="16" customFormat="1" spans="1:29">
      <c r="A9" s="27">
        <v>11008</v>
      </c>
      <c r="B9" s="16" t="s">
        <v>37</v>
      </c>
      <c r="C9" s="25" t="s">
        <v>224</v>
      </c>
      <c r="D9" s="27" t="s">
        <v>39</v>
      </c>
      <c r="E9" s="37">
        <v>77</v>
      </c>
      <c r="F9" s="37">
        <v>109</v>
      </c>
      <c r="G9" s="37">
        <v>0</v>
      </c>
      <c r="H9" s="37">
        <v>102</v>
      </c>
      <c r="I9" s="37">
        <v>77</v>
      </c>
      <c r="J9" s="31">
        <v>0</v>
      </c>
      <c r="K9" s="31">
        <v>101</v>
      </c>
      <c r="L9" s="31">
        <v>48</v>
      </c>
      <c r="M9" s="31">
        <v>43</v>
      </c>
      <c r="N9" s="37">
        <v>23.5</v>
      </c>
      <c r="O9" s="31">
        <v>3</v>
      </c>
      <c r="P9" s="37">
        <v>20</v>
      </c>
      <c r="Q9" s="31">
        <v>4</v>
      </c>
      <c r="R9" s="16">
        <f t="shared" si="0"/>
        <v>0</v>
      </c>
      <c r="S9" s="37">
        <v>0</v>
      </c>
      <c r="T9" s="37">
        <v>0</v>
      </c>
      <c r="U9" s="37">
        <v>0</v>
      </c>
      <c r="V9" s="37">
        <v>0</v>
      </c>
      <c r="W9" s="31">
        <v>90</v>
      </c>
      <c r="X9" s="31">
        <v>140</v>
      </c>
      <c r="Y9" s="31">
        <v>3.2</v>
      </c>
      <c r="Z9" s="31">
        <v>6</v>
      </c>
      <c r="AA9" s="31">
        <v>110081</v>
      </c>
      <c r="AB9" s="31"/>
      <c r="AC9" s="27" t="s">
        <v>225</v>
      </c>
    </row>
    <row r="10" s="16" customFormat="1" spans="1:29">
      <c r="A10" s="27">
        <v>11009</v>
      </c>
      <c r="B10" s="16" t="s">
        <v>37</v>
      </c>
      <c r="C10" s="25" t="s">
        <v>226</v>
      </c>
      <c r="D10" s="27" t="s">
        <v>39</v>
      </c>
      <c r="E10" s="37">
        <v>76</v>
      </c>
      <c r="F10" s="37">
        <v>109</v>
      </c>
      <c r="G10" s="37">
        <v>0</v>
      </c>
      <c r="H10" s="37">
        <v>102</v>
      </c>
      <c r="I10" s="37">
        <v>77</v>
      </c>
      <c r="J10" s="31">
        <v>0</v>
      </c>
      <c r="K10" s="31">
        <v>101</v>
      </c>
      <c r="L10" s="31">
        <v>48</v>
      </c>
      <c r="M10" s="31">
        <v>43</v>
      </c>
      <c r="N10" s="37">
        <v>23.5</v>
      </c>
      <c r="O10" s="31">
        <v>3</v>
      </c>
      <c r="P10" s="37">
        <v>20</v>
      </c>
      <c r="Q10" s="31">
        <v>4</v>
      </c>
      <c r="R10" s="16">
        <f t="shared" si="0"/>
        <v>8</v>
      </c>
      <c r="S10" s="37">
        <v>2</v>
      </c>
      <c r="T10" s="37">
        <v>2</v>
      </c>
      <c r="U10" s="37">
        <v>2</v>
      </c>
      <c r="V10" s="37">
        <v>2</v>
      </c>
      <c r="W10" s="31">
        <v>90</v>
      </c>
      <c r="X10" s="31">
        <v>140</v>
      </c>
      <c r="Y10" s="31">
        <v>3.2</v>
      </c>
      <c r="Z10" s="31">
        <v>6</v>
      </c>
      <c r="AA10" s="31">
        <v>110081</v>
      </c>
      <c r="AB10" s="31">
        <v>110092</v>
      </c>
      <c r="AC10" s="27" t="s">
        <v>225</v>
      </c>
    </row>
    <row r="11" spans="1:28">
      <c r="A11" s="27">
        <v>11010</v>
      </c>
      <c r="B11" s="16" t="s">
        <v>37</v>
      </c>
      <c r="C11" s="25" t="s">
        <v>227</v>
      </c>
      <c r="D11" s="27" t="s">
        <v>39</v>
      </c>
      <c r="E11" s="37">
        <v>79</v>
      </c>
      <c r="F11" s="37">
        <v>100</v>
      </c>
      <c r="G11" s="37">
        <v>0</v>
      </c>
      <c r="H11" s="37">
        <v>100</v>
      </c>
      <c r="I11" s="37">
        <v>92</v>
      </c>
      <c r="J11" s="31">
        <v>0</v>
      </c>
      <c r="K11" s="31">
        <v>102</v>
      </c>
      <c r="L11" s="31">
        <v>55</v>
      </c>
      <c r="M11" s="31">
        <v>45</v>
      </c>
      <c r="N11" s="37">
        <v>29</v>
      </c>
      <c r="O11" s="31">
        <v>3</v>
      </c>
      <c r="P11" s="37">
        <v>10</v>
      </c>
      <c r="Q11" s="31">
        <v>4</v>
      </c>
      <c r="R11" s="16">
        <f t="shared" si="0"/>
        <v>16</v>
      </c>
      <c r="S11" s="37">
        <v>4</v>
      </c>
      <c r="T11" s="37">
        <v>4</v>
      </c>
      <c r="U11" s="37">
        <v>4</v>
      </c>
      <c r="V11" s="37">
        <v>4</v>
      </c>
      <c r="W11" s="31">
        <v>90</v>
      </c>
      <c r="X11" s="31">
        <v>140</v>
      </c>
      <c r="Y11" s="31">
        <v>4.2</v>
      </c>
      <c r="Z11" s="31">
        <v>8</v>
      </c>
      <c r="AA11" s="31">
        <v>110101</v>
      </c>
      <c r="AB11" s="31">
        <v>110102</v>
      </c>
    </row>
    <row r="12" spans="1:28">
      <c r="A12" s="27">
        <v>11011</v>
      </c>
      <c r="B12" s="16" t="s">
        <v>37</v>
      </c>
      <c r="C12" s="25" t="s">
        <v>228</v>
      </c>
      <c r="D12" s="27" t="s">
        <v>34</v>
      </c>
      <c r="E12" s="37">
        <v>72</v>
      </c>
      <c r="F12" s="37">
        <v>90</v>
      </c>
      <c r="G12" s="37">
        <v>0</v>
      </c>
      <c r="H12" s="37">
        <v>93</v>
      </c>
      <c r="I12" s="37">
        <v>97</v>
      </c>
      <c r="J12" s="31">
        <v>0</v>
      </c>
      <c r="K12" s="31">
        <v>100</v>
      </c>
      <c r="L12" s="31">
        <v>44</v>
      </c>
      <c r="M12" s="31">
        <v>42</v>
      </c>
      <c r="N12" s="37">
        <v>21</v>
      </c>
      <c r="O12" s="31">
        <v>3</v>
      </c>
      <c r="P12" s="37">
        <v>30</v>
      </c>
      <c r="Q12" s="31">
        <v>4</v>
      </c>
      <c r="R12" s="16">
        <f t="shared" si="0"/>
        <v>12</v>
      </c>
      <c r="S12" s="37">
        <v>3</v>
      </c>
      <c r="T12" s="37">
        <v>3</v>
      </c>
      <c r="U12" s="37">
        <v>3</v>
      </c>
      <c r="V12" s="37">
        <v>3</v>
      </c>
      <c r="W12" s="31">
        <v>85</v>
      </c>
      <c r="X12" s="31">
        <v>125</v>
      </c>
      <c r="Y12" s="31">
        <v>2.5</v>
      </c>
      <c r="Z12" s="31">
        <v>5.1</v>
      </c>
      <c r="AA12" s="31">
        <v>110111</v>
      </c>
      <c r="AB12" s="31"/>
    </row>
    <row r="13" spans="1:28">
      <c r="A13" s="27">
        <v>11012</v>
      </c>
      <c r="B13" s="16" t="s">
        <v>37</v>
      </c>
      <c r="C13" s="25" t="s">
        <v>229</v>
      </c>
      <c r="D13" s="27" t="s">
        <v>34</v>
      </c>
      <c r="E13" s="37">
        <v>72</v>
      </c>
      <c r="F13" s="37">
        <v>90</v>
      </c>
      <c r="G13" s="37">
        <v>0</v>
      </c>
      <c r="H13" s="37">
        <v>93</v>
      </c>
      <c r="I13" s="37">
        <v>97</v>
      </c>
      <c r="J13" s="31">
        <v>0</v>
      </c>
      <c r="K13" s="31">
        <v>100</v>
      </c>
      <c r="L13" s="31">
        <v>44</v>
      </c>
      <c r="M13" s="31">
        <v>42</v>
      </c>
      <c r="N13" s="37">
        <v>21</v>
      </c>
      <c r="O13" s="31">
        <v>3</v>
      </c>
      <c r="P13" s="37">
        <v>10</v>
      </c>
      <c r="Q13" s="31">
        <v>4</v>
      </c>
      <c r="R13" s="16">
        <f t="shared" si="0"/>
        <v>12</v>
      </c>
      <c r="S13" s="37">
        <v>3</v>
      </c>
      <c r="T13" s="37">
        <v>3</v>
      </c>
      <c r="U13" s="37">
        <v>3</v>
      </c>
      <c r="V13" s="37">
        <v>3</v>
      </c>
      <c r="W13" s="31">
        <v>85</v>
      </c>
      <c r="X13" s="31">
        <v>125</v>
      </c>
      <c r="Y13" s="31">
        <v>2.5</v>
      </c>
      <c r="Z13" s="31">
        <v>5.1</v>
      </c>
      <c r="AA13" s="31">
        <v>110111</v>
      </c>
      <c r="AB13" s="31"/>
    </row>
    <row r="14" spans="1:28">
      <c r="A14" s="27">
        <v>11013</v>
      </c>
      <c r="B14" s="16" t="s">
        <v>37</v>
      </c>
      <c r="C14" s="25" t="s">
        <v>230</v>
      </c>
      <c r="D14" s="27" t="s">
        <v>68</v>
      </c>
      <c r="E14" s="37">
        <v>64</v>
      </c>
      <c r="F14" s="37">
        <v>89</v>
      </c>
      <c r="G14" s="37">
        <v>0</v>
      </c>
      <c r="H14" s="37">
        <v>89</v>
      </c>
      <c r="I14" s="37">
        <v>70</v>
      </c>
      <c r="J14" s="31">
        <v>0</v>
      </c>
      <c r="K14" s="31">
        <v>102</v>
      </c>
      <c r="L14" s="31">
        <v>63</v>
      </c>
      <c r="M14" s="31">
        <v>40</v>
      </c>
      <c r="N14" s="37">
        <v>27</v>
      </c>
      <c r="O14" s="31">
        <v>3</v>
      </c>
      <c r="P14" s="37">
        <v>20</v>
      </c>
      <c r="Q14" s="31">
        <v>4</v>
      </c>
      <c r="R14" s="16">
        <f t="shared" si="0"/>
        <v>12</v>
      </c>
      <c r="S14" s="37">
        <v>3</v>
      </c>
      <c r="T14" s="37">
        <v>3</v>
      </c>
      <c r="U14" s="37">
        <v>3</v>
      </c>
      <c r="V14" s="37">
        <v>3</v>
      </c>
      <c r="W14" s="31">
        <v>70</v>
      </c>
      <c r="X14" s="31">
        <v>110</v>
      </c>
      <c r="Y14" s="31">
        <v>2.25</v>
      </c>
      <c r="Z14" s="31">
        <v>4.55</v>
      </c>
      <c r="AA14" s="31">
        <v>110131</v>
      </c>
      <c r="AB14" s="31"/>
    </row>
    <row r="15" spans="1:28">
      <c r="A15" s="27">
        <v>11014</v>
      </c>
      <c r="B15" s="16" t="s">
        <v>37</v>
      </c>
      <c r="C15" s="25" t="s">
        <v>231</v>
      </c>
      <c r="D15" s="27" t="s">
        <v>31</v>
      </c>
      <c r="E15" s="37">
        <v>68</v>
      </c>
      <c r="F15" s="37">
        <v>96</v>
      </c>
      <c r="G15" s="37">
        <v>0</v>
      </c>
      <c r="H15" s="37">
        <v>73</v>
      </c>
      <c r="I15" s="37">
        <v>67</v>
      </c>
      <c r="J15" s="31">
        <v>0</v>
      </c>
      <c r="K15" s="31">
        <v>100</v>
      </c>
      <c r="L15" s="31">
        <v>72</v>
      </c>
      <c r="M15" s="31">
        <v>45</v>
      </c>
      <c r="N15" s="37">
        <v>30.3</v>
      </c>
      <c r="O15" s="31">
        <v>3</v>
      </c>
      <c r="P15" s="37">
        <v>15</v>
      </c>
      <c r="Q15" s="31">
        <v>4</v>
      </c>
      <c r="R15" s="16">
        <f t="shared" si="0"/>
        <v>12</v>
      </c>
      <c r="S15" s="37">
        <v>3</v>
      </c>
      <c r="T15" s="37">
        <v>3</v>
      </c>
      <c r="U15" s="37">
        <v>3</v>
      </c>
      <c r="V15" s="37">
        <v>3</v>
      </c>
      <c r="W15" s="31">
        <v>80</v>
      </c>
      <c r="X15" s="31">
        <v>110</v>
      </c>
      <c r="Y15" s="31">
        <v>2.88</v>
      </c>
      <c r="Z15" s="31">
        <v>5.4</v>
      </c>
      <c r="AA15" s="31">
        <v>110141</v>
      </c>
      <c r="AB15" s="31"/>
    </row>
    <row r="16" spans="1:28">
      <c r="A16" s="27">
        <v>11018</v>
      </c>
      <c r="B16" s="16" t="s">
        <v>51</v>
      </c>
      <c r="C16" s="25" t="s">
        <v>232</v>
      </c>
      <c r="D16" s="27" t="s">
        <v>39</v>
      </c>
      <c r="E16" s="31">
        <v>70</v>
      </c>
      <c r="F16" s="31">
        <v>93</v>
      </c>
      <c r="G16" s="31">
        <v>0</v>
      </c>
      <c r="H16" s="31">
        <v>80</v>
      </c>
      <c r="I16" s="31">
        <v>97</v>
      </c>
      <c r="J16" s="31">
        <v>0</v>
      </c>
      <c r="K16" s="31">
        <v>101</v>
      </c>
      <c r="L16" s="31">
        <v>71</v>
      </c>
      <c r="M16" s="31">
        <v>44</v>
      </c>
      <c r="N16" s="31">
        <v>31.5</v>
      </c>
      <c r="O16" s="31">
        <v>3</v>
      </c>
      <c r="P16" s="31">
        <v>35</v>
      </c>
      <c r="Q16" s="31">
        <v>4</v>
      </c>
      <c r="R16" s="16">
        <f t="shared" si="0"/>
        <v>16</v>
      </c>
      <c r="S16" s="31">
        <v>4</v>
      </c>
      <c r="T16" s="31">
        <v>4</v>
      </c>
      <c r="U16" s="31">
        <v>4</v>
      </c>
      <c r="V16" s="31">
        <v>4</v>
      </c>
      <c r="W16" s="31">
        <v>70</v>
      </c>
      <c r="X16" s="31">
        <v>120</v>
      </c>
      <c r="Y16" s="31">
        <v>2.88</v>
      </c>
      <c r="Z16" s="31">
        <v>5.4</v>
      </c>
      <c r="AA16" s="31">
        <v>110181</v>
      </c>
      <c r="AB16" s="31">
        <v>110182</v>
      </c>
    </row>
    <row r="17" spans="1:28">
      <c r="A17" s="27">
        <v>11019</v>
      </c>
      <c r="B17" s="16" t="s">
        <v>51</v>
      </c>
      <c r="C17" s="25" t="s">
        <v>233</v>
      </c>
      <c r="D17" s="27" t="s">
        <v>39</v>
      </c>
      <c r="E17" s="31">
        <v>70</v>
      </c>
      <c r="F17" s="31">
        <v>88</v>
      </c>
      <c r="G17" s="31">
        <v>0</v>
      </c>
      <c r="H17" s="31">
        <v>78</v>
      </c>
      <c r="I17" s="31">
        <v>75</v>
      </c>
      <c r="J17" s="31">
        <v>0</v>
      </c>
      <c r="K17" s="31">
        <v>100</v>
      </c>
      <c r="L17" s="31">
        <v>74</v>
      </c>
      <c r="M17" s="31">
        <v>41</v>
      </c>
      <c r="N17" s="31">
        <v>31.5</v>
      </c>
      <c r="O17" s="31">
        <v>3</v>
      </c>
      <c r="P17" s="31">
        <v>12</v>
      </c>
      <c r="Q17" s="31">
        <v>4</v>
      </c>
      <c r="R17" s="16">
        <f t="shared" si="0"/>
        <v>16</v>
      </c>
      <c r="S17" s="31">
        <v>4</v>
      </c>
      <c r="T17" s="31">
        <v>4</v>
      </c>
      <c r="U17" s="31">
        <v>4</v>
      </c>
      <c r="V17" s="31">
        <v>4</v>
      </c>
      <c r="W17" s="31">
        <v>70</v>
      </c>
      <c r="X17" s="31">
        <v>120</v>
      </c>
      <c r="Y17" s="31">
        <v>2.88</v>
      </c>
      <c r="Z17" s="31">
        <v>5.4</v>
      </c>
      <c r="AA17" s="31">
        <v>110191</v>
      </c>
      <c r="AB17" s="31"/>
    </row>
    <row r="18" spans="1:27">
      <c r="A18" s="27">
        <v>11020</v>
      </c>
      <c r="B18" s="16" t="s">
        <v>234</v>
      </c>
      <c r="C18" s="16" t="s">
        <v>235</v>
      </c>
      <c r="D18" s="16" t="s">
        <v>34</v>
      </c>
      <c r="E18" s="16">
        <v>63</v>
      </c>
      <c r="F18" s="16">
        <v>90</v>
      </c>
      <c r="G18" s="16">
        <v>0</v>
      </c>
      <c r="H18" s="16">
        <v>73</v>
      </c>
      <c r="I18" s="16">
        <v>110</v>
      </c>
      <c r="J18" s="16">
        <v>0</v>
      </c>
      <c r="K18" s="16">
        <v>102</v>
      </c>
      <c r="L18" s="16">
        <v>72</v>
      </c>
      <c r="M18" s="16">
        <v>55</v>
      </c>
      <c r="N18" s="16">
        <v>33</v>
      </c>
      <c r="O18" s="16">
        <v>3</v>
      </c>
      <c r="P18" s="16">
        <v>15</v>
      </c>
      <c r="Q18" s="16">
        <v>4</v>
      </c>
      <c r="R18" s="16">
        <f t="shared" si="0"/>
        <v>48</v>
      </c>
      <c r="S18" s="16">
        <v>12</v>
      </c>
      <c r="T18" s="16">
        <v>12</v>
      </c>
      <c r="U18" s="16">
        <v>12</v>
      </c>
      <c r="V18" s="16">
        <v>12</v>
      </c>
      <c r="W18" s="16">
        <v>85</v>
      </c>
      <c r="X18" s="16">
        <v>135</v>
      </c>
      <c r="Y18" s="16">
        <v>2.9</v>
      </c>
      <c r="Z18" s="16">
        <v>5.6</v>
      </c>
      <c r="AA18" s="39">
        <v>110201</v>
      </c>
    </row>
    <row r="19" spans="1:27">
      <c r="A19" s="27">
        <v>11021</v>
      </c>
      <c r="B19" s="16" t="s">
        <v>234</v>
      </c>
      <c r="C19" s="16" t="s">
        <v>236</v>
      </c>
      <c r="D19" s="16" t="s">
        <v>34</v>
      </c>
      <c r="E19" s="16">
        <v>63</v>
      </c>
      <c r="F19" s="16">
        <v>95</v>
      </c>
      <c r="G19" s="16">
        <v>0</v>
      </c>
      <c r="H19" s="16">
        <v>72</v>
      </c>
      <c r="I19" s="16">
        <v>105</v>
      </c>
      <c r="J19" s="16">
        <v>0</v>
      </c>
      <c r="K19" s="16">
        <v>102</v>
      </c>
      <c r="L19" s="16">
        <v>72</v>
      </c>
      <c r="M19" s="16">
        <v>55</v>
      </c>
      <c r="N19" s="16">
        <v>33</v>
      </c>
      <c r="O19" s="16">
        <v>3</v>
      </c>
      <c r="P19" s="16">
        <v>15</v>
      </c>
      <c r="Q19" s="16">
        <v>4</v>
      </c>
      <c r="R19" s="16">
        <f t="shared" si="0"/>
        <v>48</v>
      </c>
      <c r="S19" s="16">
        <v>12</v>
      </c>
      <c r="T19" s="16">
        <v>12</v>
      </c>
      <c r="U19" s="16">
        <v>12</v>
      </c>
      <c r="V19" s="16">
        <v>12</v>
      </c>
      <c r="W19" s="16">
        <v>85</v>
      </c>
      <c r="X19" s="16">
        <v>140</v>
      </c>
      <c r="Y19" s="16">
        <v>2.88</v>
      </c>
      <c r="Z19" s="16">
        <v>5.6</v>
      </c>
      <c r="AA19" s="39">
        <v>110211</v>
      </c>
    </row>
    <row r="20" spans="1:28">
      <c r="A20" s="27">
        <v>11022</v>
      </c>
      <c r="B20" s="16" t="s">
        <v>29</v>
      </c>
      <c r="C20" s="25" t="s">
        <v>30</v>
      </c>
      <c r="D20" s="16" t="s">
        <v>31</v>
      </c>
      <c r="E20" s="16">
        <v>79</v>
      </c>
      <c r="F20" s="16">
        <v>40</v>
      </c>
      <c r="G20" s="16">
        <v>0</v>
      </c>
      <c r="H20" s="16">
        <v>61</v>
      </c>
      <c r="I20" s="16">
        <v>62</v>
      </c>
      <c r="J20" s="16">
        <v>0</v>
      </c>
      <c r="K20" s="16">
        <v>102</v>
      </c>
      <c r="L20" s="16">
        <v>57</v>
      </c>
      <c r="M20" s="16">
        <v>77</v>
      </c>
      <c r="N20" s="16">
        <v>31.2</v>
      </c>
      <c r="O20" s="16">
        <v>1</v>
      </c>
      <c r="P20" s="16">
        <v>10</v>
      </c>
      <c r="Q20" s="16">
        <v>4</v>
      </c>
      <c r="R20" s="16">
        <f t="shared" si="0"/>
        <v>86</v>
      </c>
      <c r="S20" s="16">
        <v>20</v>
      </c>
      <c r="T20" s="16">
        <v>20</v>
      </c>
      <c r="U20" s="16">
        <v>36</v>
      </c>
      <c r="V20" s="16">
        <v>10</v>
      </c>
      <c r="W20" s="31">
        <v>60</v>
      </c>
      <c r="X20" s="31">
        <v>55</v>
      </c>
      <c r="Y20" s="31">
        <v>2.4</v>
      </c>
      <c r="Z20" s="31">
        <v>4.5</v>
      </c>
      <c r="AA20" s="16">
        <v>110221</v>
      </c>
      <c r="AB20" s="16">
        <v>110222</v>
      </c>
    </row>
    <row r="21" spans="1:28">
      <c r="A21" s="27">
        <v>11023</v>
      </c>
      <c r="B21" s="16" t="s">
        <v>29</v>
      </c>
      <c r="C21" s="25" t="s">
        <v>32</v>
      </c>
      <c r="D21" s="16" t="s">
        <v>31</v>
      </c>
      <c r="E21" s="16">
        <v>81</v>
      </c>
      <c r="F21" s="16">
        <v>40</v>
      </c>
      <c r="G21" s="16">
        <v>0</v>
      </c>
      <c r="H21" s="16">
        <v>68</v>
      </c>
      <c r="I21" s="16">
        <v>67</v>
      </c>
      <c r="J21" s="16">
        <v>0</v>
      </c>
      <c r="K21" s="16">
        <v>102</v>
      </c>
      <c r="L21" s="16">
        <v>56</v>
      </c>
      <c r="M21" s="16">
        <v>75</v>
      </c>
      <c r="N21" s="16">
        <v>28</v>
      </c>
      <c r="O21" s="16">
        <v>1</v>
      </c>
      <c r="P21" s="16">
        <v>10</v>
      </c>
      <c r="Q21" s="16">
        <v>4</v>
      </c>
      <c r="R21" s="16">
        <f t="shared" si="0"/>
        <v>95</v>
      </c>
      <c r="S21" s="16">
        <v>22</v>
      </c>
      <c r="T21" s="16">
        <v>18</v>
      </c>
      <c r="U21" s="16">
        <v>40</v>
      </c>
      <c r="V21" s="16">
        <v>15</v>
      </c>
      <c r="W21" s="31">
        <v>60</v>
      </c>
      <c r="X21" s="31">
        <v>55</v>
      </c>
      <c r="Y21" s="31">
        <v>2.56</v>
      </c>
      <c r="Z21" s="31">
        <v>4.8</v>
      </c>
      <c r="AA21" s="16">
        <v>110231</v>
      </c>
      <c r="AB21" s="16">
        <v>110232</v>
      </c>
    </row>
    <row r="22" spans="1:27">
      <c r="A22" s="27">
        <v>11024</v>
      </c>
      <c r="B22" s="16" t="s">
        <v>237</v>
      </c>
      <c r="C22" s="25" t="s">
        <v>238</v>
      </c>
      <c r="D22" s="16" t="s">
        <v>31</v>
      </c>
      <c r="E22" s="16">
        <v>47</v>
      </c>
      <c r="F22" s="16">
        <v>30</v>
      </c>
      <c r="G22" s="16">
        <v>0</v>
      </c>
      <c r="H22" s="16">
        <v>50</v>
      </c>
      <c r="I22" s="16">
        <v>53</v>
      </c>
      <c r="J22" s="16">
        <v>0</v>
      </c>
      <c r="K22" s="16">
        <v>96</v>
      </c>
      <c r="L22" s="16">
        <v>61</v>
      </c>
      <c r="M22" s="16">
        <v>63</v>
      </c>
      <c r="N22" s="16">
        <v>29</v>
      </c>
      <c r="O22" s="16">
        <v>1</v>
      </c>
      <c r="P22" s="16">
        <v>10</v>
      </c>
      <c r="Q22" s="16">
        <v>3</v>
      </c>
      <c r="R22" s="16">
        <f t="shared" si="0"/>
        <v>39</v>
      </c>
      <c r="S22" s="16">
        <v>17</v>
      </c>
      <c r="T22" s="16">
        <v>13</v>
      </c>
      <c r="U22" s="16">
        <v>9</v>
      </c>
      <c r="V22" s="16">
        <v>0</v>
      </c>
      <c r="W22" s="31">
        <v>35</v>
      </c>
      <c r="X22" s="31">
        <v>35</v>
      </c>
      <c r="Y22" s="31">
        <v>1.28</v>
      </c>
      <c r="Z22" s="31">
        <v>2.4</v>
      </c>
      <c r="AA22" s="16">
        <v>110241</v>
      </c>
    </row>
    <row r="23" spans="1:27">
      <c r="A23" s="27">
        <v>11025</v>
      </c>
      <c r="B23" s="16" t="s">
        <v>237</v>
      </c>
      <c r="C23" s="25" t="s">
        <v>239</v>
      </c>
      <c r="D23" s="16" t="s">
        <v>31</v>
      </c>
      <c r="E23" s="16">
        <v>47</v>
      </c>
      <c r="F23" s="16">
        <v>30</v>
      </c>
      <c r="G23" s="16">
        <v>0</v>
      </c>
      <c r="H23" s="16">
        <v>53</v>
      </c>
      <c r="I23" s="16">
        <v>58</v>
      </c>
      <c r="J23" s="16">
        <v>0</v>
      </c>
      <c r="K23" s="16">
        <v>96</v>
      </c>
      <c r="L23" s="16">
        <v>61</v>
      </c>
      <c r="M23" s="16">
        <v>63</v>
      </c>
      <c r="N23" s="16">
        <v>29</v>
      </c>
      <c r="O23" s="16">
        <v>1</v>
      </c>
      <c r="P23" s="16">
        <v>20</v>
      </c>
      <c r="Q23" s="16">
        <v>3</v>
      </c>
      <c r="R23" s="16">
        <f t="shared" si="0"/>
        <v>37</v>
      </c>
      <c r="S23" s="16">
        <v>18</v>
      </c>
      <c r="T23" s="16">
        <v>13</v>
      </c>
      <c r="U23" s="16">
        <v>6</v>
      </c>
      <c r="V23" s="16">
        <v>0</v>
      </c>
      <c r="W23" s="31">
        <v>40</v>
      </c>
      <c r="X23" s="31">
        <v>35</v>
      </c>
      <c r="Y23" s="31">
        <v>1.28</v>
      </c>
      <c r="Z23" s="31">
        <v>2.4</v>
      </c>
      <c r="AA23" s="16">
        <v>110251</v>
      </c>
    </row>
    <row r="24" spans="1:26">
      <c r="A24" s="27">
        <v>11026</v>
      </c>
      <c r="B24" s="16" t="s">
        <v>237</v>
      </c>
      <c r="C24" s="25" t="s">
        <v>240</v>
      </c>
      <c r="D24" s="16" t="s">
        <v>39</v>
      </c>
      <c r="E24" s="16">
        <v>38</v>
      </c>
      <c r="F24" s="16">
        <v>25</v>
      </c>
      <c r="G24" s="16">
        <v>0</v>
      </c>
      <c r="H24" s="16">
        <v>35</v>
      </c>
      <c r="I24" s="16">
        <v>63</v>
      </c>
      <c r="J24" s="16">
        <v>0</v>
      </c>
      <c r="K24" s="16">
        <v>95</v>
      </c>
      <c r="L24" s="16">
        <v>47</v>
      </c>
      <c r="M24" s="16">
        <v>78</v>
      </c>
      <c r="N24" s="16">
        <v>20.7</v>
      </c>
      <c r="O24" s="16">
        <v>1</v>
      </c>
      <c r="P24" s="16">
        <v>20</v>
      </c>
      <c r="Q24" s="16">
        <v>3</v>
      </c>
      <c r="R24" s="16">
        <f t="shared" si="0"/>
        <v>28</v>
      </c>
      <c r="S24" s="16">
        <v>8</v>
      </c>
      <c r="T24" s="16">
        <v>12</v>
      </c>
      <c r="U24" s="16">
        <v>8</v>
      </c>
      <c r="V24" s="16">
        <v>0</v>
      </c>
      <c r="W24" s="31">
        <v>20</v>
      </c>
      <c r="X24" s="31">
        <v>30</v>
      </c>
      <c r="Y24" s="31">
        <v>0.96</v>
      </c>
      <c r="Z24" s="31">
        <v>1.8</v>
      </c>
    </row>
    <row r="25" spans="1:26">
      <c r="A25" s="27">
        <v>11027</v>
      </c>
      <c r="B25" s="16" t="s">
        <v>237</v>
      </c>
      <c r="C25" s="25" t="s">
        <v>241</v>
      </c>
      <c r="D25" s="16" t="s">
        <v>34</v>
      </c>
      <c r="E25" s="16">
        <v>39</v>
      </c>
      <c r="F25" s="16">
        <v>25</v>
      </c>
      <c r="G25" s="16">
        <v>0</v>
      </c>
      <c r="H25" s="16">
        <v>36</v>
      </c>
      <c r="I25" s="16">
        <v>72</v>
      </c>
      <c r="J25" s="16">
        <v>0</v>
      </c>
      <c r="K25" s="16">
        <v>95</v>
      </c>
      <c r="L25" s="16">
        <v>42</v>
      </c>
      <c r="M25" s="16">
        <v>80</v>
      </c>
      <c r="N25" s="16">
        <v>15</v>
      </c>
      <c r="O25" s="16">
        <v>1</v>
      </c>
      <c r="P25" s="16">
        <v>20</v>
      </c>
      <c r="Q25" s="16">
        <v>3</v>
      </c>
      <c r="R25" s="16">
        <f t="shared" si="0"/>
        <v>35</v>
      </c>
      <c r="S25" s="16">
        <v>15</v>
      </c>
      <c r="T25" s="16">
        <v>10</v>
      </c>
      <c r="U25" s="16">
        <v>10</v>
      </c>
      <c r="V25" s="16">
        <v>0</v>
      </c>
      <c r="W25" s="31">
        <v>25</v>
      </c>
      <c r="X25" s="31">
        <v>30</v>
      </c>
      <c r="Y25" s="31">
        <v>0.96</v>
      </c>
      <c r="Z25" s="31">
        <v>1.8</v>
      </c>
    </row>
    <row r="26" spans="1:27">
      <c r="A26" s="27">
        <v>11028</v>
      </c>
      <c r="B26" s="16" t="s">
        <v>29</v>
      </c>
      <c r="C26" s="25" t="s">
        <v>242</v>
      </c>
      <c r="D26" s="16" t="s">
        <v>34</v>
      </c>
      <c r="E26" s="16">
        <v>48</v>
      </c>
      <c r="F26" s="16">
        <v>30</v>
      </c>
      <c r="G26" s="16">
        <v>0</v>
      </c>
      <c r="H26" s="16">
        <v>48</v>
      </c>
      <c r="I26" s="16">
        <v>65</v>
      </c>
      <c r="J26" s="16">
        <v>0</v>
      </c>
      <c r="K26" s="16">
        <v>100</v>
      </c>
      <c r="L26" s="16">
        <v>76</v>
      </c>
      <c r="M26" s="16">
        <v>88</v>
      </c>
      <c r="N26" s="16">
        <v>29.2</v>
      </c>
      <c r="O26" s="16">
        <v>1</v>
      </c>
      <c r="P26" s="16">
        <v>25</v>
      </c>
      <c r="Q26" s="16">
        <v>4</v>
      </c>
      <c r="R26" s="16">
        <f t="shared" si="0"/>
        <v>65</v>
      </c>
      <c r="S26" s="16">
        <v>15</v>
      </c>
      <c r="T26" s="16">
        <v>20</v>
      </c>
      <c r="U26" s="16">
        <v>25</v>
      </c>
      <c r="V26" s="16">
        <v>5</v>
      </c>
      <c r="W26" s="31">
        <v>45</v>
      </c>
      <c r="X26" s="31">
        <v>50</v>
      </c>
      <c r="Y26" s="31">
        <v>1.68</v>
      </c>
      <c r="Z26" s="31">
        <v>3.2</v>
      </c>
      <c r="AA26" s="16">
        <v>110281</v>
      </c>
    </row>
    <row r="27" spans="1:27">
      <c r="A27" s="27">
        <v>11029</v>
      </c>
      <c r="B27" s="16" t="s">
        <v>29</v>
      </c>
      <c r="C27" s="25" t="s">
        <v>33</v>
      </c>
      <c r="D27" s="16" t="s">
        <v>34</v>
      </c>
      <c r="E27" s="16">
        <v>73</v>
      </c>
      <c r="F27" s="16">
        <v>40</v>
      </c>
      <c r="G27" s="16">
        <v>0</v>
      </c>
      <c r="H27" s="16">
        <v>74</v>
      </c>
      <c r="I27" s="16">
        <v>77</v>
      </c>
      <c r="J27" s="16">
        <v>0</v>
      </c>
      <c r="K27" s="16">
        <v>101</v>
      </c>
      <c r="L27" s="16">
        <v>58</v>
      </c>
      <c r="M27" s="16">
        <v>90</v>
      </c>
      <c r="N27" s="16">
        <v>33.2</v>
      </c>
      <c r="O27" s="16">
        <v>1</v>
      </c>
      <c r="P27" s="16">
        <v>20</v>
      </c>
      <c r="Q27" s="16">
        <v>4</v>
      </c>
      <c r="R27" s="16">
        <f t="shared" si="0"/>
        <v>85</v>
      </c>
      <c r="S27" s="16">
        <v>20</v>
      </c>
      <c r="T27" s="16">
        <v>20</v>
      </c>
      <c r="U27" s="16">
        <v>35</v>
      </c>
      <c r="V27" s="16">
        <v>10</v>
      </c>
      <c r="W27" s="31">
        <v>55</v>
      </c>
      <c r="X27" s="31">
        <v>60</v>
      </c>
      <c r="Y27" s="31">
        <v>2.08</v>
      </c>
      <c r="Z27" s="31">
        <v>3.9</v>
      </c>
      <c r="AA27" s="16">
        <v>110291</v>
      </c>
    </row>
    <row r="28" spans="1:28">
      <c r="A28" s="27">
        <v>11030</v>
      </c>
      <c r="B28" s="16" t="s">
        <v>29</v>
      </c>
      <c r="C28" s="25" t="s">
        <v>35</v>
      </c>
      <c r="D28" s="16" t="s">
        <v>34</v>
      </c>
      <c r="E28" s="16">
        <v>73</v>
      </c>
      <c r="F28" s="16">
        <v>40</v>
      </c>
      <c r="G28" s="16">
        <v>0</v>
      </c>
      <c r="H28" s="16">
        <v>74</v>
      </c>
      <c r="I28" s="16">
        <v>90</v>
      </c>
      <c r="J28" s="16">
        <v>0</v>
      </c>
      <c r="K28" s="16">
        <v>101</v>
      </c>
      <c r="L28" s="16">
        <v>58</v>
      </c>
      <c r="M28" s="16">
        <v>90</v>
      </c>
      <c r="N28" s="16">
        <v>33.2</v>
      </c>
      <c r="O28" s="16">
        <v>1</v>
      </c>
      <c r="P28" s="16">
        <v>32</v>
      </c>
      <c r="Q28" s="16">
        <v>4</v>
      </c>
      <c r="R28" s="16">
        <f t="shared" si="0"/>
        <v>85</v>
      </c>
      <c r="S28" s="16">
        <v>20</v>
      </c>
      <c r="T28" s="16">
        <v>20</v>
      </c>
      <c r="U28" s="16">
        <v>35</v>
      </c>
      <c r="V28" s="16">
        <v>10</v>
      </c>
      <c r="W28" s="31">
        <v>55</v>
      </c>
      <c r="X28" s="31">
        <v>60</v>
      </c>
      <c r="Y28" s="31">
        <v>2.08</v>
      </c>
      <c r="Z28" s="31">
        <v>3.9</v>
      </c>
      <c r="AA28" s="16">
        <v>110291</v>
      </c>
      <c r="AB28" s="16">
        <v>110302</v>
      </c>
    </row>
    <row r="29" spans="1:27">
      <c r="A29" s="27">
        <v>11031</v>
      </c>
      <c r="B29" s="16" t="s">
        <v>29</v>
      </c>
      <c r="C29" s="25" t="s">
        <v>36</v>
      </c>
      <c r="D29" s="16" t="s">
        <v>34</v>
      </c>
      <c r="E29" s="16">
        <v>60</v>
      </c>
      <c r="F29" s="16">
        <v>45</v>
      </c>
      <c r="G29" s="16">
        <v>0</v>
      </c>
      <c r="H29" s="16">
        <v>66</v>
      </c>
      <c r="I29" s="16">
        <v>80</v>
      </c>
      <c r="J29" s="16">
        <v>0</v>
      </c>
      <c r="K29" s="26">
        <v>101</v>
      </c>
      <c r="L29" s="16">
        <v>58</v>
      </c>
      <c r="M29" s="16">
        <v>65</v>
      </c>
      <c r="N29" s="16">
        <v>32.5</v>
      </c>
      <c r="O29" s="16">
        <v>1</v>
      </c>
      <c r="P29" s="16">
        <v>12</v>
      </c>
      <c r="Q29" s="16">
        <v>4</v>
      </c>
      <c r="R29" s="16">
        <f t="shared" si="0"/>
        <v>87</v>
      </c>
      <c r="S29" s="16">
        <v>15</v>
      </c>
      <c r="T29" s="16">
        <v>25</v>
      </c>
      <c r="U29" s="16">
        <v>36</v>
      </c>
      <c r="V29" s="16">
        <v>11</v>
      </c>
      <c r="W29" s="31">
        <v>55</v>
      </c>
      <c r="X29" s="31">
        <v>70</v>
      </c>
      <c r="Y29" s="31">
        <v>2.08</v>
      </c>
      <c r="Z29" s="31">
        <v>3.9</v>
      </c>
      <c r="AA29" s="16">
        <v>110311</v>
      </c>
    </row>
    <row r="30" spans="1:28">
      <c r="A30" s="27">
        <v>11032</v>
      </c>
      <c r="B30" s="16" t="s">
        <v>84</v>
      </c>
      <c r="C30" s="16" t="s">
        <v>243</v>
      </c>
      <c r="D30" s="27" t="s">
        <v>31</v>
      </c>
      <c r="E30" s="31">
        <v>55</v>
      </c>
      <c r="F30" s="31">
        <v>70</v>
      </c>
      <c r="G30" s="31">
        <v>72</v>
      </c>
      <c r="H30" s="31">
        <v>53</v>
      </c>
      <c r="I30" s="31">
        <v>58</v>
      </c>
      <c r="J30" s="31">
        <v>0</v>
      </c>
      <c r="K30" s="31">
        <v>97</v>
      </c>
      <c r="L30" s="31">
        <v>89</v>
      </c>
      <c r="M30" s="31">
        <v>58</v>
      </c>
      <c r="N30" s="31">
        <v>35</v>
      </c>
      <c r="O30" s="31">
        <v>2</v>
      </c>
      <c r="P30" s="31">
        <v>10</v>
      </c>
      <c r="Q30" s="31">
        <v>4</v>
      </c>
      <c r="R30" s="16">
        <f t="shared" si="0"/>
        <v>6</v>
      </c>
      <c r="S30" s="31">
        <v>2</v>
      </c>
      <c r="T30" s="31">
        <v>2</v>
      </c>
      <c r="U30" s="31">
        <v>2</v>
      </c>
      <c r="V30" s="31">
        <v>0</v>
      </c>
      <c r="W30" s="31">
        <v>40</v>
      </c>
      <c r="X30" s="31">
        <v>65</v>
      </c>
      <c r="Y30" s="31">
        <v>1.28</v>
      </c>
      <c r="Z30" s="31">
        <v>2.4</v>
      </c>
      <c r="AA30" s="31">
        <v>110321</v>
      </c>
      <c r="AB30" s="31"/>
    </row>
    <row r="31" spans="1:28">
      <c r="A31" s="27">
        <v>11033</v>
      </c>
      <c r="B31" s="16" t="s">
        <v>84</v>
      </c>
      <c r="C31" s="16" t="s">
        <v>244</v>
      </c>
      <c r="D31" s="27" t="s">
        <v>31</v>
      </c>
      <c r="E31" s="31">
        <v>55</v>
      </c>
      <c r="F31" s="31">
        <v>70</v>
      </c>
      <c r="G31" s="31">
        <v>72</v>
      </c>
      <c r="H31" s="31">
        <v>53</v>
      </c>
      <c r="I31" s="31">
        <v>58</v>
      </c>
      <c r="J31" s="31">
        <v>0</v>
      </c>
      <c r="K31" s="31">
        <v>97</v>
      </c>
      <c r="L31" s="31">
        <v>89</v>
      </c>
      <c r="M31" s="31">
        <v>58</v>
      </c>
      <c r="N31" s="31">
        <v>35</v>
      </c>
      <c r="O31" s="31">
        <v>2</v>
      </c>
      <c r="P31" s="31">
        <v>10</v>
      </c>
      <c r="Q31" s="31">
        <v>4</v>
      </c>
      <c r="R31" s="16">
        <f t="shared" si="0"/>
        <v>6</v>
      </c>
      <c r="S31" s="31">
        <v>2</v>
      </c>
      <c r="T31" s="31">
        <v>2</v>
      </c>
      <c r="U31" s="31">
        <v>2</v>
      </c>
      <c r="V31" s="31">
        <v>0</v>
      </c>
      <c r="W31" s="31">
        <v>40</v>
      </c>
      <c r="X31" s="31">
        <v>65</v>
      </c>
      <c r="Y31" s="31">
        <v>1.28</v>
      </c>
      <c r="Z31" s="31">
        <v>2.4</v>
      </c>
      <c r="AA31" s="31">
        <v>110331</v>
      </c>
      <c r="AB31" s="31"/>
    </row>
    <row r="32" spans="1:28">
      <c r="A32" s="27">
        <v>11034</v>
      </c>
      <c r="B32" s="16" t="s">
        <v>84</v>
      </c>
      <c r="C32" s="16" t="s">
        <v>245</v>
      </c>
      <c r="D32" s="27" t="s">
        <v>31</v>
      </c>
      <c r="E32" s="31">
        <v>55</v>
      </c>
      <c r="F32" s="31">
        <v>68</v>
      </c>
      <c r="G32" s="31">
        <v>72</v>
      </c>
      <c r="H32" s="31">
        <v>52</v>
      </c>
      <c r="I32" s="31">
        <v>67</v>
      </c>
      <c r="J32" s="31">
        <v>0</v>
      </c>
      <c r="K32" s="31">
        <v>97</v>
      </c>
      <c r="L32" s="31">
        <v>89</v>
      </c>
      <c r="M32" s="31">
        <v>58</v>
      </c>
      <c r="N32" s="31">
        <v>35</v>
      </c>
      <c r="O32" s="31">
        <v>2</v>
      </c>
      <c r="P32" s="31">
        <v>10</v>
      </c>
      <c r="Q32" s="31">
        <v>4</v>
      </c>
      <c r="R32" s="16">
        <f t="shared" si="0"/>
        <v>6</v>
      </c>
      <c r="S32" s="31">
        <v>2</v>
      </c>
      <c r="T32" s="31">
        <v>2</v>
      </c>
      <c r="U32" s="31">
        <v>2</v>
      </c>
      <c r="V32" s="31">
        <v>0</v>
      </c>
      <c r="W32" s="31">
        <v>40</v>
      </c>
      <c r="X32" s="31">
        <v>65</v>
      </c>
      <c r="Y32" s="31">
        <v>1.28</v>
      </c>
      <c r="Z32" s="31">
        <v>2.4</v>
      </c>
      <c r="AA32" s="31">
        <v>110341</v>
      </c>
      <c r="AB32" s="31"/>
    </row>
    <row r="33" spans="1:28">
      <c r="A33" s="27">
        <v>11035</v>
      </c>
      <c r="B33" s="16" t="s">
        <v>84</v>
      </c>
      <c r="C33" s="16" t="s">
        <v>246</v>
      </c>
      <c r="D33" s="27" t="s">
        <v>31</v>
      </c>
      <c r="E33" s="31">
        <v>55</v>
      </c>
      <c r="F33" s="31">
        <v>70</v>
      </c>
      <c r="G33" s="31">
        <v>72</v>
      </c>
      <c r="H33" s="31">
        <v>53</v>
      </c>
      <c r="I33" s="31">
        <v>55</v>
      </c>
      <c r="J33" s="31">
        <v>0</v>
      </c>
      <c r="K33" s="31">
        <v>97</v>
      </c>
      <c r="L33" s="31">
        <v>89</v>
      </c>
      <c r="M33" s="31">
        <v>58</v>
      </c>
      <c r="N33" s="31">
        <v>35</v>
      </c>
      <c r="O33" s="31">
        <v>2</v>
      </c>
      <c r="P33" s="31">
        <v>10</v>
      </c>
      <c r="Q33" s="31">
        <v>4</v>
      </c>
      <c r="R33" s="16">
        <f t="shared" si="0"/>
        <v>6</v>
      </c>
      <c r="S33" s="31">
        <v>2</v>
      </c>
      <c r="T33" s="31">
        <v>2</v>
      </c>
      <c r="U33" s="31">
        <v>2</v>
      </c>
      <c r="V33" s="31">
        <v>0</v>
      </c>
      <c r="W33" s="31">
        <v>40</v>
      </c>
      <c r="X33" s="31">
        <v>65</v>
      </c>
      <c r="Y33" s="31">
        <v>1.28</v>
      </c>
      <c r="Z33" s="31">
        <v>2.4</v>
      </c>
      <c r="AA33" s="31">
        <v>110351</v>
      </c>
      <c r="AB33" s="31"/>
    </row>
    <row r="34" spans="1:28">
      <c r="A34" s="27">
        <v>11036</v>
      </c>
      <c r="B34" s="16" t="s">
        <v>84</v>
      </c>
      <c r="C34" s="16" t="s">
        <v>247</v>
      </c>
      <c r="D34" s="27" t="s">
        <v>47</v>
      </c>
      <c r="E34" s="31">
        <v>61</v>
      </c>
      <c r="F34" s="31">
        <v>69</v>
      </c>
      <c r="G34" s="31">
        <v>65</v>
      </c>
      <c r="H34" s="31">
        <v>50</v>
      </c>
      <c r="I34" s="31">
        <v>57</v>
      </c>
      <c r="J34" s="31">
        <v>0</v>
      </c>
      <c r="K34" s="31">
        <v>97</v>
      </c>
      <c r="L34" s="31">
        <v>82</v>
      </c>
      <c r="M34" s="31">
        <v>65</v>
      </c>
      <c r="N34" s="31">
        <v>32.5</v>
      </c>
      <c r="O34" s="31">
        <v>2</v>
      </c>
      <c r="P34" s="31">
        <v>15</v>
      </c>
      <c r="Q34" s="31">
        <v>4</v>
      </c>
      <c r="R34" s="16">
        <f t="shared" si="0"/>
        <v>12</v>
      </c>
      <c r="S34" s="31">
        <v>3</v>
      </c>
      <c r="T34" s="31">
        <v>3</v>
      </c>
      <c r="U34" s="31">
        <v>3</v>
      </c>
      <c r="V34" s="31">
        <v>3</v>
      </c>
      <c r="W34" s="31">
        <v>35</v>
      </c>
      <c r="X34" s="31">
        <v>65</v>
      </c>
      <c r="Y34" s="31">
        <v>1.28</v>
      </c>
      <c r="Z34" s="31">
        <v>2.64</v>
      </c>
      <c r="AA34" s="31">
        <v>110361</v>
      </c>
      <c r="AB34" s="31"/>
    </row>
    <row r="35" spans="1:28">
      <c r="A35" s="27">
        <v>11037</v>
      </c>
      <c r="B35" s="16" t="s">
        <v>84</v>
      </c>
      <c r="C35" s="16" t="s">
        <v>248</v>
      </c>
      <c r="D35" s="27" t="s">
        <v>47</v>
      </c>
      <c r="E35" s="31">
        <v>62</v>
      </c>
      <c r="F35" s="31">
        <v>66</v>
      </c>
      <c r="G35" s="31">
        <v>65</v>
      </c>
      <c r="H35" s="31">
        <v>52</v>
      </c>
      <c r="I35" s="31">
        <v>57</v>
      </c>
      <c r="J35" s="31">
        <v>0</v>
      </c>
      <c r="K35" s="31">
        <v>97</v>
      </c>
      <c r="L35" s="31">
        <v>87</v>
      </c>
      <c r="M35" s="31">
        <v>62</v>
      </c>
      <c r="N35" s="31">
        <v>32.5</v>
      </c>
      <c r="O35" s="31">
        <v>2</v>
      </c>
      <c r="P35" s="31">
        <v>15</v>
      </c>
      <c r="Q35" s="31">
        <v>4</v>
      </c>
      <c r="R35" s="16">
        <f t="shared" si="0"/>
        <v>12</v>
      </c>
      <c r="S35" s="31">
        <v>3</v>
      </c>
      <c r="T35" s="31">
        <v>3</v>
      </c>
      <c r="U35" s="31">
        <v>3</v>
      </c>
      <c r="V35" s="31">
        <v>3</v>
      </c>
      <c r="W35" s="31">
        <v>35</v>
      </c>
      <c r="X35" s="31">
        <v>65</v>
      </c>
      <c r="Y35" s="31">
        <v>1.28</v>
      </c>
      <c r="Z35" s="31">
        <v>2.64</v>
      </c>
      <c r="AA35" s="31">
        <v>110371</v>
      </c>
      <c r="AB35" s="31"/>
    </row>
    <row r="36" spans="1:28">
      <c r="A36" s="27">
        <v>11038</v>
      </c>
      <c r="B36" s="16" t="s">
        <v>84</v>
      </c>
      <c r="C36" s="16" t="s">
        <v>249</v>
      </c>
      <c r="D36" s="27" t="s">
        <v>47</v>
      </c>
      <c r="E36" s="31">
        <v>69</v>
      </c>
      <c r="F36" s="31">
        <v>61</v>
      </c>
      <c r="G36" s="31">
        <v>55</v>
      </c>
      <c r="H36" s="31">
        <v>70</v>
      </c>
      <c r="I36" s="31">
        <v>65</v>
      </c>
      <c r="J36" s="31">
        <v>0</v>
      </c>
      <c r="K36" s="31">
        <v>99</v>
      </c>
      <c r="L36" s="31">
        <v>82</v>
      </c>
      <c r="M36" s="31">
        <v>68</v>
      </c>
      <c r="N36" s="31">
        <v>32</v>
      </c>
      <c r="O36" s="31">
        <v>2</v>
      </c>
      <c r="P36" s="31">
        <v>35</v>
      </c>
      <c r="Q36" s="31">
        <v>4</v>
      </c>
      <c r="R36" s="16">
        <f t="shared" si="0"/>
        <v>12</v>
      </c>
      <c r="S36" s="31">
        <v>3</v>
      </c>
      <c r="T36" s="31">
        <v>3</v>
      </c>
      <c r="U36" s="31">
        <v>3</v>
      </c>
      <c r="V36" s="31">
        <v>3</v>
      </c>
      <c r="W36" s="31">
        <v>35</v>
      </c>
      <c r="X36" s="31">
        <v>65</v>
      </c>
      <c r="Y36" s="31">
        <v>1.28</v>
      </c>
      <c r="Z36" s="31">
        <v>2.64</v>
      </c>
      <c r="AA36" s="31">
        <v>110381</v>
      </c>
      <c r="AB36" s="31">
        <v>110382</v>
      </c>
    </row>
    <row r="37" spans="1:28">
      <c r="A37" s="27">
        <v>11039</v>
      </c>
      <c r="B37" s="16" t="s">
        <v>84</v>
      </c>
      <c r="C37" s="16" t="s">
        <v>250</v>
      </c>
      <c r="D37" s="27" t="s">
        <v>34</v>
      </c>
      <c r="E37" s="31">
        <v>46</v>
      </c>
      <c r="F37" s="31">
        <v>78</v>
      </c>
      <c r="G37" s="31">
        <v>0</v>
      </c>
      <c r="H37" s="31">
        <v>52</v>
      </c>
      <c r="I37" s="31">
        <v>93</v>
      </c>
      <c r="J37" s="31">
        <v>0</v>
      </c>
      <c r="K37" s="31">
        <v>98</v>
      </c>
      <c r="L37" s="31">
        <v>83</v>
      </c>
      <c r="M37" s="31">
        <v>62</v>
      </c>
      <c r="N37" s="31">
        <v>33</v>
      </c>
      <c r="O37" s="31">
        <v>2</v>
      </c>
      <c r="P37" s="31">
        <v>20</v>
      </c>
      <c r="Q37" s="31">
        <v>4</v>
      </c>
      <c r="R37" s="16">
        <f t="shared" si="0"/>
        <v>6</v>
      </c>
      <c r="S37" s="31">
        <v>2</v>
      </c>
      <c r="T37" s="31">
        <v>2</v>
      </c>
      <c r="U37" s="31">
        <v>2</v>
      </c>
      <c r="V37" s="31">
        <v>0</v>
      </c>
      <c r="W37" s="31">
        <v>40</v>
      </c>
      <c r="X37" s="31">
        <v>70</v>
      </c>
      <c r="Y37" s="31">
        <v>1.28</v>
      </c>
      <c r="Z37" s="31">
        <v>2.4</v>
      </c>
      <c r="AA37" s="31">
        <v>110391</v>
      </c>
      <c r="AB37" s="31"/>
    </row>
    <row r="38" spans="1:28">
      <c r="A38" s="27">
        <v>11040</v>
      </c>
      <c r="B38" s="16" t="s">
        <v>84</v>
      </c>
      <c r="C38" s="16" t="s">
        <v>251</v>
      </c>
      <c r="D38" s="27" t="s">
        <v>34</v>
      </c>
      <c r="E38" s="31">
        <v>58</v>
      </c>
      <c r="F38" s="31">
        <v>73</v>
      </c>
      <c r="G38" s="31">
        <v>0</v>
      </c>
      <c r="H38" s="31">
        <v>56</v>
      </c>
      <c r="I38" s="31">
        <v>80</v>
      </c>
      <c r="J38" s="31">
        <v>0</v>
      </c>
      <c r="K38" s="31">
        <v>97</v>
      </c>
      <c r="L38" s="31">
        <v>83</v>
      </c>
      <c r="M38" s="31">
        <v>63</v>
      </c>
      <c r="N38" s="31">
        <v>32.7</v>
      </c>
      <c r="O38" s="31">
        <v>2</v>
      </c>
      <c r="P38" s="31">
        <v>12</v>
      </c>
      <c r="Q38" s="31">
        <v>4</v>
      </c>
      <c r="R38" s="16">
        <f t="shared" si="0"/>
        <v>8</v>
      </c>
      <c r="S38" s="31">
        <v>2</v>
      </c>
      <c r="T38" s="31">
        <v>2</v>
      </c>
      <c r="U38" s="31">
        <v>2</v>
      </c>
      <c r="V38" s="31">
        <v>2</v>
      </c>
      <c r="W38" s="31">
        <v>40</v>
      </c>
      <c r="X38" s="31">
        <v>70</v>
      </c>
      <c r="Y38" s="31">
        <v>1.28</v>
      </c>
      <c r="Z38" s="31">
        <v>2.4</v>
      </c>
      <c r="AA38" s="31">
        <v>110401</v>
      </c>
      <c r="AB38" s="31">
        <v>110402</v>
      </c>
    </row>
    <row r="39" spans="1:28">
      <c r="A39" s="24">
        <v>11043</v>
      </c>
      <c r="B39" s="16" t="s">
        <v>117</v>
      </c>
      <c r="C39" s="16" t="s">
        <v>252</v>
      </c>
      <c r="D39" s="16" t="s">
        <v>31</v>
      </c>
      <c r="E39" s="16">
        <v>35</v>
      </c>
      <c r="F39" s="16">
        <v>36</v>
      </c>
      <c r="G39" s="16">
        <v>120</v>
      </c>
      <c r="H39" s="16">
        <v>33</v>
      </c>
      <c r="I39" s="16">
        <v>55</v>
      </c>
      <c r="J39" s="16">
        <v>2</v>
      </c>
      <c r="K39" s="16">
        <v>97</v>
      </c>
      <c r="L39" s="16">
        <v>78</v>
      </c>
      <c r="M39" s="16">
        <v>21</v>
      </c>
      <c r="N39" s="16">
        <v>36</v>
      </c>
      <c r="O39" s="16">
        <v>2</v>
      </c>
      <c r="P39" s="16">
        <v>20</v>
      </c>
      <c r="Q39" s="16">
        <v>3</v>
      </c>
      <c r="R39" s="39">
        <f t="shared" si="0"/>
        <v>0</v>
      </c>
      <c r="S39" s="16">
        <v>0</v>
      </c>
      <c r="T39" s="16">
        <v>0</v>
      </c>
      <c r="U39" s="16">
        <v>0</v>
      </c>
      <c r="V39" s="16">
        <v>0</v>
      </c>
      <c r="W39" s="16">
        <v>25</v>
      </c>
      <c r="X39" s="16">
        <v>100</v>
      </c>
      <c r="Y39" s="16">
        <v>0.8</v>
      </c>
      <c r="Z39" s="16">
        <v>1.5</v>
      </c>
      <c r="AA39" s="16">
        <v>103771</v>
      </c>
      <c r="AB39" s="16">
        <v>110432</v>
      </c>
    </row>
    <row r="40" spans="1:28">
      <c r="A40" s="24">
        <v>11044</v>
      </c>
      <c r="B40" s="16" t="s">
        <v>117</v>
      </c>
      <c r="C40" s="16" t="s">
        <v>253</v>
      </c>
      <c r="D40" s="16" t="s">
        <v>31</v>
      </c>
      <c r="E40" s="16">
        <v>35</v>
      </c>
      <c r="F40" s="16">
        <v>36</v>
      </c>
      <c r="G40" s="16">
        <v>120</v>
      </c>
      <c r="H40" s="16">
        <v>33</v>
      </c>
      <c r="I40" s="16">
        <v>55</v>
      </c>
      <c r="J40" s="16">
        <v>2</v>
      </c>
      <c r="K40" s="16">
        <v>97</v>
      </c>
      <c r="L40" s="16">
        <v>78</v>
      </c>
      <c r="M40" s="16">
        <v>21</v>
      </c>
      <c r="N40" s="16">
        <v>36</v>
      </c>
      <c r="O40" s="16">
        <v>2</v>
      </c>
      <c r="P40" s="16">
        <v>10</v>
      </c>
      <c r="Q40" s="16">
        <v>3</v>
      </c>
      <c r="R40" s="39">
        <f t="shared" si="0"/>
        <v>0</v>
      </c>
      <c r="S40" s="16">
        <v>0</v>
      </c>
      <c r="T40" s="16">
        <v>0</v>
      </c>
      <c r="U40" s="16">
        <v>0</v>
      </c>
      <c r="V40" s="16">
        <v>0</v>
      </c>
      <c r="W40" s="16">
        <v>25</v>
      </c>
      <c r="X40" s="16">
        <v>100</v>
      </c>
      <c r="Y40" s="16">
        <v>0.8</v>
      </c>
      <c r="Z40" s="16">
        <v>1.5</v>
      </c>
      <c r="AA40" s="16">
        <v>103771</v>
      </c>
      <c r="AB40" s="16">
        <v>110432</v>
      </c>
    </row>
    <row r="41" spans="1:27">
      <c r="A41" s="27">
        <v>11045</v>
      </c>
      <c r="B41" s="16" t="s">
        <v>131</v>
      </c>
      <c r="C41" s="16" t="s">
        <v>254</v>
      </c>
      <c r="D41" s="16" t="s">
        <v>31</v>
      </c>
      <c r="E41" s="16">
        <v>40</v>
      </c>
      <c r="F41" s="16">
        <v>48</v>
      </c>
      <c r="G41" s="16">
        <v>80</v>
      </c>
      <c r="H41" s="16">
        <v>33</v>
      </c>
      <c r="I41" s="16">
        <v>68</v>
      </c>
      <c r="J41" s="16">
        <v>94</v>
      </c>
      <c r="K41" s="16">
        <v>96</v>
      </c>
      <c r="L41" s="16">
        <v>87</v>
      </c>
      <c r="M41" s="16">
        <v>34</v>
      </c>
      <c r="N41" s="16">
        <v>36</v>
      </c>
      <c r="O41" s="16">
        <v>2</v>
      </c>
      <c r="P41" s="16">
        <v>12</v>
      </c>
      <c r="Q41" s="16">
        <v>3</v>
      </c>
      <c r="R41" s="39">
        <f t="shared" si="0"/>
        <v>3</v>
      </c>
      <c r="S41" s="16">
        <v>1</v>
      </c>
      <c r="T41" s="16">
        <v>1</v>
      </c>
      <c r="U41" s="16">
        <v>1</v>
      </c>
      <c r="V41" s="16">
        <v>0</v>
      </c>
      <c r="W41" s="16">
        <v>25</v>
      </c>
      <c r="X41" s="16">
        <v>25</v>
      </c>
      <c r="Y41" s="16">
        <v>0.8</v>
      </c>
      <c r="Z41" s="16">
        <v>1.5</v>
      </c>
      <c r="AA41" s="40">
        <v>110451</v>
      </c>
    </row>
    <row r="42" spans="1:27">
      <c r="A42" s="27">
        <v>11046</v>
      </c>
      <c r="B42" s="16" t="s">
        <v>131</v>
      </c>
      <c r="C42" s="16" t="s">
        <v>255</v>
      </c>
      <c r="D42" s="16" t="s">
        <v>31</v>
      </c>
      <c r="E42" s="16">
        <v>34</v>
      </c>
      <c r="F42" s="16">
        <v>52</v>
      </c>
      <c r="G42" s="16">
        <v>75</v>
      </c>
      <c r="H42" s="16">
        <v>35</v>
      </c>
      <c r="I42" s="16">
        <v>55</v>
      </c>
      <c r="J42" s="16">
        <v>66</v>
      </c>
      <c r="K42" s="16">
        <v>97</v>
      </c>
      <c r="L42" s="16">
        <v>98</v>
      </c>
      <c r="M42" s="16">
        <v>38</v>
      </c>
      <c r="N42" s="16">
        <v>35.5</v>
      </c>
      <c r="O42" s="16">
        <v>2</v>
      </c>
      <c r="P42" s="16">
        <v>17</v>
      </c>
      <c r="Q42" s="16">
        <v>4</v>
      </c>
      <c r="R42" s="39">
        <f t="shared" si="0"/>
        <v>0</v>
      </c>
      <c r="S42" s="16">
        <v>0</v>
      </c>
      <c r="T42" s="16">
        <v>0</v>
      </c>
      <c r="U42" s="16">
        <v>0</v>
      </c>
      <c r="V42" s="16">
        <v>0</v>
      </c>
      <c r="W42" s="16">
        <v>20</v>
      </c>
      <c r="X42" s="16">
        <v>30</v>
      </c>
      <c r="Y42" s="16">
        <v>0.8</v>
      </c>
      <c r="Z42" s="16">
        <v>1.5</v>
      </c>
      <c r="AA42" s="40">
        <v>110461</v>
      </c>
    </row>
    <row r="43" spans="1:28">
      <c r="A43" s="27">
        <v>11050</v>
      </c>
      <c r="B43" s="16" t="s">
        <v>131</v>
      </c>
      <c r="C43" s="16" t="s">
        <v>256</v>
      </c>
      <c r="D43" s="27" t="s">
        <v>39</v>
      </c>
      <c r="E43" s="31">
        <v>40</v>
      </c>
      <c r="F43" s="31">
        <v>67</v>
      </c>
      <c r="G43" s="31">
        <v>65</v>
      </c>
      <c r="H43" s="31">
        <v>51</v>
      </c>
      <c r="I43" s="31">
        <v>110</v>
      </c>
      <c r="J43" s="31">
        <v>110</v>
      </c>
      <c r="K43" s="31">
        <v>98</v>
      </c>
      <c r="L43" s="31">
        <v>81</v>
      </c>
      <c r="M43" s="31">
        <v>29</v>
      </c>
      <c r="N43" s="31">
        <v>32</v>
      </c>
      <c r="O43" s="31">
        <v>2</v>
      </c>
      <c r="P43" s="31">
        <v>24</v>
      </c>
      <c r="Q43" s="31">
        <v>3</v>
      </c>
      <c r="R43" s="16">
        <f t="shared" si="0"/>
        <v>0</v>
      </c>
      <c r="S43" s="31">
        <v>0</v>
      </c>
      <c r="T43" s="31">
        <v>0</v>
      </c>
      <c r="U43" s="31">
        <v>0</v>
      </c>
      <c r="V43" s="31">
        <v>0</v>
      </c>
      <c r="W43" s="31">
        <v>25</v>
      </c>
      <c r="X43" s="31">
        <v>30</v>
      </c>
      <c r="Y43" s="31">
        <v>1</v>
      </c>
      <c r="Z43" s="31">
        <v>1.9</v>
      </c>
      <c r="AA43" s="31">
        <v>110501</v>
      </c>
      <c r="AB43" s="31"/>
    </row>
    <row r="44" spans="1:28">
      <c r="A44" s="27">
        <v>11054</v>
      </c>
      <c r="B44" s="16" t="s">
        <v>131</v>
      </c>
      <c r="C44" s="16" t="s">
        <v>257</v>
      </c>
      <c r="D44" s="27" t="s">
        <v>89</v>
      </c>
      <c r="E44" s="31">
        <v>39</v>
      </c>
      <c r="F44" s="31">
        <v>49</v>
      </c>
      <c r="G44" s="31">
        <v>60</v>
      </c>
      <c r="H44" s="31">
        <v>42</v>
      </c>
      <c r="I44" s="31">
        <v>66</v>
      </c>
      <c r="J44" s="31">
        <v>83</v>
      </c>
      <c r="K44" s="31">
        <v>96</v>
      </c>
      <c r="L44" s="31">
        <v>77</v>
      </c>
      <c r="M44" s="31">
        <v>36</v>
      </c>
      <c r="N44" s="31">
        <v>32</v>
      </c>
      <c r="O44" s="31">
        <v>2</v>
      </c>
      <c r="P44" s="31">
        <v>21</v>
      </c>
      <c r="Q44" s="31">
        <v>3</v>
      </c>
      <c r="R44" s="16">
        <f t="shared" si="0"/>
        <v>6</v>
      </c>
      <c r="S44" s="31">
        <v>2</v>
      </c>
      <c r="T44" s="31">
        <v>2</v>
      </c>
      <c r="U44" s="31">
        <v>2</v>
      </c>
      <c r="V44" s="31">
        <v>0</v>
      </c>
      <c r="W44" s="31">
        <v>20</v>
      </c>
      <c r="X44" s="31">
        <v>30</v>
      </c>
      <c r="Y44" s="31">
        <v>0.8</v>
      </c>
      <c r="Z44" s="31">
        <v>1.5</v>
      </c>
      <c r="AA44" s="31">
        <v>110541</v>
      </c>
      <c r="AB44" s="31"/>
    </row>
    <row r="45" s="16" customFormat="1" spans="1:29">
      <c r="A45" s="27">
        <v>11056</v>
      </c>
      <c r="B45" s="16" t="s">
        <v>131</v>
      </c>
      <c r="C45" s="16" t="s">
        <v>258</v>
      </c>
      <c r="D45" s="27" t="s">
        <v>34</v>
      </c>
      <c r="E45" s="31">
        <v>42</v>
      </c>
      <c r="F45" s="31">
        <v>67</v>
      </c>
      <c r="G45" s="31">
        <v>0</v>
      </c>
      <c r="H45" s="31">
        <v>49</v>
      </c>
      <c r="I45" s="31">
        <v>105</v>
      </c>
      <c r="J45" s="31">
        <v>105</v>
      </c>
      <c r="K45" s="31">
        <v>96</v>
      </c>
      <c r="L45" s="31">
        <v>78</v>
      </c>
      <c r="M45" s="31">
        <v>40</v>
      </c>
      <c r="N45" s="31">
        <v>33.6</v>
      </c>
      <c r="O45" s="31">
        <v>2</v>
      </c>
      <c r="P45" s="31">
        <v>10</v>
      </c>
      <c r="Q45" s="31">
        <v>3</v>
      </c>
      <c r="R45" s="16">
        <f t="shared" si="0"/>
        <v>0</v>
      </c>
      <c r="S45" s="31">
        <v>0</v>
      </c>
      <c r="T45" s="31">
        <v>0</v>
      </c>
      <c r="U45" s="31">
        <v>0</v>
      </c>
      <c r="V45" s="31">
        <v>0</v>
      </c>
      <c r="W45" s="31">
        <v>25</v>
      </c>
      <c r="X45" s="31">
        <v>30</v>
      </c>
      <c r="Y45" s="31">
        <v>0.8</v>
      </c>
      <c r="Z45" s="31">
        <v>1.5</v>
      </c>
      <c r="AA45" s="31">
        <v>110561</v>
      </c>
      <c r="AB45" s="31"/>
      <c r="AC45" s="27" t="s">
        <v>259</v>
      </c>
    </row>
    <row r="46" s="16" customFormat="1" spans="1:29">
      <c r="A46" s="27">
        <v>11057</v>
      </c>
      <c r="B46" s="16" t="s">
        <v>131</v>
      </c>
      <c r="C46" s="16" t="s">
        <v>260</v>
      </c>
      <c r="D46" s="27" t="s">
        <v>34</v>
      </c>
      <c r="E46" s="31">
        <v>42</v>
      </c>
      <c r="F46" s="31">
        <v>69</v>
      </c>
      <c r="G46" s="31">
        <v>53</v>
      </c>
      <c r="H46" s="31">
        <v>49</v>
      </c>
      <c r="I46" s="31">
        <v>100</v>
      </c>
      <c r="J46" s="31">
        <v>105</v>
      </c>
      <c r="K46" s="31">
        <v>96</v>
      </c>
      <c r="L46" s="31">
        <v>78</v>
      </c>
      <c r="M46" s="31">
        <v>40</v>
      </c>
      <c r="N46" s="31">
        <v>33.6</v>
      </c>
      <c r="O46" s="31">
        <v>2</v>
      </c>
      <c r="P46" s="31">
        <v>9</v>
      </c>
      <c r="Q46" s="31">
        <v>3</v>
      </c>
      <c r="R46" s="16">
        <f t="shared" si="0"/>
        <v>0</v>
      </c>
      <c r="S46" s="31">
        <v>0</v>
      </c>
      <c r="T46" s="31">
        <v>0</v>
      </c>
      <c r="U46" s="31">
        <v>0</v>
      </c>
      <c r="V46" s="31">
        <v>0</v>
      </c>
      <c r="W46" s="31">
        <v>25</v>
      </c>
      <c r="X46" s="31">
        <v>30</v>
      </c>
      <c r="Y46" s="31">
        <v>0.8</v>
      </c>
      <c r="Z46" s="31">
        <v>1.5</v>
      </c>
      <c r="AA46" s="31">
        <v>110571</v>
      </c>
      <c r="AB46" s="31"/>
      <c r="AC46" s="27" t="s">
        <v>259</v>
      </c>
    </row>
    <row r="47" spans="1:28">
      <c r="A47" s="27">
        <v>11059</v>
      </c>
      <c r="B47" s="16" t="s">
        <v>131</v>
      </c>
      <c r="C47" s="16" t="s">
        <v>261</v>
      </c>
      <c r="D47" s="27" t="s">
        <v>34</v>
      </c>
      <c r="E47" s="31">
        <v>48</v>
      </c>
      <c r="F47" s="31">
        <v>71</v>
      </c>
      <c r="G47" s="31">
        <v>0</v>
      </c>
      <c r="H47" s="31">
        <v>57</v>
      </c>
      <c r="I47" s="31">
        <v>85</v>
      </c>
      <c r="J47" s="31">
        <v>80</v>
      </c>
      <c r="K47" s="31">
        <v>97</v>
      </c>
      <c r="L47" s="31">
        <v>78</v>
      </c>
      <c r="M47" s="31">
        <v>55</v>
      </c>
      <c r="N47" s="31">
        <v>31.5</v>
      </c>
      <c r="O47" s="31">
        <v>2</v>
      </c>
      <c r="P47" s="31">
        <v>15</v>
      </c>
      <c r="Q47" s="31">
        <v>3</v>
      </c>
      <c r="R47" s="16">
        <f t="shared" si="0"/>
        <v>12</v>
      </c>
      <c r="S47" s="31">
        <v>4</v>
      </c>
      <c r="T47" s="31">
        <v>4</v>
      </c>
      <c r="U47" s="31">
        <v>4</v>
      </c>
      <c r="V47" s="31">
        <v>0</v>
      </c>
      <c r="W47" s="31">
        <v>30</v>
      </c>
      <c r="X47" s="31">
        <v>35</v>
      </c>
      <c r="Y47" s="31">
        <v>0.8</v>
      </c>
      <c r="Z47" s="31">
        <v>1.5</v>
      </c>
      <c r="AA47" s="31">
        <v>110591</v>
      </c>
      <c r="AB47" s="31">
        <v>110592</v>
      </c>
    </row>
    <row r="48" spans="1:27">
      <c r="A48" s="27">
        <v>11062</v>
      </c>
      <c r="B48" s="16" t="s">
        <v>262</v>
      </c>
      <c r="C48" s="16" t="s">
        <v>263</v>
      </c>
      <c r="D48" s="16" t="s">
        <v>39</v>
      </c>
      <c r="E48" s="16">
        <v>48</v>
      </c>
      <c r="F48" s="16">
        <v>76</v>
      </c>
      <c r="G48" s="16">
        <v>0</v>
      </c>
      <c r="H48" s="16">
        <v>62</v>
      </c>
      <c r="I48" s="16">
        <v>59</v>
      </c>
      <c r="J48" s="16">
        <v>0</v>
      </c>
      <c r="K48" s="16">
        <v>93</v>
      </c>
      <c r="L48" s="16">
        <v>51</v>
      </c>
      <c r="M48" s="16">
        <v>34</v>
      </c>
      <c r="N48" s="16">
        <v>12.2</v>
      </c>
      <c r="O48" s="16">
        <v>3</v>
      </c>
      <c r="P48" s="16">
        <v>20</v>
      </c>
      <c r="Q48" s="16">
        <v>3</v>
      </c>
      <c r="R48" s="39">
        <f t="shared" si="0"/>
        <v>0</v>
      </c>
      <c r="S48" s="16">
        <v>0</v>
      </c>
      <c r="T48" s="16">
        <v>0</v>
      </c>
      <c r="U48" s="16">
        <v>0</v>
      </c>
      <c r="V48" s="16">
        <v>0</v>
      </c>
      <c r="W48" s="16">
        <v>15</v>
      </c>
      <c r="X48" s="16">
        <v>30</v>
      </c>
      <c r="Y48" s="16">
        <v>0.64</v>
      </c>
      <c r="Z48" s="16">
        <v>1.2</v>
      </c>
      <c r="AA48" s="16">
        <v>110621</v>
      </c>
    </row>
    <row r="49" spans="1:27">
      <c r="A49" s="27">
        <v>11063</v>
      </c>
      <c r="B49" s="16" t="s">
        <v>262</v>
      </c>
      <c r="C49" s="16" t="s">
        <v>264</v>
      </c>
      <c r="D49" s="16" t="s">
        <v>39</v>
      </c>
      <c r="E49" s="16">
        <v>48</v>
      </c>
      <c r="F49" s="16">
        <v>76</v>
      </c>
      <c r="G49" s="16">
        <v>0</v>
      </c>
      <c r="H49" s="16">
        <v>62</v>
      </c>
      <c r="I49" s="16">
        <v>59</v>
      </c>
      <c r="J49" s="16">
        <v>0</v>
      </c>
      <c r="K49" s="16">
        <v>93</v>
      </c>
      <c r="L49" s="16">
        <v>51</v>
      </c>
      <c r="M49" s="16">
        <v>34</v>
      </c>
      <c r="N49" s="16">
        <v>12.2</v>
      </c>
      <c r="O49" s="16">
        <v>3</v>
      </c>
      <c r="P49" s="16">
        <v>18</v>
      </c>
      <c r="Q49" s="16">
        <v>3</v>
      </c>
      <c r="R49" s="39">
        <f t="shared" si="0"/>
        <v>0</v>
      </c>
      <c r="S49" s="16">
        <v>0</v>
      </c>
      <c r="T49" s="16">
        <v>0</v>
      </c>
      <c r="U49" s="16">
        <v>0</v>
      </c>
      <c r="V49" s="16">
        <v>0</v>
      </c>
      <c r="W49" s="16">
        <v>15</v>
      </c>
      <c r="X49" s="16">
        <v>30</v>
      </c>
      <c r="Y49" s="16">
        <v>0.64</v>
      </c>
      <c r="Z49" s="16">
        <v>1.2</v>
      </c>
      <c r="AA49" s="16">
        <v>110621</v>
      </c>
    </row>
    <row r="50" s="16" customFormat="1" spans="1:29">
      <c r="A50" s="27">
        <v>11064</v>
      </c>
      <c r="B50" s="16" t="s">
        <v>265</v>
      </c>
      <c r="C50" s="16" t="s">
        <v>266</v>
      </c>
      <c r="D50" s="27" t="s">
        <v>31</v>
      </c>
      <c r="E50" s="31">
        <v>30</v>
      </c>
      <c r="F50" s="31">
        <v>37</v>
      </c>
      <c r="G50" s="31">
        <v>91</v>
      </c>
      <c r="H50" s="31">
        <v>37</v>
      </c>
      <c r="I50" s="31">
        <v>46</v>
      </c>
      <c r="J50" s="31">
        <v>64</v>
      </c>
      <c r="K50" s="31">
        <v>93</v>
      </c>
      <c r="L50" s="31">
        <v>97</v>
      </c>
      <c r="M50" s="31">
        <v>40</v>
      </c>
      <c r="N50" s="31">
        <v>37</v>
      </c>
      <c r="O50" s="31">
        <v>1</v>
      </c>
      <c r="P50" s="31">
        <v>17</v>
      </c>
      <c r="Q50" s="31">
        <v>3</v>
      </c>
      <c r="R50" s="16">
        <f t="shared" si="0"/>
        <v>0</v>
      </c>
      <c r="S50" s="31">
        <v>0</v>
      </c>
      <c r="T50" s="31">
        <v>0</v>
      </c>
      <c r="U50" s="31">
        <v>0</v>
      </c>
      <c r="V50" s="31">
        <v>0</v>
      </c>
      <c r="W50" s="31">
        <v>20</v>
      </c>
      <c r="X50" s="31">
        <v>30</v>
      </c>
      <c r="Y50" s="31">
        <v>0.8</v>
      </c>
      <c r="Z50" s="31">
        <v>1.5</v>
      </c>
      <c r="AA50" s="31">
        <v>110641</v>
      </c>
      <c r="AB50" s="31">
        <v>110642</v>
      </c>
      <c r="AC50" s="27" t="s">
        <v>267</v>
      </c>
    </row>
    <row r="51" s="16" customFormat="1" spans="1:29">
      <c r="A51" s="27">
        <v>11065</v>
      </c>
      <c r="B51" s="16" t="s">
        <v>265</v>
      </c>
      <c r="C51" s="16" t="s">
        <v>268</v>
      </c>
      <c r="D51" s="27" t="s">
        <v>31</v>
      </c>
      <c r="E51" s="31">
        <v>30</v>
      </c>
      <c r="F51" s="31">
        <v>37</v>
      </c>
      <c r="G51" s="31">
        <v>91</v>
      </c>
      <c r="H51" s="31">
        <v>37</v>
      </c>
      <c r="I51" s="31">
        <v>46</v>
      </c>
      <c r="J51" s="31">
        <v>64</v>
      </c>
      <c r="K51" s="31">
        <v>92</v>
      </c>
      <c r="L51" s="31">
        <v>97</v>
      </c>
      <c r="M51" s="31">
        <v>40</v>
      </c>
      <c r="N51" s="31">
        <v>37</v>
      </c>
      <c r="O51" s="31">
        <v>1</v>
      </c>
      <c r="P51" s="31">
        <v>10</v>
      </c>
      <c r="Q51" s="31">
        <v>3</v>
      </c>
      <c r="R51" s="16">
        <f t="shared" si="0"/>
        <v>0</v>
      </c>
      <c r="S51" s="31">
        <v>0</v>
      </c>
      <c r="T51" s="31">
        <v>0</v>
      </c>
      <c r="U51" s="31">
        <v>0</v>
      </c>
      <c r="V51" s="31">
        <v>0</v>
      </c>
      <c r="W51" s="31">
        <v>20</v>
      </c>
      <c r="X51" s="31">
        <v>25</v>
      </c>
      <c r="Y51" s="31">
        <v>0.8</v>
      </c>
      <c r="Z51" s="31">
        <v>1.65</v>
      </c>
      <c r="AA51" s="31">
        <v>110651</v>
      </c>
      <c r="AB51" s="31"/>
      <c r="AC51" s="27" t="s">
        <v>267</v>
      </c>
    </row>
    <row r="52" s="16" customFormat="1" spans="1:29">
      <c r="A52" s="27">
        <v>11066</v>
      </c>
      <c r="B52" s="16" t="s">
        <v>265</v>
      </c>
      <c r="C52" s="16" t="s">
        <v>269</v>
      </c>
      <c r="D52" s="27" t="s">
        <v>31</v>
      </c>
      <c r="E52" s="31">
        <v>30</v>
      </c>
      <c r="F52" s="31">
        <v>37</v>
      </c>
      <c r="G52" s="31">
        <v>91</v>
      </c>
      <c r="H52" s="31">
        <v>37</v>
      </c>
      <c r="I52" s="31">
        <v>46</v>
      </c>
      <c r="J52" s="31">
        <v>64</v>
      </c>
      <c r="K52" s="31">
        <v>92</v>
      </c>
      <c r="L52" s="31">
        <v>97</v>
      </c>
      <c r="M52" s="31">
        <v>40</v>
      </c>
      <c r="N52" s="31">
        <v>37</v>
      </c>
      <c r="O52" s="31">
        <v>1</v>
      </c>
      <c r="P52" s="31">
        <v>9</v>
      </c>
      <c r="Q52" s="31">
        <v>3</v>
      </c>
      <c r="R52" s="16">
        <f t="shared" si="0"/>
        <v>0</v>
      </c>
      <c r="S52" s="31">
        <v>0</v>
      </c>
      <c r="T52" s="31">
        <v>0</v>
      </c>
      <c r="U52" s="31">
        <v>0</v>
      </c>
      <c r="V52" s="31">
        <v>0</v>
      </c>
      <c r="W52" s="31">
        <v>20</v>
      </c>
      <c r="X52" s="31">
        <v>25</v>
      </c>
      <c r="Y52" s="31">
        <v>0.8</v>
      </c>
      <c r="Z52" s="31">
        <v>1.65</v>
      </c>
      <c r="AA52" s="31">
        <v>110661</v>
      </c>
      <c r="AB52" s="31"/>
      <c r="AC52" s="27" t="s">
        <v>267</v>
      </c>
    </row>
    <row r="53" s="16" customFormat="1" spans="1:29">
      <c r="A53" s="27">
        <v>11067</v>
      </c>
      <c r="B53" s="16" t="s">
        <v>265</v>
      </c>
      <c r="C53" s="16" t="s">
        <v>270</v>
      </c>
      <c r="D53" s="27" t="s">
        <v>31</v>
      </c>
      <c r="E53" s="31">
        <v>30</v>
      </c>
      <c r="F53" s="31">
        <v>37</v>
      </c>
      <c r="G53" s="31">
        <v>91</v>
      </c>
      <c r="H53" s="31">
        <v>37</v>
      </c>
      <c r="I53" s="31">
        <v>46</v>
      </c>
      <c r="J53" s="31">
        <v>64</v>
      </c>
      <c r="K53" s="31">
        <v>92</v>
      </c>
      <c r="L53" s="31">
        <v>92</v>
      </c>
      <c r="M53" s="31">
        <v>40</v>
      </c>
      <c r="N53" s="31">
        <v>37</v>
      </c>
      <c r="O53" s="31">
        <v>1</v>
      </c>
      <c r="P53" s="31">
        <v>10</v>
      </c>
      <c r="Q53" s="31">
        <v>3</v>
      </c>
      <c r="R53" s="16">
        <f t="shared" si="0"/>
        <v>0</v>
      </c>
      <c r="S53" s="31">
        <v>0</v>
      </c>
      <c r="T53" s="31">
        <v>0</v>
      </c>
      <c r="U53" s="31">
        <v>0</v>
      </c>
      <c r="V53" s="31">
        <v>0</v>
      </c>
      <c r="W53" s="31">
        <v>20</v>
      </c>
      <c r="X53" s="31">
        <v>25</v>
      </c>
      <c r="Y53" s="31">
        <v>0.8</v>
      </c>
      <c r="Z53" s="31">
        <v>1.65</v>
      </c>
      <c r="AA53" s="31">
        <v>110671</v>
      </c>
      <c r="AB53" s="31"/>
      <c r="AC53" s="27" t="s">
        <v>267</v>
      </c>
    </row>
    <row r="54" s="16" customFormat="1" spans="1:29">
      <c r="A54" s="27">
        <v>11068</v>
      </c>
      <c r="B54" s="16" t="s">
        <v>265</v>
      </c>
      <c r="C54" s="16" t="s">
        <v>271</v>
      </c>
      <c r="D54" s="27" t="s">
        <v>31</v>
      </c>
      <c r="E54" s="31">
        <v>30</v>
      </c>
      <c r="F54" s="31">
        <v>37</v>
      </c>
      <c r="G54" s="31">
        <v>91</v>
      </c>
      <c r="H54" s="31">
        <v>38</v>
      </c>
      <c r="I54" s="31">
        <v>43</v>
      </c>
      <c r="J54" s="31">
        <v>69</v>
      </c>
      <c r="K54" s="31">
        <v>93</v>
      </c>
      <c r="L54" s="31">
        <v>97</v>
      </c>
      <c r="M54" s="31">
        <v>34</v>
      </c>
      <c r="N54" s="31">
        <v>38</v>
      </c>
      <c r="O54" s="31">
        <v>1</v>
      </c>
      <c r="P54" s="31">
        <v>12</v>
      </c>
      <c r="Q54" s="31">
        <v>3</v>
      </c>
      <c r="R54" s="16">
        <f t="shared" si="0"/>
        <v>0</v>
      </c>
      <c r="S54" s="31">
        <v>0</v>
      </c>
      <c r="T54" s="31">
        <v>0</v>
      </c>
      <c r="U54" s="31">
        <v>0</v>
      </c>
      <c r="V54" s="31">
        <v>0</v>
      </c>
      <c r="W54" s="31">
        <v>15</v>
      </c>
      <c r="X54" s="31">
        <v>20</v>
      </c>
      <c r="Y54" s="31">
        <v>0.48</v>
      </c>
      <c r="Z54" s="31">
        <v>0.9</v>
      </c>
      <c r="AA54" s="31">
        <v>110681</v>
      </c>
      <c r="AB54" s="31"/>
      <c r="AC54" s="27" t="s">
        <v>267</v>
      </c>
    </row>
    <row r="55" s="16" customFormat="1" spans="1:29">
      <c r="A55" s="27">
        <v>11069</v>
      </c>
      <c r="B55" s="16" t="s">
        <v>265</v>
      </c>
      <c r="C55" s="16" t="s">
        <v>272</v>
      </c>
      <c r="D55" s="27" t="s">
        <v>72</v>
      </c>
      <c r="E55" s="31">
        <v>35</v>
      </c>
      <c r="F55" s="31">
        <v>38</v>
      </c>
      <c r="G55" s="31">
        <v>80</v>
      </c>
      <c r="H55" s="31">
        <v>40</v>
      </c>
      <c r="I55" s="31">
        <v>48</v>
      </c>
      <c r="J55" s="31">
        <v>74</v>
      </c>
      <c r="K55" s="31">
        <v>93</v>
      </c>
      <c r="L55" s="31">
        <v>97</v>
      </c>
      <c r="M55" s="31">
        <v>33</v>
      </c>
      <c r="N55" s="31">
        <v>38</v>
      </c>
      <c r="O55" s="31">
        <v>1</v>
      </c>
      <c r="P55" s="31">
        <v>25</v>
      </c>
      <c r="Q55" s="31">
        <v>3</v>
      </c>
      <c r="R55" s="16">
        <f t="shared" si="0"/>
        <v>0</v>
      </c>
      <c r="S55" s="31">
        <v>0</v>
      </c>
      <c r="T55" s="31">
        <v>0</v>
      </c>
      <c r="U55" s="31">
        <v>0</v>
      </c>
      <c r="V55" s="31">
        <v>0</v>
      </c>
      <c r="W55" s="31">
        <v>15</v>
      </c>
      <c r="X55" s="31">
        <v>20</v>
      </c>
      <c r="Y55" s="31">
        <v>0.48</v>
      </c>
      <c r="Z55" s="31">
        <v>0.9</v>
      </c>
      <c r="AA55" s="31">
        <v>110691</v>
      </c>
      <c r="AB55" s="31"/>
      <c r="AC55" s="27" t="s">
        <v>267</v>
      </c>
    </row>
    <row r="56" s="16" customFormat="1" spans="1:29">
      <c r="A56" s="27">
        <v>11070</v>
      </c>
      <c r="B56" s="16" t="s">
        <v>265</v>
      </c>
      <c r="C56" s="16" t="s">
        <v>273</v>
      </c>
      <c r="D56" s="27" t="s">
        <v>31</v>
      </c>
      <c r="E56" s="31">
        <v>30</v>
      </c>
      <c r="F56" s="31">
        <v>37</v>
      </c>
      <c r="G56" s="31">
        <v>91</v>
      </c>
      <c r="H56" s="31">
        <v>38</v>
      </c>
      <c r="I56" s="31">
        <v>43</v>
      </c>
      <c r="J56" s="31">
        <v>69</v>
      </c>
      <c r="K56" s="31">
        <v>93</v>
      </c>
      <c r="L56" s="31">
        <v>97</v>
      </c>
      <c r="M56" s="31">
        <v>40</v>
      </c>
      <c r="N56" s="31">
        <v>38</v>
      </c>
      <c r="O56" s="31">
        <v>1</v>
      </c>
      <c r="P56" s="31">
        <v>12</v>
      </c>
      <c r="Q56" s="31">
        <v>3</v>
      </c>
      <c r="R56" s="16">
        <f t="shared" si="0"/>
        <v>0</v>
      </c>
      <c r="S56" s="31">
        <v>0</v>
      </c>
      <c r="T56" s="31">
        <v>0</v>
      </c>
      <c r="U56" s="31">
        <v>0</v>
      </c>
      <c r="V56" s="31">
        <v>0</v>
      </c>
      <c r="W56" s="31">
        <v>15</v>
      </c>
      <c r="X56" s="31">
        <v>20</v>
      </c>
      <c r="Y56" s="31">
        <v>0.48</v>
      </c>
      <c r="Z56" s="31">
        <v>0.9</v>
      </c>
      <c r="AA56" s="31">
        <v>110701</v>
      </c>
      <c r="AB56" s="31"/>
      <c r="AC56" s="27" t="s">
        <v>267</v>
      </c>
    </row>
    <row r="57" s="16" customFormat="1" spans="1:29">
      <c r="A57" s="27">
        <v>11071</v>
      </c>
      <c r="B57" s="16" t="s">
        <v>265</v>
      </c>
      <c r="C57" s="16" t="s">
        <v>274</v>
      </c>
      <c r="D57" s="27" t="s">
        <v>31</v>
      </c>
      <c r="E57" s="31">
        <v>30</v>
      </c>
      <c r="F57" s="31">
        <v>37</v>
      </c>
      <c r="G57" s="31">
        <v>91</v>
      </c>
      <c r="H57" s="31">
        <v>38</v>
      </c>
      <c r="I57" s="31">
        <v>43</v>
      </c>
      <c r="J57" s="31">
        <v>69</v>
      </c>
      <c r="K57" s="31">
        <v>93</v>
      </c>
      <c r="L57" s="31">
        <v>97</v>
      </c>
      <c r="M57" s="31">
        <v>40</v>
      </c>
      <c r="N57" s="31">
        <v>38</v>
      </c>
      <c r="O57" s="31">
        <v>1</v>
      </c>
      <c r="P57" s="31">
        <v>10</v>
      </c>
      <c r="Q57" s="31">
        <v>3</v>
      </c>
      <c r="R57" s="16">
        <f t="shared" si="0"/>
        <v>0</v>
      </c>
      <c r="S57" s="31">
        <v>0</v>
      </c>
      <c r="T57" s="31">
        <v>0</v>
      </c>
      <c r="U57" s="31">
        <v>0</v>
      </c>
      <c r="V57" s="31">
        <v>0</v>
      </c>
      <c r="W57" s="31">
        <v>15</v>
      </c>
      <c r="X57" s="31">
        <v>20</v>
      </c>
      <c r="Y57" s="31">
        <v>0.48</v>
      </c>
      <c r="Z57" s="31">
        <v>0.9</v>
      </c>
      <c r="AA57" s="31">
        <v>110711</v>
      </c>
      <c r="AB57" s="31"/>
      <c r="AC57" s="27" t="s">
        <v>267</v>
      </c>
    </row>
    <row r="58" s="16" customFormat="1" spans="1:29">
      <c r="A58" s="27">
        <v>11072</v>
      </c>
      <c r="B58" s="16" t="s">
        <v>265</v>
      </c>
      <c r="C58" s="16" t="s">
        <v>275</v>
      </c>
      <c r="D58" s="27" t="s">
        <v>31</v>
      </c>
      <c r="E58" s="31">
        <v>30</v>
      </c>
      <c r="F58" s="31">
        <v>40</v>
      </c>
      <c r="G58" s="31">
        <v>95</v>
      </c>
      <c r="H58" s="31">
        <v>38</v>
      </c>
      <c r="I58" s="31">
        <v>48</v>
      </c>
      <c r="J58" s="31">
        <v>64</v>
      </c>
      <c r="K58" s="31">
        <v>93</v>
      </c>
      <c r="L58" s="31">
        <v>97</v>
      </c>
      <c r="M58" s="31">
        <v>41</v>
      </c>
      <c r="N58" s="31">
        <v>38</v>
      </c>
      <c r="O58" s="31">
        <v>1</v>
      </c>
      <c r="P58" s="31">
        <v>10</v>
      </c>
      <c r="Q58" s="31">
        <v>3</v>
      </c>
      <c r="R58" s="16">
        <f t="shared" si="0"/>
        <v>0</v>
      </c>
      <c r="S58" s="31">
        <v>0</v>
      </c>
      <c r="T58" s="31">
        <v>0</v>
      </c>
      <c r="U58" s="31">
        <v>0</v>
      </c>
      <c r="V58" s="31">
        <v>0</v>
      </c>
      <c r="W58" s="31">
        <v>15</v>
      </c>
      <c r="X58" s="31">
        <v>20</v>
      </c>
      <c r="Y58" s="31">
        <v>0.48</v>
      </c>
      <c r="Z58" s="31">
        <v>0.9</v>
      </c>
      <c r="AA58" s="31">
        <v>110721</v>
      </c>
      <c r="AB58" s="31"/>
      <c r="AC58" s="27" t="s">
        <v>267</v>
      </c>
    </row>
    <row r="59" s="16" customFormat="1" spans="1:29">
      <c r="A59" s="27">
        <v>11073</v>
      </c>
      <c r="B59" s="16" t="s">
        <v>265</v>
      </c>
      <c r="C59" s="16" t="s">
        <v>276</v>
      </c>
      <c r="D59" s="27" t="s">
        <v>31</v>
      </c>
      <c r="E59" s="31">
        <v>30</v>
      </c>
      <c r="F59" s="31">
        <v>37</v>
      </c>
      <c r="G59" s="31">
        <v>91</v>
      </c>
      <c r="H59" s="31">
        <v>38</v>
      </c>
      <c r="I59" s="31">
        <v>48</v>
      </c>
      <c r="J59" s="31">
        <v>64</v>
      </c>
      <c r="K59" s="31">
        <v>92</v>
      </c>
      <c r="L59" s="31">
        <v>97</v>
      </c>
      <c r="M59" s="31">
        <v>40</v>
      </c>
      <c r="N59" s="31">
        <v>38</v>
      </c>
      <c r="O59" s="31">
        <v>1</v>
      </c>
      <c r="P59" s="31">
        <v>10</v>
      </c>
      <c r="Q59" s="31">
        <v>3</v>
      </c>
      <c r="R59" s="16">
        <f t="shared" si="0"/>
        <v>0</v>
      </c>
      <c r="S59" s="31">
        <v>0</v>
      </c>
      <c r="T59" s="31">
        <v>0</v>
      </c>
      <c r="U59" s="31">
        <v>0</v>
      </c>
      <c r="V59" s="31">
        <v>0</v>
      </c>
      <c r="W59" s="31">
        <v>15</v>
      </c>
      <c r="X59" s="31">
        <v>20</v>
      </c>
      <c r="Y59" s="31">
        <v>0.48</v>
      </c>
      <c r="Z59" s="31">
        <v>0.9</v>
      </c>
      <c r="AA59" s="31">
        <v>110701</v>
      </c>
      <c r="AB59" s="31"/>
      <c r="AC59" s="27" t="s">
        <v>267</v>
      </c>
    </row>
    <row r="60" s="16" customFormat="1" spans="1:29">
      <c r="A60" s="27">
        <v>11074</v>
      </c>
      <c r="B60" s="16" t="s">
        <v>265</v>
      </c>
      <c r="C60" s="16" t="s">
        <v>277</v>
      </c>
      <c r="D60" s="27" t="s">
        <v>47</v>
      </c>
      <c r="E60" s="31">
        <v>38</v>
      </c>
      <c r="F60" s="31">
        <v>38</v>
      </c>
      <c r="G60" s="31">
        <v>79</v>
      </c>
      <c r="H60" s="31">
        <v>40</v>
      </c>
      <c r="I60" s="31">
        <v>46</v>
      </c>
      <c r="J60" s="31">
        <v>66</v>
      </c>
      <c r="K60" s="31">
        <v>93</v>
      </c>
      <c r="L60" s="31">
        <v>92</v>
      </c>
      <c r="M60" s="31">
        <v>35</v>
      </c>
      <c r="N60" s="31">
        <v>38.2</v>
      </c>
      <c r="O60" s="31">
        <v>1</v>
      </c>
      <c r="P60" s="31">
        <v>15</v>
      </c>
      <c r="Q60" s="31">
        <v>3</v>
      </c>
      <c r="R60" s="16">
        <f t="shared" si="0"/>
        <v>0</v>
      </c>
      <c r="S60" s="31">
        <v>0</v>
      </c>
      <c r="T60" s="31">
        <v>0</v>
      </c>
      <c r="U60" s="31">
        <v>0</v>
      </c>
      <c r="V60" s="31">
        <v>0</v>
      </c>
      <c r="W60" s="31">
        <v>10</v>
      </c>
      <c r="X60" s="31">
        <v>20</v>
      </c>
      <c r="Y60" s="31">
        <v>0.48</v>
      </c>
      <c r="Z60" s="31">
        <v>0.99</v>
      </c>
      <c r="AA60" s="31">
        <v>110741</v>
      </c>
      <c r="AB60" s="31"/>
      <c r="AC60" s="27" t="s">
        <v>278</v>
      </c>
    </row>
    <row r="61" s="16" customFormat="1" spans="1:29">
      <c r="A61" s="27">
        <v>11075</v>
      </c>
      <c r="B61" s="16" t="s">
        <v>265</v>
      </c>
      <c r="C61" s="16" t="s">
        <v>279</v>
      </c>
      <c r="D61" s="27" t="s">
        <v>47</v>
      </c>
      <c r="E61" s="31">
        <v>38</v>
      </c>
      <c r="F61" s="31">
        <v>38</v>
      </c>
      <c r="G61" s="31">
        <v>79</v>
      </c>
      <c r="H61" s="31">
        <v>40</v>
      </c>
      <c r="I61" s="31">
        <v>46</v>
      </c>
      <c r="J61" s="31">
        <v>66</v>
      </c>
      <c r="K61" s="31">
        <v>93</v>
      </c>
      <c r="L61" s="31">
        <v>92</v>
      </c>
      <c r="M61" s="31">
        <v>33</v>
      </c>
      <c r="N61" s="31">
        <v>38.2</v>
      </c>
      <c r="O61" s="31">
        <v>1</v>
      </c>
      <c r="P61" s="31">
        <v>10</v>
      </c>
      <c r="Q61" s="31">
        <v>3</v>
      </c>
      <c r="R61" s="16">
        <f t="shared" si="0"/>
        <v>0</v>
      </c>
      <c r="S61" s="31">
        <v>0</v>
      </c>
      <c r="T61" s="31">
        <v>0</v>
      </c>
      <c r="U61" s="31">
        <v>0</v>
      </c>
      <c r="V61" s="31">
        <v>0</v>
      </c>
      <c r="W61" s="31">
        <v>10</v>
      </c>
      <c r="X61" s="31">
        <v>20</v>
      </c>
      <c r="Y61" s="31">
        <v>0.48</v>
      </c>
      <c r="Z61" s="31">
        <v>0.99</v>
      </c>
      <c r="AA61" s="31">
        <v>110751</v>
      </c>
      <c r="AB61" s="31">
        <v>110752</v>
      </c>
      <c r="AC61" s="27" t="s">
        <v>278</v>
      </c>
    </row>
    <row r="62" s="16" customFormat="1" spans="1:29">
      <c r="A62" s="27">
        <v>11076</v>
      </c>
      <c r="B62" s="16" t="s">
        <v>265</v>
      </c>
      <c r="C62" s="16" t="s">
        <v>280</v>
      </c>
      <c r="D62" s="27" t="s">
        <v>47</v>
      </c>
      <c r="E62" s="31">
        <v>40</v>
      </c>
      <c r="F62" s="31">
        <v>40</v>
      </c>
      <c r="G62" s="31">
        <v>81</v>
      </c>
      <c r="H62" s="31">
        <v>41</v>
      </c>
      <c r="I62" s="31">
        <v>45</v>
      </c>
      <c r="J62" s="31">
        <v>66</v>
      </c>
      <c r="K62" s="31">
        <v>93</v>
      </c>
      <c r="L62" s="31">
        <v>92</v>
      </c>
      <c r="M62" s="31">
        <v>35</v>
      </c>
      <c r="N62" s="31">
        <v>38.5</v>
      </c>
      <c r="O62" s="31">
        <v>1</v>
      </c>
      <c r="P62" s="31">
        <v>10</v>
      </c>
      <c r="Q62" s="31">
        <v>3</v>
      </c>
      <c r="R62" s="16">
        <f t="shared" si="0"/>
        <v>0</v>
      </c>
      <c r="S62" s="31">
        <v>0</v>
      </c>
      <c r="T62" s="31">
        <v>0</v>
      </c>
      <c r="U62" s="31">
        <v>0</v>
      </c>
      <c r="V62" s="31">
        <v>0</v>
      </c>
      <c r="W62" s="31">
        <v>10</v>
      </c>
      <c r="X62" s="31">
        <v>20</v>
      </c>
      <c r="Y62" s="31">
        <v>0.48</v>
      </c>
      <c r="Z62" s="31">
        <v>0.99</v>
      </c>
      <c r="AA62" s="31">
        <v>110761</v>
      </c>
      <c r="AB62" s="31"/>
      <c r="AC62" s="27" t="s">
        <v>278</v>
      </c>
    </row>
    <row r="63" s="16" customFormat="1" spans="1:29">
      <c r="A63" s="27">
        <v>11077</v>
      </c>
      <c r="B63" s="16" t="s">
        <v>265</v>
      </c>
      <c r="C63" s="16" t="s">
        <v>281</v>
      </c>
      <c r="D63" s="27" t="s">
        <v>47</v>
      </c>
      <c r="E63" s="31">
        <v>40</v>
      </c>
      <c r="F63" s="31">
        <v>40</v>
      </c>
      <c r="G63" s="31">
        <v>81</v>
      </c>
      <c r="H63" s="31">
        <v>41</v>
      </c>
      <c r="I63" s="31">
        <v>47</v>
      </c>
      <c r="J63" s="31">
        <v>66</v>
      </c>
      <c r="K63" s="31">
        <v>93</v>
      </c>
      <c r="L63" s="31">
        <v>92</v>
      </c>
      <c r="M63" s="31">
        <v>35</v>
      </c>
      <c r="N63" s="31">
        <v>38.5</v>
      </c>
      <c r="O63" s="31">
        <v>1</v>
      </c>
      <c r="P63" s="31">
        <v>10</v>
      </c>
      <c r="Q63" s="31">
        <v>3</v>
      </c>
      <c r="R63" s="16">
        <f t="shared" si="0"/>
        <v>0</v>
      </c>
      <c r="S63" s="31">
        <v>0</v>
      </c>
      <c r="T63" s="31">
        <v>0</v>
      </c>
      <c r="U63" s="31">
        <v>0</v>
      </c>
      <c r="V63" s="31">
        <v>0</v>
      </c>
      <c r="W63" s="31">
        <v>10</v>
      </c>
      <c r="X63" s="31">
        <v>20</v>
      </c>
      <c r="Y63" s="31">
        <v>0.48</v>
      </c>
      <c r="Z63" s="31">
        <v>0.99</v>
      </c>
      <c r="AA63" s="31">
        <v>110771</v>
      </c>
      <c r="AB63" s="31"/>
      <c r="AC63" s="27" t="s">
        <v>278</v>
      </c>
    </row>
    <row r="64" s="16" customFormat="1" spans="1:29">
      <c r="A64" s="27">
        <v>11078</v>
      </c>
      <c r="B64" s="16" t="s">
        <v>265</v>
      </c>
      <c r="C64" s="16" t="s">
        <v>282</v>
      </c>
      <c r="D64" s="27" t="s">
        <v>47</v>
      </c>
      <c r="E64" s="31">
        <v>40</v>
      </c>
      <c r="F64" s="31">
        <v>40</v>
      </c>
      <c r="G64" s="31">
        <v>79</v>
      </c>
      <c r="H64" s="31">
        <v>37</v>
      </c>
      <c r="I64" s="31">
        <v>51</v>
      </c>
      <c r="J64" s="31">
        <v>69</v>
      </c>
      <c r="K64" s="38">
        <v>93</v>
      </c>
      <c r="L64" s="31">
        <v>90</v>
      </c>
      <c r="M64" s="31">
        <v>41</v>
      </c>
      <c r="N64" s="31">
        <v>36</v>
      </c>
      <c r="O64" s="31">
        <v>1</v>
      </c>
      <c r="P64" s="31">
        <v>10</v>
      </c>
      <c r="Q64" s="31">
        <v>3</v>
      </c>
      <c r="R64" s="16">
        <f t="shared" si="0"/>
        <v>0</v>
      </c>
      <c r="S64" s="31">
        <v>0</v>
      </c>
      <c r="T64" s="31">
        <v>0</v>
      </c>
      <c r="U64" s="31">
        <v>0</v>
      </c>
      <c r="V64" s="31">
        <v>0</v>
      </c>
      <c r="W64" s="31">
        <v>10</v>
      </c>
      <c r="X64" s="31">
        <v>20</v>
      </c>
      <c r="Y64" s="31">
        <v>0.48</v>
      </c>
      <c r="Z64" s="31">
        <v>0.99</v>
      </c>
      <c r="AA64" s="31">
        <v>110781</v>
      </c>
      <c r="AB64" s="31"/>
      <c r="AC64" s="27" t="s">
        <v>278</v>
      </c>
    </row>
    <row r="65" s="16" customFormat="1" spans="1:29">
      <c r="A65" s="27">
        <v>11079</v>
      </c>
      <c r="B65" s="16" t="s">
        <v>265</v>
      </c>
      <c r="C65" s="16" t="s">
        <v>283</v>
      </c>
      <c r="D65" s="27" t="s">
        <v>47</v>
      </c>
      <c r="E65" s="31">
        <v>40</v>
      </c>
      <c r="F65" s="31">
        <v>39</v>
      </c>
      <c r="G65" s="31">
        <v>79</v>
      </c>
      <c r="H65" s="31">
        <v>37</v>
      </c>
      <c r="I65" s="31">
        <v>53</v>
      </c>
      <c r="J65" s="31">
        <v>69</v>
      </c>
      <c r="K65" s="38">
        <v>93</v>
      </c>
      <c r="L65" s="31">
        <v>90</v>
      </c>
      <c r="M65" s="31">
        <v>41</v>
      </c>
      <c r="N65" s="31">
        <v>36</v>
      </c>
      <c r="O65" s="31">
        <v>1</v>
      </c>
      <c r="P65" s="31">
        <v>10</v>
      </c>
      <c r="Q65" s="31">
        <v>3</v>
      </c>
      <c r="R65" s="16">
        <f t="shared" si="0"/>
        <v>0</v>
      </c>
      <c r="S65" s="31">
        <v>0</v>
      </c>
      <c r="T65" s="31">
        <v>0</v>
      </c>
      <c r="U65" s="31">
        <v>0</v>
      </c>
      <c r="V65" s="31">
        <v>0</v>
      </c>
      <c r="W65" s="31">
        <v>15</v>
      </c>
      <c r="X65" s="31">
        <v>20</v>
      </c>
      <c r="Y65" s="31">
        <v>0.48</v>
      </c>
      <c r="Z65" s="31">
        <v>0.99</v>
      </c>
      <c r="AA65" s="31">
        <v>110791</v>
      </c>
      <c r="AB65" s="31"/>
      <c r="AC65" s="27" t="s">
        <v>278</v>
      </c>
    </row>
    <row r="66" s="16" customFormat="1" spans="1:29">
      <c r="A66" s="27">
        <v>11080</v>
      </c>
      <c r="B66" s="16" t="s">
        <v>265</v>
      </c>
      <c r="C66" s="16" t="s">
        <v>284</v>
      </c>
      <c r="D66" s="27" t="s">
        <v>47</v>
      </c>
      <c r="E66" s="31">
        <v>42</v>
      </c>
      <c r="F66" s="31">
        <v>40</v>
      </c>
      <c r="G66" s="31">
        <v>79</v>
      </c>
      <c r="H66" s="31">
        <v>43</v>
      </c>
      <c r="I66" s="31">
        <v>46</v>
      </c>
      <c r="J66" s="31">
        <v>66</v>
      </c>
      <c r="K66" s="31">
        <v>93</v>
      </c>
      <c r="L66" s="31">
        <v>90</v>
      </c>
      <c r="M66" s="31">
        <v>33</v>
      </c>
      <c r="N66" s="31">
        <v>36</v>
      </c>
      <c r="O66" s="31">
        <v>1</v>
      </c>
      <c r="P66" s="31">
        <v>10</v>
      </c>
      <c r="Q66" s="31">
        <v>3</v>
      </c>
      <c r="R66" s="16">
        <f t="shared" ref="R66:R129" si="1">SUM($S66:$V66)</f>
        <v>0</v>
      </c>
      <c r="S66" s="31">
        <v>0</v>
      </c>
      <c r="T66" s="31">
        <v>0</v>
      </c>
      <c r="U66" s="31">
        <v>0</v>
      </c>
      <c r="V66" s="31">
        <v>0</v>
      </c>
      <c r="W66" s="31">
        <v>10</v>
      </c>
      <c r="X66" s="31">
        <v>20</v>
      </c>
      <c r="Y66" s="31">
        <v>0.48</v>
      </c>
      <c r="Z66" s="31">
        <v>0.99</v>
      </c>
      <c r="AA66" s="31">
        <v>110801</v>
      </c>
      <c r="AB66" s="31"/>
      <c r="AC66" s="27" t="s">
        <v>278</v>
      </c>
    </row>
    <row r="67" spans="1:28">
      <c r="A67" s="27">
        <v>11081</v>
      </c>
      <c r="B67" s="16" t="s">
        <v>265</v>
      </c>
      <c r="C67" s="16" t="s">
        <v>285</v>
      </c>
      <c r="D67" s="27" t="s">
        <v>39</v>
      </c>
      <c r="E67" s="31">
        <v>28</v>
      </c>
      <c r="F67" s="31">
        <v>37</v>
      </c>
      <c r="G67" s="31">
        <v>65</v>
      </c>
      <c r="H67" s="31">
        <v>33</v>
      </c>
      <c r="I67" s="31">
        <v>60</v>
      </c>
      <c r="J67" s="31">
        <v>94</v>
      </c>
      <c r="K67" s="31">
        <v>93</v>
      </c>
      <c r="L67" s="31">
        <v>87</v>
      </c>
      <c r="M67" s="31">
        <v>34</v>
      </c>
      <c r="N67" s="31">
        <v>20</v>
      </c>
      <c r="O67" s="31">
        <v>1</v>
      </c>
      <c r="P67" s="31">
        <v>13</v>
      </c>
      <c r="Q67" s="31">
        <v>3</v>
      </c>
      <c r="R67" s="16">
        <f t="shared" si="1"/>
        <v>0</v>
      </c>
      <c r="S67" s="31">
        <v>0</v>
      </c>
      <c r="T67" s="31">
        <v>0</v>
      </c>
      <c r="U67" s="31">
        <v>0</v>
      </c>
      <c r="V67" s="31">
        <v>0</v>
      </c>
      <c r="W67" s="31">
        <v>10</v>
      </c>
      <c r="X67" s="31">
        <v>25</v>
      </c>
      <c r="Y67" s="31">
        <v>0.48</v>
      </c>
      <c r="Z67" s="31">
        <v>0.9</v>
      </c>
      <c r="AA67" s="31">
        <v>110811</v>
      </c>
      <c r="AB67" s="31"/>
    </row>
    <row r="68" spans="1:28">
      <c r="A68" s="27">
        <v>11082</v>
      </c>
      <c r="B68" s="16" t="s">
        <v>265</v>
      </c>
      <c r="C68" s="16" t="s">
        <v>286</v>
      </c>
      <c r="D68" s="27" t="s">
        <v>39</v>
      </c>
      <c r="E68" s="31">
        <v>29</v>
      </c>
      <c r="F68" s="31">
        <v>38</v>
      </c>
      <c r="G68" s="31">
        <v>79</v>
      </c>
      <c r="H68" s="31">
        <v>47</v>
      </c>
      <c r="I68" s="31">
        <v>50</v>
      </c>
      <c r="J68" s="31">
        <v>77</v>
      </c>
      <c r="K68" s="31">
        <v>93</v>
      </c>
      <c r="L68" s="31">
        <v>90</v>
      </c>
      <c r="M68" s="31">
        <v>34</v>
      </c>
      <c r="N68" s="31">
        <v>36</v>
      </c>
      <c r="O68" s="31">
        <v>1</v>
      </c>
      <c r="P68" s="31">
        <v>8</v>
      </c>
      <c r="Q68" s="31">
        <v>3</v>
      </c>
      <c r="R68" s="16">
        <f t="shared" si="1"/>
        <v>0</v>
      </c>
      <c r="S68" s="31">
        <v>0</v>
      </c>
      <c r="T68" s="31">
        <v>0</v>
      </c>
      <c r="U68" s="31">
        <v>0</v>
      </c>
      <c r="V68" s="31">
        <v>0</v>
      </c>
      <c r="W68" s="31">
        <v>10</v>
      </c>
      <c r="X68" s="31">
        <v>25</v>
      </c>
      <c r="Y68" s="31">
        <v>0.48</v>
      </c>
      <c r="Z68" s="31">
        <v>0.9</v>
      </c>
      <c r="AA68" s="31">
        <v>110821</v>
      </c>
      <c r="AB68" s="31">
        <v>110822</v>
      </c>
    </row>
    <row r="69" spans="1:28">
      <c r="A69" s="27">
        <v>11083</v>
      </c>
      <c r="B69" s="16" t="s">
        <v>265</v>
      </c>
      <c r="C69" s="16" t="s">
        <v>287</v>
      </c>
      <c r="D69" s="27" t="s">
        <v>39</v>
      </c>
      <c r="E69" s="31">
        <v>29</v>
      </c>
      <c r="F69" s="31">
        <v>40</v>
      </c>
      <c r="G69" s="31">
        <v>79</v>
      </c>
      <c r="H69" s="31">
        <v>37</v>
      </c>
      <c r="I69" s="31">
        <v>55</v>
      </c>
      <c r="J69" s="31">
        <v>77</v>
      </c>
      <c r="K69" s="31">
        <v>92</v>
      </c>
      <c r="L69" s="31">
        <v>90</v>
      </c>
      <c r="M69" s="31">
        <v>34</v>
      </c>
      <c r="N69" s="31">
        <v>36</v>
      </c>
      <c r="O69" s="31">
        <v>1</v>
      </c>
      <c r="P69" s="31">
        <v>15</v>
      </c>
      <c r="Q69" s="31">
        <v>3</v>
      </c>
      <c r="R69" s="16">
        <f t="shared" si="1"/>
        <v>0</v>
      </c>
      <c r="S69" s="31">
        <v>0</v>
      </c>
      <c r="T69" s="31">
        <v>0</v>
      </c>
      <c r="U69" s="31">
        <v>0</v>
      </c>
      <c r="V69" s="31">
        <v>0</v>
      </c>
      <c r="W69" s="31">
        <v>10</v>
      </c>
      <c r="X69" s="31">
        <v>25</v>
      </c>
      <c r="Y69" s="31">
        <v>0.48</v>
      </c>
      <c r="Z69" s="31">
        <v>0.9</v>
      </c>
      <c r="AA69" s="31">
        <v>110831</v>
      </c>
      <c r="AB69" s="31"/>
    </row>
    <row r="70" spans="1:28">
      <c r="A70" s="27">
        <v>11084</v>
      </c>
      <c r="B70" s="16" t="s">
        <v>265</v>
      </c>
      <c r="C70" s="16" t="s">
        <v>288</v>
      </c>
      <c r="D70" s="27" t="s">
        <v>39</v>
      </c>
      <c r="E70" s="31">
        <v>29</v>
      </c>
      <c r="F70" s="31">
        <v>40</v>
      </c>
      <c r="G70" s="31">
        <v>79</v>
      </c>
      <c r="H70" s="31">
        <v>37</v>
      </c>
      <c r="I70" s="31">
        <v>55</v>
      </c>
      <c r="J70" s="31">
        <v>77</v>
      </c>
      <c r="K70" s="31">
        <v>92</v>
      </c>
      <c r="L70" s="31">
        <v>91</v>
      </c>
      <c r="M70" s="31">
        <v>34</v>
      </c>
      <c r="N70" s="31">
        <v>36</v>
      </c>
      <c r="O70" s="31">
        <v>1</v>
      </c>
      <c r="P70" s="31">
        <v>10</v>
      </c>
      <c r="Q70" s="31">
        <v>3</v>
      </c>
      <c r="R70" s="16">
        <f t="shared" si="1"/>
        <v>0</v>
      </c>
      <c r="S70" s="31">
        <v>0</v>
      </c>
      <c r="T70" s="31">
        <v>0</v>
      </c>
      <c r="U70" s="31">
        <v>0</v>
      </c>
      <c r="V70" s="31">
        <v>0</v>
      </c>
      <c r="W70" s="31">
        <v>10</v>
      </c>
      <c r="X70" s="31">
        <v>25</v>
      </c>
      <c r="Y70" s="31">
        <v>0.48</v>
      </c>
      <c r="Z70" s="31">
        <v>0.9</v>
      </c>
      <c r="AA70" s="31">
        <v>110841</v>
      </c>
      <c r="AB70" s="31"/>
    </row>
    <row r="71" spans="1:28">
      <c r="A71" s="27">
        <v>11085</v>
      </c>
      <c r="B71" s="16" t="s">
        <v>265</v>
      </c>
      <c r="C71" s="16" t="s">
        <v>289</v>
      </c>
      <c r="D71" s="27" t="s">
        <v>39</v>
      </c>
      <c r="E71" s="31">
        <v>29</v>
      </c>
      <c r="F71" s="31">
        <v>40</v>
      </c>
      <c r="G71" s="31">
        <v>79</v>
      </c>
      <c r="H71" s="31">
        <v>38</v>
      </c>
      <c r="I71" s="31">
        <v>55</v>
      </c>
      <c r="J71" s="31">
        <v>77</v>
      </c>
      <c r="K71" s="31">
        <v>93</v>
      </c>
      <c r="L71" s="31">
        <v>90</v>
      </c>
      <c r="M71" s="31">
        <v>34</v>
      </c>
      <c r="N71" s="31">
        <v>36</v>
      </c>
      <c r="O71" s="31">
        <v>1</v>
      </c>
      <c r="P71" s="31">
        <v>10</v>
      </c>
      <c r="Q71" s="31">
        <v>3</v>
      </c>
      <c r="R71" s="16">
        <f t="shared" si="1"/>
        <v>0</v>
      </c>
      <c r="S71" s="31">
        <v>0</v>
      </c>
      <c r="T71" s="31">
        <v>0</v>
      </c>
      <c r="U71" s="31">
        <v>0</v>
      </c>
      <c r="V71" s="31">
        <v>0</v>
      </c>
      <c r="W71" s="31">
        <v>10</v>
      </c>
      <c r="X71" s="31">
        <v>25</v>
      </c>
      <c r="Y71" s="31">
        <v>0.48</v>
      </c>
      <c r="Z71" s="31">
        <v>0.9</v>
      </c>
      <c r="AA71" s="31">
        <v>110851</v>
      </c>
      <c r="AB71" s="31"/>
    </row>
    <row r="72" spans="1:28">
      <c r="A72" s="27">
        <v>11086</v>
      </c>
      <c r="B72" s="16" t="s">
        <v>265</v>
      </c>
      <c r="C72" s="16" t="s">
        <v>290</v>
      </c>
      <c r="D72" s="27" t="s">
        <v>39</v>
      </c>
      <c r="E72" s="31">
        <v>32</v>
      </c>
      <c r="F72" s="31">
        <v>46</v>
      </c>
      <c r="G72" s="31">
        <v>77</v>
      </c>
      <c r="H72" s="31">
        <v>40</v>
      </c>
      <c r="I72" s="31">
        <v>60</v>
      </c>
      <c r="J72" s="31">
        <v>89</v>
      </c>
      <c r="K72" s="31">
        <v>92</v>
      </c>
      <c r="L72" s="31">
        <v>89</v>
      </c>
      <c r="M72" s="31">
        <v>37</v>
      </c>
      <c r="N72" s="31">
        <v>35.5</v>
      </c>
      <c r="O72" s="31">
        <v>1</v>
      </c>
      <c r="P72" s="31">
        <v>15</v>
      </c>
      <c r="Q72" s="31">
        <v>3</v>
      </c>
      <c r="R72" s="16">
        <f t="shared" si="1"/>
        <v>0</v>
      </c>
      <c r="S72" s="31">
        <v>0</v>
      </c>
      <c r="T72" s="31">
        <v>0</v>
      </c>
      <c r="U72" s="31">
        <v>0</v>
      </c>
      <c r="V72" s="31">
        <v>0</v>
      </c>
      <c r="W72" s="31">
        <v>10</v>
      </c>
      <c r="X72" s="31">
        <v>25</v>
      </c>
      <c r="Y72" s="31">
        <v>0.48</v>
      </c>
      <c r="Z72" s="31">
        <v>0.9</v>
      </c>
      <c r="AA72" s="31">
        <v>110861</v>
      </c>
      <c r="AB72" s="31"/>
    </row>
    <row r="73" spans="1:28">
      <c r="A73" s="27">
        <v>11087</v>
      </c>
      <c r="B73" s="16" t="s">
        <v>265</v>
      </c>
      <c r="C73" s="16" t="s">
        <v>291</v>
      </c>
      <c r="D73" s="27" t="s">
        <v>39</v>
      </c>
      <c r="E73" s="31">
        <v>32</v>
      </c>
      <c r="F73" s="31">
        <v>46</v>
      </c>
      <c r="G73" s="31">
        <v>79</v>
      </c>
      <c r="H73" s="31">
        <v>41</v>
      </c>
      <c r="I73" s="31">
        <v>65</v>
      </c>
      <c r="J73" s="31">
        <v>89</v>
      </c>
      <c r="K73" s="31">
        <v>92</v>
      </c>
      <c r="L73" s="31">
        <v>89</v>
      </c>
      <c r="M73" s="31">
        <v>37</v>
      </c>
      <c r="N73" s="31">
        <v>35.5</v>
      </c>
      <c r="O73" s="31">
        <v>1</v>
      </c>
      <c r="P73" s="31">
        <v>22</v>
      </c>
      <c r="Q73" s="31">
        <v>3</v>
      </c>
      <c r="R73" s="16">
        <f t="shared" si="1"/>
        <v>0</v>
      </c>
      <c r="S73" s="31">
        <v>0</v>
      </c>
      <c r="T73" s="31">
        <v>0</v>
      </c>
      <c r="U73" s="31">
        <v>0</v>
      </c>
      <c r="V73" s="31">
        <v>0</v>
      </c>
      <c r="W73" s="31">
        <v>10</v>
      </c>
      <c r="X73" s="31">
        <v>25</v>
      </c>
      <c r="Y73" s="31">
        <v>0.48</v>
      </c>
      <c r="Z73" s="31">
        <v>0.9</v>
      </c>
      <c r="AA73" s="31">
        <v>110871</v>
      </c>
      <c r="AB73" s="31"/>
    </row>
    <row r="74" spans="1:28">
      <c r="A74" s="27">
        <v>11088</v>
      </c>
      <c r="B74" s="16" t="s">
        <v>265</v>
      </c>
      <c r="C74" s="16" t="s">
        <v>292</v>
      </c>
      <c r="D74" s="27" t="s">
        <v>39</v>
      </c>
      <c r="E74" s="31">
        <v>32</v>
      </c>
      <c r="F74" s="31">
        <v>46</v>
      </c>
      <c r="G74" s="31">
        <v>77</v>
      </c>
      <c r="H74" s="31">
        <v>40</v>
      </c>
      <c r="I74" s="31">
        <v>62</v>
      </c>
      <c r="J74" s="31">
        <v>89</v>
      </c>
      <c r="K74" s="31">
        <v>92</v>
      </c>
      <c r="L74" s="31">
        <v>89</v>
      </c>
      <c r="M74" s="31">
        <v>37</v>
      </c>
      <c r="N74" s="31">
        <v>35.5</v>
      </c>
      <c r="O74" s="31">
        <v>1</v>
      </c>
      <c r="P74" s="31">
        <v>10</v>
      </c>
      <c r="Q74" s="31">
        <v>3</v>
      </c>
      <c r="R74" s="16">
        <f t="shared" si="1"/>
        <v>0</v>
      </c>
      <c r="S74" s="31">
        <v>0</v>
      </c>
      <c r="T74" s="31">
        <v>0</v>
      </c>
      <c r="U74" s="31">
        <v>0</v>
      </c>
      <c r="V74" s="31">
        <v>0</v>
      </c>
      <c r="W74" s="31">
        <v>10</v>
      </c>
      <c r="X74" s="31">
        <v>25</v>
      </c>
      <c r="Y74" s="31">
        <v>0.48</v>
      </c>
      <c r="Z74" s="31">
        <v>0.9</v>
      </c>
      <c r="AA74" s="31">
        <v>110881</v>
      </c>
      <c r="AB74" s="31"/>
    </row>
    <row r="75" spans="1:28">
      <c r="A75" s="27">
        <v>11089</v>
      </c>
      <c r="B75" s="16" t="s">
        <v>265</v>
      </c>
      <c r="C75" s="16" t="s">
        <v>293</v>
      </c>
      <c r="D75" s="27" t="s">
        <v>34</v>
      </c>
      <c r="E75" s="31">
        <v>32</v>
      </c>
      <c r="F75" s="31">
        <v>41</v>
      </c>
      <c r="G75" s="31">
        <v>83</v>
      </c>
      <c r="H75" s="31">
        <v>39</v>
      </c>
      <c r="I75" s="31">
        <v>80</v>
      </c>
      <c r="J75" s="31">
        <v>84</v>
      </c>
      <c r="K75" s="31">
        <v>93</v>
      </c>
      <c r="L75" s="31">
        <v>91</v>
      </c>
      <c r="M75" s="31">
        <v>37</v>
      </c>
      <c r="N75" s="31">
        <v>37</v>
      </c>
      <c r="O75" s="31">
        <v>1</v>
      </c>
      <c r="P75" s="31">
        <v>22</v>
      </c>
      <c r="Q75" s="31">
        <v>3</v>
      </c>
      <c r="R75" s="16">
        <f t="shared" si="1"/>
        <v>0</v>
      </c>
      <c r="S75" s="31">
        <v>0</v>
      </c>
      <c r="T75" s="31">
        <v>0</v>
      </c>
      <c r="U75" s="31">
        <v>0</v>
      </c>
      <c r="V75" s="31">
        <v>0</v>
      </c>
      <c r="W75" s="31">
        <v>15</v>
      </c>
      <c r="X75" s="31">
        <v>25</v>
      </c>
      <c r="Y75" s="31">
        <v>0.48</v>
      </c>
      <c r="Z75" s="31">
        <v>0.9</v>
      </c>
      <c r="AA75" s="31">
        <v>110891</v>
      </c>
      <c r="AB75" s="31"/>
    </row>
    <row r="76" spans="1:28">
      <c r="A76" s="27">
        <v>11092</v>
      </c>
      <c r="B76" s="16" t="s">
        <v>265</v>
      </c>
      <c r="C76" s="16" t="s">
        <v>294</v>
      </c>
      <c r="D76" s="27" t="s">
        <v>34</v>
      </c>
      <c r="E76" s="31">
        <v>32</v>
      </c>
      <c r="F76" s="31">
        <v>41</v>
      </c>
      <c r="G76" s="31">
        <v>83</v>
      </c>
      <c r="H76" s="31">
        <v>39</v>
      </c>
      <c r="I76" s="31">
        <v>85</v>
      </c>
      <c r="J76" s="31">
        <v>115</v>
      </c>
      <c r="K76" s="31">
        <v>92</v>
      </c>
      <c r="L76" s="31">
        <v>91</v>
      </c>
      <c r="M76" s="31">
        <v>43</v>
      </c>
      <c r="N76" s="31">
        <v>37</v>
      </c>
      <c r="O76" s="31">
        <v>1</v>
      </c>
      <c r="P76" s="31">
        <v>20</v>
      </c>
      <c r="Q76" s="31">
        <v>3</v>
      </c>
      <c r="R76" s="16">
        <f t="shared" si="1"/>
        <v>0</v>
      </c>
      <c r="S76" s="31">
        <v>0</v>
      </c>
      <c r="T76" s="31">
        <v>0</v>
      </c>
      <c r="U76" s="31">
        <v>0</v>
      </c>
      <c r="V76" s="31">
        <v>0</v>
      </c>
      <c r="W76" s="31">
        <v>15</v>
      </c>
      <c r="X76" s="31">
        <v>25</v>
      </c>
      <c r="Y76" s="31">
        <v>0.48</v>
      </c>
      <c r="Z76" s="31">
        <v>0.9</v>
      </c>
      <c r="AA76" s="31">
        <v>110921</v>
      </c>
      <c r="AB76" s="31"/>
    </row>
    <row r="77" spans="1:28">
      <c r="A77" s="27">
        <v>11093</v>
      </c>
      <c r="B77" s="16" t="s">
        <v>265</v>
      </c>
      <c r="C77" s="16" t="s">
        <v>295</v>
      </c>
      <c r="D77" s="27" t="s">
        <v>34</v>
      </c>
      <c r="E77" s="31">
        <v>35</v>
      </c>
      <c r="F77" s="31">
        <v>43</v>
      </c>
      <c r="G77" s="31">
        <v>83</v>
      </c>
      <c r="H77" s="31">
        <v>40</v>
      </c>
      <c r="I77" s="31">
        <v>75</v>
      </c>
      <c r="J77" s="31">
        <v>84</v>
      </c>
      <c r="K77" s="31">
        <v>93</v>
      </c>
      <c r="L77" s="31">
        <v>86</v>
      </c>
      <c r="M77" s="31">
        <v>43</v>
      </c>
      <c r="N77" s="31">
        <v>35</v>
      </c>
      <c r="O77" s="31">
        <v>1</v>
      </c>
      <c r="P77" s="31">
        <v>20</v>
      </c>
      <c r="Q77" s="31">
        <v>3</v>
      </c>
      <c r="R77" s="16">
        <f t="shared" si="1"/>
        <v>0</v>
      </c>
      <c r="S77" s="31">
        <v>0</v>
      </c>
      <c r="T77" s="31">
        <v>0</v>
      </c>
      <c r="U77" s="31">
        <v>0</v>
      </c>
      <c r="V77" s="31">
        <v>0</v>
      </c>
      <c r="W77" s="31">
        <v>15</v>
      </c>
      <c r="X77" s="31">
        <v>25</v>
      </c>
      <c r="Y77" s="31">
        <v>0.48</v>
      </c>
      <c r="Z77" s="31">
        <v>0.9</v>
      </c>
      <c r="AA77" s="31">
        <v>110921</v>
      </c>
      <c r="AB77" s="31">
        <v>110932</v>
      </c>
    </row>
    <row r="78" spans="1:28">
      <c r="A78" s="27">
        <v>11094</v>
      </c>
      <c r="B78" s="16" t="s">
        <v>92</v>
      </c>
      <c r="C78" s="16" t="s">
        <v>296</v>
      </c>
      <c r="D78" s="16" t="s">
        <v>34</v>
      </c>
      <c r="E78" s="16">
        <v>35</v>
      </c>
      <c r="F78" s="16">
        <v>48</v>
      </c>
      <c r="G78" s="16">
        <v>1</v>
      </c>
      <c r="H78" s="16">
        <v>40</v>
      </c>
      <c r="I78" s="16">
        <v>80</v>
      </c>
      <c r="J78" s="16">
        <v>63</v>
      </c>
      <c r="K78" s="26">
        <v>105</v>
      </c>
      <c r="L78" s="16">
        <v>88</v>
      </c>
      <c r="M78" s="16">
        <v>50</v>
      </c>
      <c r="N78" s="16">
        <v>35</v>
      </c>
      <c r="O78" s="16">
        <v>1</v>
      </c>
      <c r="P78" s="16">
        <v>20</v>
      </c>
      <c r="Q78" s="16">
        <v>3</v>
      </c>
      <c r="R78" s="16">
        <f t="shared" si="1"/>
        <v>36</v>
      </c>
      <c r="S78" s="16">
        <v>12</v>
      </c>
      <c r="T78" s="16">
        <v>12</v>
      </c>
      <c r="U78" s="16">
        <v>12</v>
      </c>
      <c r="V78" s="16">
        <v>0</v>
      </c>
      <c r="W78" s="16">
        <v>15</v>
      </c>
      <c r="X78" s="16">
        <v>40</v>
      </c>
      <c r="Y78" s="16">
        <v>0.48</v>
      </c>
      <c r="Z78" s="16">
        <v>0.9</v>
      </c>
      <c r="AA78" s="31">
        <v>110941</v>
      </c>
      <c r="AB78" s="31"/>
    </row>
    <row r="79" s="16" customFormat="1" spans="1:29">
      <c r="A79" s="27">
        <v>11097</v>
      </c>
      <c r="B79" s="16" t="s">
        <v>105</v>
      </c>
      <c r="C79" s="16" t="s">
        <v>297</v>
      </c>
      <c r="D79" s="16" t="s">
        <v>89</v>
      </c>
      <c r="E79" s="16">
        <v>33</v>
      </c>
      <c r="F79" s="16">
        <v>42</v>
      </c>
      <c r="G79" s="16">
        <v>1</v>
      </c>
      <c r="H79" s="16">
        <v>40</v>
      </c>
      <c r="I79" s="16">
        <v>60</v>
      </c>
      <c r="J79" s="16">
        <v>0</v>
      </c>
      <c r="K79" s="16">
        <v>101</v>
      </c>
      <c r="L79" s="16">
        <v>89</v>
      </c>
      <c r="M79" s="16">
        <v>42</v>
      </c>
      <c r="N79" s="16">
        <v>39</v>
      </c>
      <c r="O79" s="16">
        <v>1</v>
      </c>
      <c r="P79" s="16">
        <v>25</v>
      </c>
      <c r="Q79" s="16">
        <v>3</v>
      </c>
      <c r="R79" s="16">
        <f t="shared" si="1"/>
        <v>24</v>
      </c>
      <c r="S79" s="16">
        <v>8</v>
      </c>
      <c r="T79" s="16">
        <v>8</v>
      </c>
      <c r="U79" s="16">
        <v>8</v>
      </c>
      <c r="V79" s="16">
        <v>0</v>
      </c>
      <c r="W79" s="16">
        <v>25</v>
      </c>
      <c r="X79" s="16">
        <v>65</v>
      </c>
      <c r="Y79" s="16">
        <v>0.48</v>
      </c>
      <c r="Z79" s="16">
        <v>1.5</v>
      </c>
      <c r="AA79" s="31">
        <v>110971</v>
      </c>
      <c r="AB79" s="31"/>
      <c r="AC79" s="27" t="s">
        <v>153</v>
      </c>
    </row>
    <row r="80" spans="1:28">
      <c r="A80" s="27">
        <v>11098</v>
      </c>
      <c r="B80" s="16" t="s">
        <v>265</v>
      </c>
      <c r="C80" s="16" t="s">
        <v>298</v>
      </c>
      <c r="D80" s="27" t="s">
        <v>43</v>
      </c>
      <c r="E80" s="31">
        <v>35</v>
      </c>
      <c r="F80" s="31">
        <v>40</v>
      </c>
      <c r="G80" s="31">
        <v>77</v>
      </c>
      <c r="H80" s="31">
        <v>32</v>
      </c>
      <c r="I80" s="31">
        <v>45</v>
      </c>
      <c r="J80" s="31">
        <v>76</v>
      </c>
      <c r="K80" s="31">
        <v>92</v>
      </c>
      <c r="L80" s="31">
        <v>94</v>
      </c>
      <c r="M80" s="31">
        <v>37</v>
      </c>
      <c r="N80" s="31">
        <v>40</v>
      </c>
      <c r="O80" s="31">
        <v>1</v>
      </c>
      <c r="P80" s="31">
        <v>10</v>
      </c>
      <c r="Q80" s="31">
        <v>3</v>
      </c>
      <c r="R80" s="16">
        <f t="shared" si="1"/>
        <v>0</v>
      </c>
      <c r="S80" s="31">
        <v>0</v>
      </c>
      <c r="T80" s="31">
        <v>0</v>
      </c>
      <c r="U80" s="31">
        <v>0</v>
      </c>
      <c r="V80" s="31">
        <v>0</v>
      </c>
      <c r="W80" s="31">
        <v>10</v>
      </c>
      <c r="X80" s="31">
        <v>20</v>
      </c>
      <c r="Y80" s="31">
        <v>0.48</v>
      </c>
      <c r="Z80" s="31">
        <v>0.9</v>
      </c>
      <c r="AA80" s="31">
        <v>110981</v>
      </c>
      <c r="AB80" s="31"/>
    </row>
    <row r="81" spans="1:28">
      <c r="A81" s="27">
        <v>11099</v>
      </c>
      <c r="B81" s="16" t="s">
        <v>265</v>
      </c>
      <c r="C81" s="16" t="s">
        <v>299</v>
      </c>
      <c r="D81" s="27" t="s">
        <v>43</v>
      </c>
      <c r="E81" s="31">
        <v>37</v>
      </c>
      <c r="F81" s="31">
        <v>40</v>
      </c>
      <c r="G81" s="31">
        <v>80</v>
      </c>
      <c r="H81" s="31">
        <v>34</v>
      </c>
      <c r="I81" s="31">
        <v>60</v>
      </c>
      <c r="J81" s="31">
        <v>84</v>
      </c>
      <c r="K81" s="31">
        <v>95</v>
      </c>
      <c r="L81" s="31">
        <v>125</v>
      </c>
      <c r="M81" s="31">
        <v>39</v>
      </c>
      <c r="N81" s="31">
        <v>45</v>
      </c>
      <c r="O81" s="31">
        <v>2</v>
      </c>
      <c r="P81" s="31">
        <v>10</v>
      </c>
      <c r="Q81" s="31">
        <v>3</v>
      </c>
      <c r="R81" s="16">
        <f t="shared" si="1"/>
        <v>0</v>
      </c>
      <c r="S81" s="31">
        <v>0</v>
      </c>
      <c r="T81" s="31">
        <v>0</v>
      </c>
      <c r="U81" s="31">
        <v>0</v>
      </c>
      <c r="V81" s="31">
        <v>0</v>
      </c>
      <c r="W81" s="31">
        <v>40</v>
      </c>
      <c r="X81" s="31">
        <v>25</v>
      </c>
      <c r="Y81" s="31">
        <v>0.64</v>
      </c>
      <c r="Z81" s="31">
        <v>1.2</v>
      </c>
      <c r="AA81" s="31">
        <v>110991</v>
      </c>
      <c r="AB81" s="31"/>
    </row>
    <row r="82" s="16" customFormat="1" spans="1:29">
      <c r="A82" s="27">
        <v>11100</v>
      </c>
      <c r="B82" s="16" t="s">
        <v>37</v>
      </c>
      <c r="C82" s="25" t="s">
        <v>38</v>
      </c>
      <c r="D82" s="27" t="s">
        <v>39</v>
      </c>
      <c r="E82" s="37">
        <v>88</v>
      </c>
      <c r="F82" s="37">
        <v>115</v>
      </c>
      <c r="G82" s="37">
        <v>0</v>
      </c>
      <c r="H82" s="37">
        <v>106</v>
      </c>
      <c r="I82" s="37">
        <v>108</v>
      </c>
      <c r="J82" s="31">
        <v>0</v>
      </c>
      <c r="K82" s="38">
        <v>103</v>
      </c>
      <c r="L82" s="31">
        <v>60</v>
      </c>
      <c r="M82" s="31">
        <v>55</v>
      </c>
      <c r="N82" s="37">
        <v>28</v>
      </c>
      <c r="O82" s="31">
        <v>3</v>
      </c>
      <c r="P82" s="37">
        <v>10</v>
      </c>
      <c r="Q82" s="31">
        <v>4</v>
      </c>
      <c r="R82" s="16">
        <f t="shared" si="1"/>
        <v>0</v>
      </c>
      <c r="S82" s="37">
        <v>0</v>
      </c>
      <c r="T82" s="37">
        <v>0</v>
      </c>
      <c r="U82" s="37">
        <v>0</v>
      </c>
      <c r="V82" s="37">
        <v>0</v>
      </c>
      <c r="W82" s="31">
        <v>140</v>
      </c>
      <c r="X82" s="31">
        <v>180</v>
      </c>
      <c r="Y82" s="31">
        <v>4.8</v>
      </c>
      <c r="Z82" s="31">
        <v>9</v>
      </c>
      <c r="AA82" s="31">
        <v>111001</v>
      </c>
      <c r="AB82" s="31">
        <v>111002</v>
      </c>
      <c r="AC82" s="27" t="s">
        <v>40</v>
      </c>
    </row>
    <row r="83" s="16" customFormat="1" spans="1:29">
      <c r="A83" s="27">
        <v>11101</v>
      </c>
      <c r="B83" s="16" t="s">
        <v>37</v>
      </c>
      <c r="C83" s="25" t="s">
        <v>300</v>
      </c>
      <c r="D83" s="27" t="s">
        <v>31</v>
      </c>
      <c r="E83" s="37">
        <v>80</v>
      </c>
      <c r="F83" s="37">
        <v>112</v>
      </c>
      <c r="G83" s="37">
        <v>0</v>
      </c>
      <c r="H83" s="37">
        <v>99</v>
      </c>
      <c r="I83" s="37">
        <v>63</v>
      </c>
      <c r="J83" s="31">
        <v>0</v>
      </c>
      <c r="K83" s="31">
        <v>101</v>
      </c>
      <c r="L83" s="31">
        <v>54</v>
      </c>
      <c r="M83" s="31">
        <v>49</v>
      </c>
      <c r="N83" s="37">
        <v>25</v>
      </c>
      <c r="O83" s="31">
        <v>3</v>
      </c>
      <c r="P83" s="37">
        <v>22</v>
      </c>
      <c r="Q83" s="31">
        <v>4</v>
      </c>
      <c r="R83" s="16">
        <f t="shared" si="1"/>
        <v>12</v>
      </c>
      <c r="S83" s="37">
        <v>3</v>
      </c>
      <c r="T83" s="37">
        <v>3</v>
      </c>
      <c r="U83" s="37">
        <v>3</v>
      </c>
      <c r="V83" s="37">
        <v>3</v>
      </c>
      <c r="W83" s="31">
        <v>95</v>
      </c>
      <c r="X83" s="31">
        <v>130</v>
      </c>
      <c r="Y83" s="31">
        <v>3.2</v>
      </c>
      <c r="Z83" s="31">
        <v>6</v>
      </c>
      <c r="AA83" s="31">
        <v>110081</v>
      </c>
      <c r="AB83" s="31">
        <v>110021</v>
      </c>
      <c r="AC83" s="27" t="s">
        <v>225</v>
      </c>
    </row>
    <row r="84" s="16" customFormat="1" spans="1:29">
      <c r="A84" s="27">
        <v>11102</v>
      </c>
      <c r="B84" s="16" t="s">
        <v>37</v>
      </c>
      <c r="C84" s="25" t="s">
        <v>301</v>
      </c>
      <c r="D84" s="27" t="s">
        <v>31</v>
      </c>
      <c r="E84" s="37">
        <v>80</v>
      </c>
      <c r="F84" s="37">
        <v>117</v>
      </c>
      <c r="G84" s="37">
        <v>0</v>
      </c>
      <c r="H84" s="37">
        <v>102</v>
      </c>
      <c r="I84" s="37">
        <v>60</v>
      </c>
      <c r="J84" s="31">
        <v>0</v>
      </c>
      <c r="K84" s="38">
        <v>101</v>
      </c>
      <c r="L84" s="31">
        <v>53</v>
      </c>
      <c r="M84" s="31">
        <v>48</v>
      </c>
      <c r="N84" s="37">
        <v>25</v>
      </c>
      <c r="O84" s="31">
        <v>3</v>
      </c>
      <c r="P84" s="37">
        <v>7</v>
      </c>
      <c r="Q84" s="31">
        <v>4</v>
      </c>
      <c r="R84" s="16">
        <f t="shared" si="1"/>
        <v>12</v>
      </c>
      <c r="S84" s="37">
        <v>3</v>
      </c>
      <c r="T84" s="37">
        <v>3</v>
      </c>
      <c r="U84" s="37">
        <v>3</v>
      </c>
      <c r="V84" s="37">
        <v>3</v>
      </c>
      <c r="W84" s="31">
        <v>95</v>
      </c>
      <c r="X84" s="31">
        <v>135</v>
      </c>
      <c r="Y84" s="31">
        <v>3.2</v>
      </c>
      <c r="Z84" s="31">
        <v>6</v>
      </c>
      <c r="AA84" s="31">
        <v>110081</v>
      </c>
      <c r="AB84" s="31">
        <v>111022</v>
      </c>
      <c r="AC84" s="27" t="s">
        <v>225</v>
      </c>
    </row>
    <row r="85" spans="1:28">
      <c r="A85" s="27">
        <v>11105</v>
      </c>
      <c r="B85" s="16" t="s">
        <v>37</v>
      </c>
      <c r="C85" s="25" t="s">
        <v>41</v>
      </c>
      <c r="D85" s="27" t="s">
        <v>39</v>
      </c>
      <c r="E85" s="37">
        <v>90</v>
      </c>
      <c r="F85" s="37">
        <v>96</v>
      </c>
      <c r="G85" s="37">
        <v>0</v>
      </c>
      <c r="H85" s="37">
        <v>101</v>
      </c>
      <c r="I85" s="37">
        <v>115</v>
      </c>
      <c r="J85" s="31">
        <v>0</v>
      </c>
      <c r="K85" s="31">
        <v>102</v>
      </c>
      <c r="L85" s="31">
        <v>56</v>
      </c>
      <c r="M85" s="31">
        <v>50</v>
      </c>
      <c r="N85" s="37">
        <v>30</v>
      </c>
      <c r="O85" s="31">
        <v>3</v>
      </c>
      <c r="P85" s="37">
        <v>15</v>
      </c>
      <c r="Q85" s="31">
        <v>4</v>
      </c>
      <c r="R85" s="16">
        <f t="shared" si="1"/>
        <v>12</v>
      </c>
      <c r="S85" s="37">
        <v>3</v>
      </c>
      <c r="T85" s="37">
        <v>3</v>
      </c>
      <c r="U85" s="37">
        <v>3</v>
      </c>
      <c r="V85" s="37">
        <v>3</v>
      </c>
      <c r="W85" s="31">
        <v>90</v>
      </c>
      <c r="X85" s="31">
        <v>140</v>
      </c>
      <c r="Y85" s="31">
        <v>4.2</v>
      </c>
      <c r="Z85" s="31">
        <v>8</v>
      </c>
      <c r="AA85" s="31">
        <v>111051</v>
      </c>
      <c r="AB85" s="31">
        <v>111052</v>
      </c>
    </row>
    <row r="86" spans="1:28">
      <c r="A86" s="27">
        <v>11106</v>
      </c>
      <c r="B86" s="16" t="s">
        <v>37</v>
      </c>
      <c r="C86" s="25" t="s">
        <v>302</v>
      </c>
      <c r="D86" s="27" t="s">
        <v>34</v>
      </c>
      <c r="E86" s="37">
        <v>75</v>
      </c>
      <c r="F86" s="37">
        <v>100</v>
      </c>
      <c r="G86" s="37">
        <v>0</v>
      </c>
      <c r="H86" s="37">
        <v>96</v>
      </c>
      <c r="I86" s="37">
        <v>96</v>
      </c>
      <c r="J86" s="31">
        <v>0</v>
      </c>
      <c r="K86" s="31">
        <v>100</v>
      </c>
      <c r="L86" s="31">
        <v>44</v>
      </c>
      <c r="M86" s="31">
        <v>47</v>
      </c>
      <c r="N86" s="37">
        <v>21</v>
      </c>
      <c r="O86" s="31">
        <v>3</v>
      </c>
      <c r="P86" s="37">
        <v>20</v>
      </c>
      <c r="Q86" s="31">
        <v>4</v>
      </c>
      <c r="R86" s="16">
        <f t="shared" si="1"/>
        <v>16</v>
      </c>
      <c r="S86" s="37">
        <v>4</v>
      </c>
      <c r="T86" s="37">
        <v>4</v>
      </c>
      <c r="U86" s="37">
        <v>4</v>
      </c>
      <c r="V86" s="37">
        <v>4</v>
      </c>
      <c r="W86" s="31">
        <v>85</v>
      </c>
      <c r="X86" s="31">
        <v>125</v>
      </c>
      <c r="Y86" s="31">
        <v>2.5</v>
      </c>
      <c r="Z86" s="31">
        <v>5.1</v>
      </c>
      <c r="AA86" s="31">
        <v>111061</v>
      </c>
      <c r="AB86" s="31"/>
    </row>
    <row r="87" spans="1:28">
      <c r="A87" s="27">
        <v>11107</v>
      </c>
      <c r="B87" s="16" t="s">
        <v>37</v>
      </c>
      <c r="C87" s="25" t="s">
        <v>303</v>
      </c>
      <c r="D87" s="27" t="s">
        <v>34</v>
      </c>
      <c r="E87" s="37">
        <v>75</v>
      </c>
      <c r="F87" s="37">
        <v>100</v>
      </c>
      <c r="G87" s="37">
        <v>0</v>
      </c>
      <c r="H87" s="37">
        <v>96</v>
      </c>
      <c r="I87" s="37">
        <v>98</v>
      </c>
      <c r="J87" s="31">
        <v>0</v>
      </c>
      <c r="K87" s="31">
        <v>100</v>
      </c>
      <c r="L87" s="31">
        <v>44</v>
      </c>
      <c r="M87" s="31">
        <v>47</v>
      </c>
      <c r="N87" s="37">
        <v>21</v>
      </c>
      <c r="O87" s="31">
        <v>3</v>
      </c>
      <c r="P87" s="37">
        <v>21</v>
      </c>
      <c r="Q87" s="31">
        <v>4</v>
      </c>
      <c r="R87" s="16">
        <f t="shared" si="1"/>
        <v>16</v>
      </c>
      <c r="S87" s="37">
        <v>4</v>
      </c>
      <c r="T87" s="37">
        <v>4</v>
      </c>
      <c r="U87" s="37">
        <v>4</v>
      </c>
      <c r="V87" s="37">
        <v>4</v>
      </c>
      <c r="W87" s="31">
        <v>85</v>
      </c>
      <c r="X87" s="31">
        <v>125</v>
      </c>
      <c r="Y87" s="31">
        <v>2.5</v>
      </c>
      <c r="Z87" s="31">
        <v>5.1</v>
      </c>
      <c r="AA87" s="31">
        <v>111071</v>
      </c>
      <c r="AB87" s="31"/>
    </row>
    <row r="88" s="16" customFormat="1" spans="1:29">
      <c r="A88" s="27">
        <v>11108</v>
      </c>
      <c r="B88" s="16" t="s">
        <v>37</v>
      </c>
      <c r="C88" s="25" t="s">
        <v>304</v>
      </c>
      <c r="D88" s="27" t="s">
        <v>34</v>
      </c>
      <c r="E88" s="37">
        <v>82</v>
      </c>
      <c r="F88" s="37">
        <v>105</v>
      </c>
      <c r="G88" s="37">
        <v>0</v>
      </c>
      <c r="H88" s="37">
        <v>96</v>
      </c>
      <c r="I88" s="37">
        <v>92</v>
      </c>
      <c r="J88" s="31">
        <v>0</v>
      </c>
      <c r="K88" s="31">
        <v>101</v>
      </c>
      <c r="L88" s="31">
        <v>45</v>
      </c>
      <c r="M88" s="31">
        <v>45</v>
      </c>
      <c r="N88" s="37">
        <v>21</v>
      </c>
      <c r="O88" s="31">
        <v>3</v>
      </c>
      <c r="P88" s="37">
        <v>22</v>
      </c>
      <c r="Q88" s="31">
        <v>4</v>
      </c>
      <c r="R88" s="16">
        <f t="shared" si="1"/>
        <v>16</v>
      </c>
      <c r="S88" s="37">
        <v>4</v>
      </c>
      <c r="T88" s="37">
        <v>4</v>
      </c>
      <c r="U88" s="37">
        <v>4</v>
      </c>
      <c r="V88" s="37">
        <v>4</v>
      </c>
      <c r="W88" s="31">
        <v>95</v>
      </c>
      <c r="X88" s="31">
        <v>140</v>
      </c>
      <c r="Y88" s="31">
        <v>3.2</v>
      </c>
      <c r="Z88" s="31">
        <v>6</v>
      </c>
      <c r="AA88" s="31">
        <v>110081</v>
      </c>
      <c r="AB88" s="31"/>
      <c r="AC88" s="27" t="s">
        <v>225</v>
      </c>
    </row>
    <row r="89" s="16" customFormat="1" spans="1:29">
      <c r="A89" s="27">
        <v>11109</v>
      </c>
      <c r="B89" s="16" t="s">
        <v>37</v>
      </c>
      <c r="C89" s="25" t="s">
        <v>305</v>
      </c>
      <c r="D89" s="27" t="s">
        <v>34</v>
      </c>
      <c r="E89" s="37">
        <v>82</v>
      </c>
      <c r="F89" s="37">
        <v>105</v>
      </c>
      <c r="G89" s="37">
        <v>0</v>
      </c>
      <c r="H89" s="37">
        <v>96</v>
      </c>
      <c r="I89" s="37">
        <v>98</v>
      </c>
      <c r="J89" s="31">
        <v>0</v>
      </c>
      <c r="K89" s="31">
        <v>101</v>
      </c>
      <c r="L89" s="31">
        <v>45</v>
      </c>
      <c r="M89" s="31">
        <v>45</v>
      </c>
      <c r="N89" s="37">
        <v>21</v>
      </c>
      <c r="O89" s="31">
        <v>3</v>
      </c>
      <c r="P89" s="37">
        <v>20</v>
      </c>
      <c r="Q89" s="31">
        <v>4</v>
      </c>
      <c r="R89" s="16">
        <f t="shared" si="1"/>
        <v>16</v>
      </c>
      <c r="S89" s="37">
        <v>4</v>
      </c>
      <c r="T89" s="37">
        <v>4</v>
      </c>
      <c r="U89" s="37">
        <v>4</v>
      </c>
      <c r="V89" s="37">
        <v>4</v>
      </c>
      <c r="W89" s="31">
        <v>95</v>
      </c>
      <c r="X89" s="31">
        <v>140</v>
      </c>
      <c r="Y89" s="31">
        <v>3.2</v>
      </c>
      <c r="Z89" s="31">
        <v>6</v>
      </c>
      <c r="AA89" s="31">
        <v>111091</v>
      </c>
      <c r="AB89" s="31">
        <v>110081</v>
      </c>
      <c r="AC89" s="27" t="s">
        <v>225</v>
      </c>
    </row>
    <row r="90" s="16" customFormat="1" spans="1:29">
      <c r="A90" s="27">
        <v>11110</v>
      </c>
      <c r="B90" s="16" t="s">
        <v>37</v>
      </c>
      <c r="C90" s="25" t="s">
        <v>306</v>
      </c>
      <c r="D90" s="27" t="s">
        <v>34</v>
      </c>
      <c r="E90" s="37">
        <v>82</v>
      </c>
      <c r="F90" s="37">
        <v>107</v>
      </c>
      <c r="G90" s="37">
        <v>0</v>
      </c>
      <c r="H90" s="37">
        <v>100</v>
      </c>
      <c r="I90" s="37">
        <v>102</v>
      </c>
      <c r="J90" s="31">
        <v>0</v>
      </c>
      <c r="K90" s="31">
        <v>101</v>
      </c>
      <c r="L90" s="31">
        <v>45</v>
      </c>
      <c r="M90" s="31">
        <v>47</v>
      </c>
      <c r="N90" s="37">
        <v>21</v>
      </c>
      <c r="O90" s="31">
        <v>3</v>
      </c>
      <c r="P90" s="37">
        <v>22</v>
      </c>
      <c r="Q90" s="31">
        <v>4</v>
      </c>
      <c r="R90" s="16">
        <f t="shared" si="1"/>
        <v>12</v>
      </c>
      <c r="S90" s="37">
        <v>3</v>
      </c>
      <c r="T90" s="37">
        <v>3</v>
      </c>
      <c r="U90" s="37">
        <v>3</v>
      </c>
      <c r="V90" s="37">
        <v>3</v>
      </c>
      <c r="W90" s="31">
        <v>95</v>
      </c>
      <c r="X90" s="31">
        <v>140</v>
      </c>
      <c r="Y90" s="31">
        <v>3.2</v>
      </c>
      <c r="Z90" s="31">
        <v>6</v>
      </c>
      <c r="AA90" s="31">
        <v>111101</v>
      </c>
      <c r="AB90" s="31">
        <v>111102</v>
      </c>
      <c r="AC90" s="27" t="s">
        <v>225</v>
      </c>
    </row>
    <row r="91" spans="1:28">
      <c r="A91" s="27">
        <v>11111</v>
      </c>
      <c r="B91" s="16" t="s">
        <v>37</v>
      </c>
      <c r="C91" s="25" t="s">
        <v>307</v>
      </c>
      <c r="D91" s="27" t="s">
        <v>34</v>
      </c>
      <c r="E91" s="37">
        <v>79</v>
      </c>
      <c r="F91" s="37">
        <v>115</v>
      </c>
      <c r="G91" s="37">
        <v>0</v>
      </c>
      <c r="H91" s="37">
        <v>97</v>
      </c>
      <c r="I91" s="37">
        <v>105</v>
      </c>
      <c r="J91" s="31">
        <v>0</v>
      </c>
      <c r="K91" s="31">
        <v>102</v>
      </c>
      <c r="L91" s="31">
        <v>60</v>
      </c>
      <c r="M91" s="31">
        <v>51</v>
      </c>
      <c r="N91" s="37">
        <v>28</v>
      </c>
      <c r="O91" s="31">
        <v>3</v>
      </c>
      <c r="P91" s="37">
        <v>20</v>
      </c>
      <c r="Q91" s="31">
        <v>4</v>
      </c>
      <c r="R91" s="16">
        <f t="shared" si="1"/>
        <v>12</v>
      </c>
      <c r="S91" s="37">
        <v>3</v>
      </c>
      <c r="T91" s="37">
        <v>3</v>
      </c>
      <c r="U91" s="37">
        <v>3</v>
      </c>
      <c r="V91" s="37">
        <v>3</v>
      </c>
      <c r="W91" s="31">
        <v>95</v>
      </c>
      <c r="X91" s="31">
        <v>140</v>
      </c>
      <c r="Y91" s="31">
        <v>4.2</v>
      </c>
      <c r="Z91" s="31">
        <v>8</v>
      </c>
      <c r="AA91" s="31">
        <v>111111</v>
      </c>
      <c r="AB91" s="31">
        <v>111112</v>
      </c>
    </row>
    <row r="92" s="16" customFormat="1" spans="1:29">
      <c r="A92" s="27">
        <v>11112</v>
      </c>
      <c r="B92" s="16" t="s">
        <v>37</v>
      </c>
      <c r="C92" s="25" t="s">
        <v>308</v>
      </c>
      <c r="D92" s="27" t="s">
        <v>68</v>
      </c>
      <c r="E92" s="37">
        <v>80</v>
      </c>
      <c r="F92" s="37">
        <v>113</v>
      </c>
      <c r="G92" s="37">
        <v>0</v>
      </c>
      <c r="H92" s="37">
        <v>104</v>
      </c>
      <c r="I92" s="37">
        <v>70</v>
      </c>
      <c r="J92" s="31">
        <v>0</v>
      </c>
      <c r="K92" s="31">
        <v>102</v>
      </c>
      <c r="L92" s="31">
        <v>63</v>
      </c>
      <c r="M92" s="31">
        <v>41</v>
      </c>
      <c r="N92" s="37">
        <v>31</v>
      </c>
      <c r="O92" s="31">
        <v>3</v>
      </c>
      <c r="P92" s="37">
        <v>20</v>
      </c>
      <c r="Q92" s="31">
        <v>4</v>
      </c>
      <c r="R92" s="16">
        <f t="shared" si="1"/>
        <v>12</v>
      </c>
      <c r="S92" s="37">
        <v>3</v>
      </c>
      <c r="T92" s="37">
        <v>3</v>
      </c>
      <c r="U92" s="37">
        <v>3</v>
      </c>
      <c r="V92" s="37">
        <v>3</v>
      </c>
      <c r="W92" s="31">
        <v>90</v>
      </c>
      <c r="X92" s="31">
        <v>130</v>
      </c>
      <c r="Y92" s="31">
        <v>4.2</v>
      </c>
      <c r="Z92" s="31">
        <v>8</v>
      </c>
      <c r="AA92" s="31">
        <v>111121</v>
      </c>
      <c r="AB92" s="31"/>
      <c r="AC92" s="27" t="s">
        <v>69</v>
      </c>
    </row>
    <row r="93" spans="1:28">
      <c r="A93" s="27">
        <v>11113</v>
      </c>
      <c r="B93" s="16" t="s">
        <v>37</v>
      </c>
      <c r="C93" s="25" t="s">
        <v>42</v>
      </c>
      <c r="D93" s="27" t="s">
        <v>43</v>
      </c>
      <c r="E93" s="37">
        <v>83</v>
      </c>
      <c r="F93" s="37">
        <v>110</v>
      </c>
      <c r="G93" s="37">
        <v>0</v>
      </c>
      <c r="H93" s="37">
        <v>108</v>
      </c>
      <c r="I93" s="37">
        <v>102</v>
      </c>
      <c r="J93" s="31">
        <v>0</v>
      </c>
      <c r="K93" s="31">
        <v>102</v>
      </c>
      <c r="L93" s="31">
        <v>58</v>
      </c>
      <c r="M93" s="31">
        <v>46</v>
      </c>
      <c r="N93" s="37">
        <v>32</v>
      </c>
      <c r="O93" s="31">
        <v>3</v>
      </c>
      <c r="P93" s="37">
        <v>30</v>
      </c>
      <c r="Q93" s="31">
        <v>4</v>
      </c>
      <c r="R93" s="16">
        <f t="shared" si="1"/>
        <v>0</v>
      </c>
      <c r="S93" s="37">
        <v>0</v>
      </c>
      <c r="T93" s="37">
        <v>0</v>
      </c>
      <c r="U93" s="37">
        <v>0</v>
      </c>
      <c r="V93" s="37">
        <v>0</v>
      </c>
      <c r="W93" s="31">
        <v>90</v>
      </c>
      <c r="X93" s="31">
        <v>130</v>
      </c>
      <c r="Y93" s="31">
        <v>4.2</v>
      </c>
      <c r="Z93" s="31">
        <v>8</v>
      </c>
      <c r="AA93" s="31">
        <v>111131</v>
      </c>
      <c r="AB93" s="31">
        <v>111132</v>
      </c>
    </row>
    <row r="94" spans="1:28">
      <c r="A94" s="27">
        <v>11117</v>
      </c>
      <c r="B94" s="16" t="s">
        <v>44</v>
      </c>
      <c r="C94" s="25" t="s">
        <v>45</v>
      </c>
      <c r="D94" s="16" t="s">
        <v>31</v>
      </c>
      <c r="E94" s="16">
        <v>82</v>
      </c>
      <c r="F94" s="16">
        <v>40</v>
      </c>
      <c r="G94" s="16">
        <v>0</v>
      </c>
      <c r="H94" s="16">
        <v>85</v>
      </c>
      <c r="I94" s="16">
        <v>77</v>
      </c>
      <c r="J94" s="16">
        <v>0</v>
      </c>
      <c r="K94" s="16">
        <v>97</v>
      </c>
      <c r="L94" s="16">
        <v>66</v>
      </c>
      <c r="M94" s="16">
        <v>82</v>
      </c>
      <c r="N94" s="16">
        <v>33</v>
      </c>
      <c r="O94" s="16">
        <v>1</v>
      </c>
      <c r="P94" s="16">
        <v>6</v>
      </c>
      <c r="Q94" s="16">
        <v>4</v>
      </c>
      <c r="R94" s="16">
        <f t="shared" si="1"/>
        <v>72</v>
      </c>
      <c r="S94" s="16">
        <v>20</v>
      </c>
      <c r="T94" s="16">
        <v>25</v>
      </c>
      <c r="U94" s="16">
        <v>15</v>
      </c>
      <c r="V94" s="16">
        <v>12</v>
      </c>
      <c r="W94" s="31">
        <v>70</v>
      </c>
      <c r="X94" s="31">
        <v>65</v>
      </c>
      <c r="Y94" s="31">
        <v>2.88</v>
      </c>
      <c r="Z94" s="31">
        <v>5.4</v>
      </c>
      <c r="AA94" s="31">
        <v>111171</v>
      </c>
      <c r="AB94" s="31">
        <v>111172</v>
      </c>
    </row>
    <row r="95" spans="1:28">
      <c r="A95" s="27">
        <v>11118</v>
      </c>
      <c r="B95" s="16" t="s">
        <v>44</v>
      </c>
      <c r="C95" s="25" t="s">
        <v>46</v>
      </c>
      <c r="D95" s="16" t="s">
        <v>47</v>
      </c>
      <c r="E95" s="16">
        <v>67</v>
      </c>
      <c r="F95" s="16">
        <v>40</v>
      </c>
      <c r="G95" s="16">
        <v>0</v>
      </c>
      <c r="H95" s="16">
        <v>65</v>
      </c>
      <c r="I95" s="16">
        <v>71</v>
      </c>
      <c r="J95" s="16">
        <v>0</v>
      </c>
      <c r="K95" s="16">
        <v>91</v>
      </c>
      <c r="L95" s="16">
        <v>63</v>
      </c>
      <c r="M95" s="16">
        <v>72</v>
      </c>
      <c r="N95" s="16">
        <v>34</v>
      </c>
      <c r="O95" s="16">
        <v>1</v>
      </c>
      <c r="P95" s="16">
        <v>7</v>
      </c>
      <c r="Q95" s="16">
        <v>4</v>
      </c>
      <c r="R95" s="16">
        <f t="shared" si="1"/>
        <v>68</v>
      </c>
      <c r="S95" s="16">
        <v>16</v>
      </c>
      <c r="T95" s="16">
        <v>27</v>
      </c>
      <c r="U95" s="16">
        <v>15</v>
      </c>
      <c r="V95" s="16">
        <v>10</v>
      </c>
      <c r="W95" s="31">
        <v>70</v>
      </c>
      <c r="X95" s="31">
        <v>65</v>
      </c>
      <c r="Y95" s="31">
        <v>2.1</v>
      </c>
      <c r="Z95" s="31">
        <v>5.2</v>
      </c>
      <c r="AA95" s="31">
        <v>111181</v>
      </c>
      <c r="AB95" s="31"/>
    </row>
    <row r="96" spans="1:28">
      <c r="A96" s="27">
        <v>11120</v>
      </c>
      <c r="B96" s="16" t="s">
        <v>29</v>
      </c>
      <c r="C96" s="25" t="s">
        <v>49</v>
      </c>
      <c r="D96" s="16" t="s">
        <v>34</v>
      </c>
      <c r="E96" s="16">
        <v>60</v>
      </c>
      <c r="F96" s="16">
        <v>45</v>
      </c>
      <c r="G96" s="16">
        <v>0</v>
      </c>
      <c r="H96" s="16">
        <v>64</v>
      </c>
      <c r="I96" s="16">
        <v>83</v>
      </c>
      <c r="J96" s="16">
        <v>0</v>
      </c>
      <c r="K96" s="16">
        <v>101</v>
      </c>
      <c r="L96" s="16">
        <v>60</v>
      </c>
      <c r="M96" s="16">
        <v>65</v>
      </c>
      <c r="N96" s="16">
        <v>32</v>
      </c>
      <c r="O96" s="16">
        <v>1</v>
      </c>
      <c r="P96" s="16">
        <v>12</v>
      </c>
      <c r="Q96" s="16">
        <v>4</v>
      </c>
      <c r="R96" s="16">
        <f t="shared" si="1"/>
        <v>83</v>
      </c>
      <c r="S96" s="16">
        <v>21</v>
      </c>
      <c r="T96" s="16">
        <v>27</v>
      </c>
      <c r="U96" s="16">
        <v>23</v>
      </c>
      <c r="V96" s="16">
        <v>12</v>
      </c>
      <c r="W96" s="31">
        <v>55</v>
      </c>
      <c r="X96" s="31">
        <v>65</v>
      </c>
      <c r="Y96" s="31">
        <v>2.08</v>
      </c>
      <c r="Z96" s="31">
        <v>4</v>
      </c>
      <c r="AA96" s="31">
        <v>111201</v>
      </c>
      <c r="AB96" s="31"/>
    </row>
    <row r="97" spans="1:28">
      <c r="A97" s="27">
        <v>11121</v>
      </c>
      <c r="B97" s="16" t="s">
        <v>29</v>
      </c>
      <c r="C97" s="25" t="s">
        <v>50</v>
      </c>
      <c r="D97" s="16" t="s">
        <v>34</v>
      </c>
      <c r="E97" s="16">
        <v>60</v>
      </c>
      <c r="F97" s="16">
        <v>45</v>
      </c>
      <c r="G97" s="16">
        <v>0</v>
      </c>
      <c r="H97" s="16">
        <v>68</v>
      </c>
      <c r="I97" s="16">
        <v>95</v>
      </c>
      <c r="J97" s="16">
        <v>0</v>
      </c>
      <c r="K97" s="16">
        <v>102</v>
      </c>
      <c r="L97" s="16">
        <v>62</v>
      </c>
      <c r="M97" s="16">
        <v>73</v>
      </c>
      <c r="N97" s="16">
        <v>32</v>
      </c>
      <c r="O97" s="16">
        <v>1</v>
      </c>
      <c r="P97" s="16">
        <v>65</v>
      </c>
      <c r="Q97" s="16">
        <v>4</v>
      </c>
      <c r="R97" s="16">
        <f t="shared" si="1"/>
        <v>90</v>
      </c>
      <c r="S97" s="16">
        <v>21</v>
      </c>
      <c r="T97" s="16">
        <v>26</v>
      </c>
      <c r="U97" s="16">
        <v>28</v>
      </c>
      <c r="V97" s="16">
        <v>15</v>
      </c>
      <c r="W97" s="31">
        <v>60</v>
      </c>
      <c r="X97" s="31">
        <v>70</v>
      </c>
      <c r="Y97" s="31">
        <v>2.1</v>
      </c>
      <c r="Z97" s="31">
        <v>4</v>
      </c>
      <c r="AA97" s="31">
        <v>111211</v>
      </c>
      <c r="AB97" s="31">
        <v>111212</v>
      </c>
    </row>
    <row r="98" spans="1:28">
      <c r="A98" s="27">
        <v>11123</v>
      </c>
      <c r="B98" s="16" t="s">
        <v>237</v>
      </c>
      <c r="C98" s="25" t="s">
        <v>309</v>
      </c>
      <c r="D98" s="16" t="s">
        <v>34</v>
      </c>
      <c r="E98" s="16">
        <v>50</v>
      </c>
      <c r="F98" s="16">
        <v>30</v>
      </c>
      <c r="G98" s="16">
        <v>0</v>
      </c>
      <c r="H98" s="16">
        <v>37</v>
      </c>
      <c r="I98" s="16">
        <v>73</v>
      </c>
      <c r="J98" s="16">
        <v>0</v>
      </c>
      <c r="K98" s="16">
        <v>95</v>
      </c>
      <c r="L98" s="16">
        <v>46</v>
      </c>
      <c r="M98" s="16">
        <v>67</v>
      </c>
      <c r="N98" s="16">
        <v>16.5</v>
      </c>
      <c r="O98" s="16">
        <v>1</v>
      </c>
      <c r="P98" s="16">
        <v>26</v>
      </c>
      <c r="Q98" s="16">
        <v>3</v>
      </c>
      <c r="R98" s="16">
        <f t="shared" si="1"/>
        <v>32</v>
      </c>
      <c r="S98" s="16">
        <v>16</v>
      </c>
      <c r="T98" s="16">
        <v>12</v>
      </c>
      <c r="U98" s="16">
        <v>4</v>
      </c>
      <c r="V98" s="16">
        <v>0</v>
      </c>
      <c r="W98" s="31">
        <v>30</v>
      </c>
      <c r="X98" s="31">
        <v>35</v>
      </c>
      <c r="Y98" s="31">
        <v>1.12</v>
      </c>
      <c r="Z98" s="31">
        <v>2.1</v>
      </c>
      <c r="AA98" s="31">
        <v>111231</v>
      </c>
      <c r="AB98" s="31"/>
    </row>
    <row r="99" spans="1:28">
      <c r="A99" s="27">
        <v>11124</v>
      </c>
      <c r="B99" s="16" t="s">
        <v>237</v>
      </c>
      <c r="C99" s="25" t="s">
        <v>310</v>
      </c>
      <c r="D99" s="16" t="s">
        <v>39</v>
      </c>
      <c r="E99" s="16">
        <v>50</v>
      </c>
      <c r="F99" s="16">
        <v>30</v>
      </c>
      <c r="G99" s="16">
        <v>0</v>
      </c>
      <c r="H99" s="16">
        <v>37</v>
      </c>
      <c r="I99" s="16">
        <v>70</v>
      </c>
      <c r="J99" s="16">
        <v>16</v>
      </c>
      <c r="K99" s="16">
        <v>96</v>
      </c>
      <c r="L99" s="16">
        <v>46</v>
      </c>
      <c r="M99" s="16">
        <v>67</v>
      </c>
      <c r="N99" s="16">
        <v>16.5</v>
      </c>
      <c r="O99" s="16">
        <v>1</v>
      </c>
      <c r="P99" s="16">
        <v>25</v>
      </c>
      <c r="Q99" s="16">
        <v>3</v>
      </c>
      <c r="R99" s="16">
        <f t="shared" si="1"/>
        <v>32</v>
      </c>
      <c r="S99" s="16">
        <v>16</v>
      </c>
      <c r="T99" s="16">
        <v>12</v>
      </c>
      <c r="U99" s="16">
        <v>4</v>
      </c>
      <c r="V99" s="16">
        <v>0</v>
      </c>
      <c r="W99" s="31">
        <v>30</v>
      </c>
      <c r="X99" s="31">
        <v>35</v>
      </c>
      <c r="Y99" s="31">
        <v>1.28</v>
      </c>
      <c r="Z99" s="31">
        <v>2.4</v>
      </c>
      <c r="AA99" s="31">
        <v>111231</v>
      </c>
      <c r="AB99" s="31"/>
    </row>
    <row r="100" spans="1:28">
      <c r="A100" s="27">
        <v>11125</v>
      </c>
      <c r="B100" s="16" t="s">
        <v>237</v>
      </c>
      <c r="C100" s="25" t="s">
        <v>311</v>
      </c>
      <c r="D100" s="16" t="s">
        <v>43</v>
      </c>
      <c r="E100" s="16">
        <v>55</v>
      </c>
      <c r="F100" s="16">
        <v>35</v>
      </c>
      <c r="G100" s="16">
        <v>0</v>
      </c>
      <c r="H100" s="16">
        <v>41</v>
      </c>
      <c r="I100" s="16">
        <v>85</v>
      </c>
      <c r="J100" s="16">
        <v>0</v>
      </c>
      <c r="K100" s="16">
        <v>95</v>
      </c>
      <c r="L100" s="16">
        <v>61</v>
      </c>
      <c r="M100" s="16">
        <v>72</v>
      </c>
      <c r="N100" s="16">
        <v>25</v>
      </c>
      <c r="O100" s="16">
        <v>1</v>
      </c>
      <c r="P100" s="16">
        <v>27</v>
      </c>
      <c r="Q100" s="16">
        <v>3</v>
      </c>
      <c r="R100" s="16">
        <f t="shared" si="1"/>
        <v>46</v>
      </c>
      <c r="S100" s="16">
        <v>15</v>
      </c>
      <c r="T100" s="16">
        <v>23</v>
      </c>
      <c r="U100" s="16">
        <v>8</v>
      </c>
      <c r="V100" s="16">
        <v>0</v>
      </c>
      <c r="W100" s="31">
        <v>50</v>
      </c>
      <c r="X100" s="31">
        <v>50</v>
      </c>
      <c r="Y100" s="31">
        <v>1.15</v>
      </c>
      <c r="Z100" s="31">
        <v>2.2</v>
      </c>
      <c r="AA100" s="31">
        <v>111251</v>
      </c>
      <c r="AB100" s="31"/>
    </row>
    <row r="101" spans="1:28">
      <c r="A101" s="27">
        <v>11126</v>
      </c>
      <c r="B101" s="16" t="s">
        <v>237</v>
      </c>
      <c r="C101" s="25" t="s">
        <v>312</v>
      </c>
      <c r="D101" s="16" t="s">
        <v>34</v>
      </c>
      <c r="E101" s="16">
        <v>51</v>
      </c>
      <c r="F101" s="16">
        <v>30</v>
      </c>
      <c r="G101" s="16">
        <v>0</v>
      </c>
      <c r="H101" s="16">
        <v>43</v>
      </c>
      <c r="I101" s="16">
        <v>82</v>
      </c>
      <c r="J101" s="16">
        <v>0</v>
      </c>
      <c r="K101" s="16">
        <v>95</v>
      </c>
      <c r="L101" s="16">
        <v>63</v>
      </c>
      <c r="M101" s="16">
        <v>72</v>
      </c>
      <c r="N101" s="16">
        <v>31</v>
      </c>
      <c r="O101" s="16">
        <v>1</v>
      </c>
      <c r="P101" s="16">
        <v>10</v>
      </c>
      <c r="Q101" s="16">
        <v>3</v>
      </c>
      <c r="R101" s="16">
        <f t="shared" si="1"/>
        <v>39</v>
      </c>
      <c r="S101" s="16">
        <v>10</v>
      </c>
      <c r="T101" s="16">
        <v>19</v>
      </c>
      <c r="U101" s="16">
        <v>10</v>
      </c>
      <c r="V101" s="16">
        <v>0</v>
      </c>
      <c r="W101" s="31">
        <v>30</v>
      </c>
      <c r="X101" s="31">
        <v>35</v>
      </c>
      <c r="Y101" s="31">
        <v>1.12</v>
      </c>
      <c r="Z101" s="31">
        <v>2.1</v>
      </c>
      <c r="AA101" s="31">
        <v>111261</v>
      </c>
      <c r="AB101" s="31"/>
    </row>
    <row r="102" spans="1:28">
      <c r="A102" s="27">
        <v>11130</v>
      </c>
      <c r="B102" s="16" t="s">
        <v>51</v>
      </c>
      <c r="C102" s="25" t="s">
        <v>313</v>
      </c>
      <c r="D102" s="27" t="s">
        <v>47</v>
      </c>
      <c r="E102" s="31">
        <v>62</v>
      </c>
      <c r="F102" s="31">
        <v>77</v>
      </c>
      <c r="G102" s="31">
        <v>48</v>
      </c>
      <c r="H102" s="31">
        <v>58</v>
      </c>
      <c r="I102" s="31">
        <v>59</v>
      </c>
      <c r="J102" s="31">
        <v>0</v>
      </c>
      <c r="K102" s="31">
        <v>95</v>
      </c>
      <c r="L102" s="31">
        <v>66</v>
      </c>
      <c r="M102" s="31">
        <v>47</v>
      </c>
      <c r="N102" s="31">
        <v>27.5</v>
      </c>
      <c r="O102" s="31">
        <v>3</v>
      </c>
      <c r="P102" s="31">
        <v>10</v>
      </c>
      <c r="Q102" s="31">
        <v>4</v>
      </c>
      <c r="R102" s="16">
        <f t="shared" si="1"/>
        <v>6</v>
      </c>
      <c r="S102" s="31">
        <v>2</v>
      </c>
      <c r="T102" s="31">
        <v>2</v>
      </c>
      <c r="U102" s="31">
        <v>2</v>
      </c>
      <c r="V102" s="31">
        <v>0</v>
      </c>
      <c r="W102" s="31">
        <v>35</v>
      </c>
      <c r="X102" s="31">
        <v>80</v>
      </c>
      <c r="Y102" s="31">
        <v>1.28</v>
      </c>
      <c r="Z102" s="31">
        <v>2.64</v>
      </c>
      <c r="AA102" s="31">
        <v>111301</v>
      </c>
      <c r="AB102" s="31">
        <v>111302</v>
      </c>
    </row>
    <row r="103" spans="1:28">
      <c r="A103" s="27">
        <v>11131</v>
      </c>
      <c r="B103" s="16" t="s">
        <v>84</v>
      </c>
      <c r="C103" s="16" t="s">
        <v>314</v>
      </c>
      <c r="D103" s="27" t="s">
        <v>31</v>
      </c>
      <c r="E103" s="31">
        <v>46</v>
      </c>
      <c r="F103" s="31">
        <v>57</v>
      </c>
      <c r="G103" s="31">
        <v>68</v>
      </c>
      <c r="H103" s="31">
        <v>49</v>
      </c>
      <c r="I103" s="31">
        <v>57</v>
      </c>
      <c r="J103" s="31">
        <v>0</v>
      </c>
      <c r="K103" s="31">
        <v>97</v>
      </c>
      <c r="L103" s="31">
        <v>87</v>
      </c>
      <c r="M103" s="31">
        <v>53</v>
      </c>
      <c r="N103" s="31">
        <v>35</v>
      </c>
      <c r="O103" s="31">
        <v>2</v>
      </c>
      <c r="P103" s="31">
        <v>13</v>
      </c>
      <c r="Q103" s="31">
        <v>4</v>
      </c>
      <c r="R103" s="16">
        <f t="shared" si="1"/>
        <v>6</v>
      </c>
      <c r="S103" s="31">
        <v>2</v>
      </c>
      <c r="T103" s="31">
        <v>2</v>
      </c>
      <c r="U103" s="31">
        <v>2</v>
      </c>
      <c r="V103" s="31">
        <v>0</v>
      </c>
      <c r="W103" s="31">
        <v>40</v>
      </c>
      <c r="X103" s="31">
        <v>65</v>
      </c>
      <c r="Y103" s="31">
        <v>1.28</v>
      </c>
      <c r="Z103" s="31">
        <v>2.4</v>
      </c>
      <c r="AA103" s="31">
        <v>111311</v>
      </c>
      <c r="AB103" s="31"/>
    </row>
    <row r="104" spans="1:28">
      <c r="A104" s="27">
        <v>11132</v>
      </c>
      <c r="B104" s="16" t="s">
        <v>84</v>
      </c>
      <c r="C104" s="16" t="s">
        <v>315</v>
      </c>
      <c r="D104" s="27" t="s">
        <v>31</v>
      </c>
      <c r="E104" s="31">
        <v>46</v>
      </c>
      <c r="F104" s="31">
        <v>57</v>
      </c>
      <c r="G104" s="31">
        <v>68</v>
      </c>
      <c r="H104" s="31">
        <v>49</v>
      </c>
      <c r="I104" s="31">
        <v>57</v>
      </c>
      <c r="J104" s="31">
        <v>0</v>
      </c>
      <c r="K104" s="31">
        <v>97</v>
      </c>
      <c r="L104" s="31">
        <v>87</v>
      </c>
      <c r="M104" s="31">
        <v>49</v>
      </c>
      <c r="N104" s="31">
        <v>35</v>
      </c>
      <c r="O104" s="31">
        <v>2</v>
      </c>
      <c r="P104" s="31">
        <v>15</v>
      </c>
      <c r="Q104" s="31">
        <v>4</v>
      </c>
      <c r="R104" s="16">
        <f t="shared" si="1"/>
        <v>8</v>
      </c>
      <c r="S104" s="31">
        <v>2</v>
      </c>
      <c r="T104" s="31">
        <v>2</v>
      </c>
      <c r="U104" s="31">
        <v>2</v>
      </c>
      <c r="V104" s="31">
        <v>2</v>
      </c>
      <c r="W104" s="31">
        <v>40</v>
      </c>
      <c r="X104" s="31">
        <v>65</v>
      </c>
      <c r="Y104" s="31">
        <v>1.28</v>
      </c>
      <c r="Z104" s="31">
        <v>2.4</v>
      </c>
      <c r="AA104" s="31">
        <v>111321</v>
      </c>
      <c r="AB104" s="31"/>
    </row>
    <row r="105" spans="1:28">
      <c r="A105" s="27">
        <v>11133</v>
      </c>
      <c r="B105" s="16" t="s">
        <v>84</v>
      </c>
      <c r="C105" s="16" t="s">
        <v>316</v>
      </c>
      <c r="D105" s="27" t="s">
        <v>31</v>
      </c>
      <c r="E105" s="31">
        <v>47</v>
      </c>
      <c r="F105" s="31">
        <v>57</v>
      </c>
      <c r="G105" s="31">
        <v>68</v>
      </c>
      <c r="H105" s="31">
        <v>49</v>
      </c>
      <c r="I105" s="31">
        <v>59</v>
      </c>
      <c r="J105" s="31">
        <v>0</v>
      </c>
      <c r="K105" s="31">
        <v>97</v>
      </c>
      <c r="L105" s="31">
        <v>86</v>
      </c>
      <c r="M105" s="31">
        <v>49</v>
      </c>
      <c r="N105" s="31">
        <v>35</v>
      </c>
      <c r="O105" s="31">
        <v>2</v>
      </c>
      <c r="P105" s="31">
        <v>20</v>
      </c>
      <c r="Q105" s="31">
        <v>4</v>
      </c>
      <c r="R105" s="16">
        <f t="shared" si="1"/>
        <v>6</v>
      </c>
      <c r="S105" s="31">
        <v>2</v>
      </c>
      <c r="T105" s="31">
        <v>2</v>
      </c>
      <c r="U105" s="31">
        <v>2</v>
      </c>
      <c r="V105" s="31">
        <v>0</v>
      </c>
      <c r="W105" s="31">
        <v>40</v>
      </c>
      <c r="X105" s="31">
        <v>65</v>
      </c>
      <c r="Y105" s="31">
        <v>1.28</v>
      </c>
      <c r="Z105" s="31">
        <v>2.4</v>
      </c>
      <c r="AA105" s="31">
        <v>111331</v>
      </c>
      <c r="AB105" s="31"/>
    </row>
    <row r="106" spans="1:28">
      <c r="A106" s="27">
        <v>11135</v>
      </c>
      <c r="B106" s="16" t="s">
        <v>84</v>
      </c>
      <c r="C106" s="16" t="s">
        <v>317</v>
      </c>
      <c r="D106" s="27" t="s">
        <v>39</v>
      </c>
      <c r="E106" s="31">
        <v>60</v>
      </c>
      <c r="F106" s="31">
        <v>65</v>
      </c>
      <c r="G106" s="31">
        <v>60</v>
      </c>
      <c r="H106" s="31">
        <v>50</v>
      </c>
      <c r="I106" s="31">
        <v>79</v>
      </c>
      <c r="J106" s="31">
        <v>0</v>
      </c>
      <c r="K106" s="31">
        <v>97</v>
      </c>
      <c r="L106" s="31">
        <v>83</v>
      </c>
      <c r="M106" s="31">
        <v>63</v>
      </c>
      <c r="N106" s="31">
        <v>32.5</v>
      </c>
      <c r="O106" s="31">
        <v>2</v>
      </c>
      <c r="P106" s="31">
        <v>13</v>
      </c>
      <c r="Q106" s="31">
        <v>4</v>
      </c>
      <c r="R106" s="16">
        <f t="shared" si="1"/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35</v>
      </c>
      <c r="X106" s="31">
        <v>70</v>
      </c>
      <c r="Y106" s="31">
        <v>1.28</v>
      </c>
      <c r="Z106" s="31">
        <v>2.4</v>
      </c>
      <c r="AA106" s="31">
        <v>111351</v>
      </c>
      <c r="AB106" s="31"/>
    </row>
    <row r="107" spans="1:28">
      <c r="A107" s="27">
        <v>11136</v>
      </c>
      <c r="B107" s="16" t="s">
        <v>84</v>
      </c>
      <c r="C107" s="16" t="s">
        <v>318</v>
      </c>
      <c r="D107" s="27" t="s">
        <v>39</v>
      </c>
      <c r="E107" s="31">
        <v>59</v>
      </c>
      <c r="F107" s="31">
        <v>64</v>
      </c>
      <c r="G107" s="31">
        <v>60</v>
      </c>
      <c r="H107" s="31">
        <v>45</v>
      </c>
      <c r="I107" s="31">
        <v>75</v>
      </c>
      <c r="J107" s="31">
        <v>0</v>
      </c>
      <c r="K107" s="31">
        <v>97</v>
      </c>
      <c r="L107" s="31">
        <v>82</v>
      </c>
      <c r="M107" s="31">
        <v>62</v>
      </c>
      <c r="N107" s="31">
        <v>32.5</v>
      </c>
      <c r="O107" s="31">
        <v>2</v>
      </c>
      <c r="P107" s="31">
        <v>15</v>
      </c>
      <c r="Q107" s="31">
        <v>4</v>
      </c>
      <c r="R107" s="16">
        <f t="shared" si="1"/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35</v>
      </c>
      <c r="X107" s="31">
        <v>70</v>
      </c>
      <c r="Y107" s="31">
        <v>1.28</v>
      </c>
      <c r="Z107" s="31">
        <v>2.4</v>
      </c>
      <c r="AA107" s="31">
        <v>111351</v>
      </c>
      <c r="AB107" s="31"/>
    </row>
    <row r="108" spans="1:28">
      <c r="A108" s="27">
        <v>11137</v>
      </c>
      <c r="B108" s="16" t="s">
        <v>84</v>
      </c>
      <c r="C108" s="16" t="s">
        <v>319</v>
      </c>
      <c r="D108" s="27" t="s">
        <v>34</v>
      </c>
      <c r="E108" s="31">
        <v>52</v>
      </c>
      <c r="F108" s="31">
        <v>73</v>
      </c>
      <c r="G108" s="31">
        <v>0</v>
      </c>
      <c r="H108" s="31">
        <v>55</v>
      </c>
      <c r="I108" s="31">
        <v>86</v>
      </c>
      <c r="J108" s="31">
        <v>0</v>
      </c>
      <c r="K108" s="31">
        <v>97</v>
      </c>
      <c r="L108" s="31">
        <v>83</v>
      </c>
      <c r="M108" s="31">
        <v>53</v>
      </c>
      <c r="N108" s="31">
        <v>32.7</v>
      </c>
      <c r="O108" s="31">
        <v>2</v>
      </c>
      <c r="P108" s="31">
        <v>23</v>
      </c>
      <c r="Q108" s="31">
        <v>4</v>
      </c>
      <c r="R108" s="16">
        <f t="shared" si="1"/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40</v>
      </c>
      <c r="X108" s="31">
        <v>70</v>
      </c>
      <c r="Y108" s="31">
        <v>1.28</v>
      </c>
      <c r="Z108" s="31">
        <v>2.4</v>
      </c>
      <c r="AA108" s="31">
        <v>111371</v>
      </c>
      <c r="AB108" s="31"/>
    </row>
    <row r="109" spans="1:28">
      <c r="A109" s="27">
        <v>11139</v>
      </c>
      <c r="B109" s="16" t="s">
        <v>84</v>
      </c>
      <c r="C109" s="16" t="s">
        <v>320</v>
      </c>
      <c r="D109" s="27" t="s">
        <v>34</v>
      </c>
      <c r="E109" s="31">
        <v>52</v>
      </c>
      <c r="F109" s="31">
        <v>75</v>
      </c>
      <c r="G109" s="31">
        <v>0</v>
      </c>
      <c r="H109" s="31">
        <v>55</v>
      </c>
      <c r="I109" s="31">
        <v>88</v>
      </c>
      <c r="J109" s="31">
        <v>0</v>
      </c>
      <c r="K109" s="31">
        <v>97</v>
      </c>
      <c r="L109" s="31">
        <v>82</v>
      </c>
      <c r="M109" s="31">
        <v>53</v>
      </c>
      <c r="N109" s="31">
        <v>32.5</v>
      </c>
      <c r="O109" s="31">
        <v>2</v>
      </c>
      <c r="P109" s="31">
        <v>27</v>
      </c>
      <c r="Q109" s="31">
        <v>4</v>
      </c>
      <c r="R109" s="16">
        <f t="shared" si="1"/>
        <v>8</v>
      </c>
      <c r="S109" s="31">
        <v>2</v>
      </c>
      <c r="T109" s="31">
        <v>2</v>
      </c>
      <c r="U109" s="31">
        <v>2</v>
      </c>
      <c r="V109" s="31">
        <v>2</v>
      </c>
      <c r="W109" s="31">
        <v>40</v>
      </c>
      <c r="X109" s="31">
        <v>70</v>
      </c>
      <c r="Y109" s="31">
        <v>1.28</v>
      </c>
      <c r="Z109" s="31">
        <v>2.4</v>
      </c>
      <c r="AA109" s="31">
        <v>111391</v>
      </c>
      <c r="AB109" s="31"/>
    </row>
    <row r="110" spans="1:28">
      <c r="A110" s="27">
        <v>11141</v>
      </c>
      <c r="B110" s="16" t="s">
        <v>84</v>
      </c>
      <c r="C110" s="16" t="s">
        <v>321</v>
      </c>
      <c r="D110" s="27" t="s">
        <v>34</v>
      </c>
      <c r="E110" s="31">
        <v>55</v>
      </c>
      <c r="F110" s="31">
        <v>73</v>
      </c>
      <c r="G110" s="31">
        <v>0</v>
      </c>
      <c r="H110" s="31">
        <v>57</v>
      </c>
      <c r="I110" s="31">
        <v>80</v>
      </c>
      <c r="J110" s="31">
        <v>0</v>
      </c>
      <c r="K110" s="31">
        <v>97</v>
      </c>
      <c r="L110" s="31">
        <v>83</v>
      </c>
      <c r="M110" s="31">
        <v>64</v>
      </c>
      <c r="N110" s="31">
        <v>32.5</v>
      </c>
      <c r="O110" s="31">
        <v>2</v>
      </c>
      <c r="P110" s="31">
        <v>15</v>
      </c>
      <c r="Q110" s="31">
        <v>4</v>
      </c>
      <c r="R110" s="16">
        <f t="shared" si="1"/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40</v>
      </c>
      <c r="X110" s="31">
        <v>70</v>
      </c>
      <c r="Y110" s="31">
        <v>1.28</v>
      </c>
      <c r="Z110" s="31">
        <v>2.4</v>
      </c>
      <c r="AA110" s="31">
        <v>111411</v>
      </c>
      <c r="AB110" s="31"/>
    </row>
    <row r="111" spans="1:28">
      <c r="A111" s="27">
        <v>11142</v>
      </c>
      <c r="B111" s="16" t="s">
        <v>84</v>
      </c>
      <c r="C111" s="16" t="s">
        <v>322</v>
      </c>
      <c r="D111" s="27" t="s">
        <v>34</v>
      </c>
      <c r="E111" s="31">
        <v>55</v>
      </c>
      <c r="F111" s="31">
        <v>73</v>
      </c>
      <c r="G111" s="31">
        <v>0</v>
      </c>
      <c r="H111" s="31">
        <v>57</v>
      </c>
      <c r="I111" s="31">
        <v>75</v>
      </c>
      <c r="J111" s="31">
        <v>0</v>
      </c>
      <c r="K111" s="31">
        <v>97</v>
      </c>
      <c r="L111" s="31">
        <v>83</v>
      </c>
      <c r="M111" s="31">
        <v>64</v>
      </c>
      <c r="N111" s="31">
        <v>32.5</v>
      </c>
      <c r="O111" s="31">
        <v>2</v>
      </c>
      <c r="P111" s="31">
        <v>15</v>
      </c>
      <c r="Q111" s="31">
        <v>4</v>
      </c>
      <c r="R111" s="16">
        <f t="shared" si="1"/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40</v>
      </c>
      <c r="X111" s="31">
        <v>70</v>
      </c>
      <c r="Y111" s="31">
        <v>1.28</v>
      </c>
      <c r="Z111" s="31">
        <v>2.4</v>
      </c>
      <c r="AA111" s="31">
        <v>110401</v>
      </c>
      <c r="AB111" s="31"/>
    </row>
    <row r="112" spans="1:28">
      <c r="A112" s="27">
        <v>11143</v>
      </c>
      <c r="B112" s="16" t="s">
        <v>84</v>
      </c>
      <c r="C112" s="16" t="s">
        <v>323</v>
      </c>
      <c r="D112" s="27" t="s">
        <v>34</v>
      </c>
      <c r="E112" s="31">
        <v>58</v>
      </c>
      <c r="F112" s="31">
        <v>73</v>
      </c>
      <c r="G112" s="31">
        <v>0</v>
      </c>
      <c r="H112" s="31">
        <v>56</v>
      </c>
      <c r="I112" s="31">
        <v>85</v>
      </c>
      <c r="J112" s="31">
        <v>0</v>
      </c>
      <c r="K112" s="31">
        <v>97</v>
      </c>
      <c r="L112" s="31">
        <v>83</v>
      </c>
      <c r="M112" s="31">
        <v>63</v>
      </c>
      <c r="N112" s="31">
        <v>32.7</v>
      </c>
      <c r="O112" s="31">
        <v>2</v>
      </c>
      <c r="P112" s="31">
        <v>20</v>
      </c>
      <c r="Q112" s="31">
        <v>4</v>
      </c>
      <c r="R112" s="16">
        <f t="shared" si="1"/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40</v>
      </c>
      <c r="X112" s="31">
        <v>70</v>
      </c>
      <c r="Y112" s="31">
        <v>1.28</v>
      </c>
      <c r="Z112" s="31">
        <v>2.4</v>
      </c>
      <c r="AA112" s="31">
        <v>111431</v>
      </c>
      <c r="AB112" s="31"/>
    </row>
    <row r="113" s="16" customFormat="1" spans="1:29">
      <c r="A113" s="41">
        <v>11158</v>
      </c>
      <c r="B113" s="16" t="s">
        <v>131</v>
      </c>
      <c r="C113" s="41" t="s">
        <v>324</v>
      </c>
      <c r="D113" s="16" t="s">
        <v>34</v>
      </c>
      <c r="E113" s="16">
        <v>42</v>
      </c>
      <c r="F113" s="16">
        <v>67</v>
      </c>
      <c r="G113" s="16">
        <v>0</v>
      </c>
      <c r="H113" s="16">
        <v>49</v>
      </c>
      <c r="I113" s="16">
        <v>108</v>
      </c>
      <c r="J113" s="16">
        <v>110</v>
      </c>
      <c r="K113" s="26">
        <v>96</v>
      </c>
      <c r="L113" s="16">
        <v>79</v>
      </c>
      <c r="M113" s="16">
        <v>44</v>
      </c>
      <c r="N113" s="16">
        <v>33.6</v>
      </c>
      <c r="O113" s="16">
        <v>2</v>
      </c>
      <c r="P113" s="16">
        <v>20</v>
      </c>
      <c r="Q113" s="16">
        <v>3</v>
      </c>
      <c r="R113" s="39">
        <f t="shared" si="1"/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25</v>
      </c>
      <c r="X113" s="16">
        <v>30</v>
      </c>
      <c r="Y113" s="16">
        <v>0.8</v>
      </c>
      <c r="Z113" s="16">
        <v>1.5</v>
      </c>
      <c r="AA113" s="16">
        <v>111581</v>
      </c>
      <c r="AC113" s="27" t="s">
        <v>259</v>
      </c>
    </row>
    <row r="114" spans="1:28">
      <c r="A114" s="27">
        <v>11160</v>
      </c>
      <c r="B114" s="16" t="s">
        <v>131</v>
      </c>
      <c r="C114" s="16" t="s">
        <v>325</v>
      </c>
      <c r="D114" s="27" t="s">
        <v>72</v>
      </c>
      <c r="E114" s="31">
        <v>43</v>
      </c>
      <c r="F114" s="31">
        <v>58</v>
      </c>
      <c r="G114" s="31">
        <v>67</v>
      </c>
      <c r="H114" s="31">
        <v>38</v>
      </c>
      <c r="I114" s="31">
        <v>67</v>
      </c>
      <c r="J114" s="31">
        <v>72</v>
      </c>
      <c r="K114" s="31">
        <v>96</v>
      </c>
      <c r="L114" s="31">
        <v>80</v>
      </c>
      <c r="M114" s="31">
        <v>29</v>
      </c>
      <c r="N114" s="31">
        <v>35</v>
      </c>
      <c r="O114" s="31">
        <v>2</v>
      </c>
      <c r="P114" s="31">
        <v>20</v>
      </c>
      <c r="Q114" s="31">
        <v>3</v>
      </c>
      <c r="R114" s="16">
        <f t="shared" si="1"/>
        <v>6</v>
      </c>
      <c r="S114" s="31">
        <v>2</v>
      </c>
      <c r="T114" s="31">
        <v>2</v>
      </c>
      <c r="U114" s="31">
        <v>2</v>
      </c>
      <c r="V114" s="31">
        <v>0</v>
      </c>
      <c r="W114" s="31">
        <v>25</v>
      </c>
      <c r="X114" s="31">
        <v>25</v>
      </c>
      <c r="Y114" s="31">
        <v>0.8</v>
      </c>
      <c r="Z114" s="31">
        <v>1.5</v>
      </c>
      <c r="AA114" s="31">
        <v>111601</v>
      </c>
      <c r="AB114" s="31"/>
    </row>
    <row r="115" spans="1:28">
      <c r="A115" s="27">
        <v>11162</v>
      </c>
      <c r="B115" s="16" t="s">
        <v>131</v>
      </c>
      <c r="C115" s="16" t="s">
        <v>326</v>
      </c>
      <c r="D115" s="27" t="s">
        <v>89</v>
      </c>
      <c r="E115" s="31">
        <v>33</v>
      </c>
      <c r="F115" s="31">
        <v>47</v>
      </c>
      <c r="G115" s="31">
        <v>58</v>
      </c>
      <c r="H115" s="31">
        <v>33</v>
      </c>
      <c r="I115" s="31">
        <v>65</v>
      </c>
      <c r="J115" s="31">
        <v>80</v>
      </c>
      <c r="K115" s="31">
        <v>97</v>
      </c>
      <c r="L115" s="31">
        <v>68</v>
      </c>
      <c r="M115" s="31">
        <v>38</v>
      </c>
      <c r="N115" s="31">
        <v>20</v>
      </c>
      <c r="O115" s="31">
        <v>2</v>
      </c>
      <c r="P115" s="31">
        <v>35</v>
      </c>
      <c r="Q115" s="31">
        <v>3</v>
      </c>
      <c r="R115" s="16">
        <f t="shared" si="1"/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30</v>
      </c>
      <c r="X115" s="31">
        <v>35</v>
      </c>
      <c r="Y115" s="31">
        <v>0.8</v>
      </c>
      <c r="Z115" s="31">
        <v>1.5</v>
      </c>
      <c r="AA115" s="31">
        <v>111621</v>
      </c>
      <c r="AB115" s="31"/>
    </row>
    <row r="116" spans="1:28">
      <c r="A116" s="27">
        <v>11164</v>
      </c>
      <c r="B116" s="16" t="s">
        <v>265</v>
      </c>
      <c r="C116" s="16" t="s">
        <v>327</v>
      </c>
      <c r="D116" s="27" t="s">
        <v>31</v>
      </c>
      <c r="E116" s="31">
        <v>34</v>
      </c>
      <c r="F116" s="31">
        <v>40</v>
      </c>
      <c r="G116" s="31">
        <v>85</v>
      </c>
      <c r="H116" s="31">
        <v>38</v>
      </c>
      <c r="I116" s="31">
        <v>70</v>
      </c>
      <c r="J116" s="31">
        <v>70</v>
      </c>
      <c r="K116" s="31">
        <v>93</v>
      </c>
      <c r="L116" s="31">
        <v>84</v>
      </c>
      <c r="M116" s="31">
        <v>41</v>
      </c>
      <c r="N116" s="31">
        <v>33</v>
      </c>
      <c r="O116" s="31">
        <v>1</v>
      </c>
      <c r="P116" s="31">
        <v>10</v>
      </c>
      <c r="Q116" s="31">
        <v>3</v>
      </c>
      <c r="R116" s="16">
        <f t="shared" si="1"/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15</v>
      </c>
      <c r="X116" s="31">
        <v>25</v>
      </c>
      <c r="Y116" s="31">
        <v>0.48</v>
      </c>
      <c r="Z116" s="31">
        <v>0.9</v>
      </c>
      <c r="AA116" s="31">
        <v>111641</v>
      </c>
      <c r="AB116" s="31"/>
    </row>
    <row r="117" spans="1:28">
      <c r="A117" s="27">
        <v>11165</v>
      </c>
      <c r="B117" s="16" t="s">
        <v>265</v>
      </c>
      <c r="C117" s="16" t="s">
        <v>328</v>
      </c>
      <c r="D117" s="27" t="s">
        <v>31</v>
      </c>
      <c r="E117" s="31">
        <v>34</v>
      </c>
      <c r="F117" s="31">
        <v>40</v>
      </c>
      <c r="G117" s="31">
        <v>85</v>
      </c>
      <c r="H117" s="31">
        <v>38</v>
      </c>
      <c r="I117" s="31">
        <v>72</v>
      </c>
      <c r="J117" s="31">
        <v>67</v>
      </c>
      <c r="K117" s="31">
        <v>92</v>
      </c>
      <c r="L117" s="31">
        <v>84</v>
      </c>
      <c r="M117" s="31">
        <v>41</v>
      </c>
      <c r="N117" s="31">
        <v>34</v>
      </c>
      <c r="O117" s="31">
        <v>1</v>
      </c>
      <c r="P117" s="31">
        <v>15</v>
      </c>
      <c r="Q117" s="31">
        <v>3</v>
      </c>
      <c r="R117" s="16">
        <f t="shared" si="1"/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15</v>
      </c>
      <c r="X117" s="31">
        <v>25</v>
      </c>
      <c r="Y117" s="31">
        <v>0.48</v>
      </c>
      <c r="Z117" s="31">
        <v>0.9</v>
      </c>
      <c r="AA117" s="31">
        <v>111641</v>
      </c>
      <c r="AB117" s="31"/>
    </row>
    <row r="118" spans="1:28">
      <c r="A118" s="27">
        <v>11166</v>
      </c>
      <c r="B118" s="16" t="s">
        <v>265</v>
      </c>
      <c r="C118" s="16" t="s">
        <v>329</v>
      </c>
      <c r="D118" s="27" t="s">
        <v>31</v>
      </c>
      <c r="E118" s="31">
        <v>31</v>
      </c>
      <c r="F118" s="31">
        <v>38</v>
      </c>
      <c r="G118" s="31">
        <v>97</v>
      </c>
      <c r="H118" s="31">
        <v>38</v>
      </c>
      <c r="I118" s="31">
        <v>55</v>
      </c>
      <c r="J118" s="31">
        <v>69</v>
      </c>
      <c r="K118" s="31">
        <v>93</v>
      </c>
      <c r="L118" s="31">
        <v>94</v>
      </c>
      <c r="M118" s="31">
        <v>39</v>
      </c>
      <c r="N118" s="31">
        <v>34</v>
      </c>
      <c r="O118" s="31">
        <v>1</v>
      </c>
      <c r="P118" s="31">
        <v>10</v>
      </c>
      <c r="Q118" s="31">
        <v>3</v>
      </c>
      <c r="R118" s="16">
        <f t="shared" si="1"/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15</v>
      </c>
      <c r="X118" s="31">
        <v>20</v>
      </c>
      <c r="Y118" s="31">
        <v>0.48</v>
      </c>
      <c r="Z118" s="31">
        <v>0.9</v>
      </c>
      <c r="AA118" s="31">
        <v>111661</v>
      </c>
      <c r="AB118" s="31"/>
    </row>
    <row r="119" spans="1:28">
      <c r="A119" s="27">
        <v>11167</v>
      </c>
      <c r="B119" s="16" t="s">
        <v>265</v>
      </c>
      <c r="C119" s="16" t="s">
        <v>330</v>
      </c>
      <c r="D119" s="27" t="s">
        <v>31</v>
      </c>
      <c r="E119" s="31">
        <v>31</v>
      </c>
      <c r="F119" s="31">
        <v>38</v>
      </c>
      <c r="G119" s="31">
        <v>97</v>
      </c>
      <c r="H119" s="31">
        <v>38</v>
      </c>
      <c r="I119" s="31">
        <v>50</v>
      </c>
      <c r="J119" s="31">
        <v>69</v>
      </c>
      <c r="K119" s="31">
        <v>92</v>
      </c>
      <c r="L119" s="31">
        <v>94</v>
      </c>
      <c r="M119" s="31">
        <v>39</v>
      </c>
      <c r="N119" s="31">
        <v>34</v>
      </c>
      <c r="O119" s="31">
        <v>1</v>
      </c>
      <c r="P119" s="31">
        <v>15</v>
      </c>
      <c r="Q119" s="31">
        <v>3</v>
      </c>
      <c r="R119" s="16">
        <f t="shared" si="1"/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15</v>
      </c>
      <c r="X119" s="31">
        <v>20</v>
      </c>
      <c r="Y119" s="31">
        <v>0.48</v>
      </c>
      <c r="Z119" s="31">
        <v>0.9</v>
      </c>
      <c r="AA119" s="31">
        <v>111671</v>
      </c>
      <c r="AB119" s="31"/>
    </row>
    <row r="120" spans="1:28">
      <c r="A120" s="27">
        <v>11168</v>
      </c>
      <c r="B120" s="16" t="s">
        <v>265</v>
      </c>
      <c r="C120" s="16" t="s">
        <v>331</v>
      </c>
      <c r="D120" s="27" t="s">
        <v>31</v>
      </c>
      <c r="E120" s="31">
        <v>31</v>
      </c>
      <c r="F120" s="31">
        <v>38</v>
      </c>
      <c r="G120" s="31">
        <v>97</v>
      </c>
      <c r="H120" s="31">
        <v>38</v>
      </c>
      <c r="I120" s="31">
        <v>52</v>
      </c>
      <c r="J120" s="31">
        <v>74</v>
      </c>
      <c r="K120" s="31">
        <v>92</v>
      </c>
      <c r="L120" s="31">
        <v>94</v>
      </c>
      <c r="M120" s="31">
        <v>40</v>
      </c>
      <c r="N120" s="31">
        <v>34</v>
      </c>
      <c r="O120" s="31">
        <v>1</v>
      </c>
      <c r="P120" s="31">
        <v>10</v>
      </c>
      <c r="Q120" s="31">
        <v>3</v>
      </c>
      <c r="R120" s="16">
        <f t="shared" si="1"/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15</v>
      </c>
      <c r="X120" s="31">
        <v>20</v>
      </c>
      <c r="Y120" s="31">
        <v>0.48</v>
      </c>
      <c r="Z120" s="31">
        <v>0.9</v>
      </c>
      <c r="AA120" s="31">
        <v>111681</v>
      </c>
      <c r="AB120" s="31"/>
    </row>
    <row r="121" spans="1:28">
      <c r="A121" s="27">
        <v>11169</v>
      </c>
      <c r="B121" s="16" t="s">
        <v>265</v>
      </c>
      <c r="C121" s="16" t="s">
        <v>332</v>
      </c>
      <c r="D121" s="27" t="s">
        <v>89</v>
      </c>
      <c r="E121" s="31">
        <v>32</v>
      </c>
      <c r="F121" s="31">
        <v>37</v>
      </c>
      <c r="G121" s="31">
        <v>83</v>
      </c>
      <c r="H121" s="31">
        <v>34</v>
      </c>
      <c r="I121" s="31">
        <v>75</v>
      </c>
      <c r="J121" s="31">
        <v>89</v>
      </c>
      <c r="K121" s="31">
        <v>95</v>
      </c>
      <c r="L121" s="31">
        <v>104</v>
      </c>
      <c r="M121" s="31">
        <v>40</v>
      </c>
      <c r="N121" s="31">
        <v>35</v>
      </c>
      <c r="O121" s="31">
        <v>1</v>
      </c>
      <c r="P121" s="31">
        <v>53</v>
      </c>
      <c r="Q121" s="31">
        <v>3</v>
      </c>
      <c r="R121" s="16">
        <f t="shared" si="1"/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15</v>
      </c>
      <c r="X121" s="31">
        <v>25</v>
      </c>
      <c r="Y121" s="31">
        <v>0.45</v>
      </c>
      <c r="Z121" s="31">
        <v>0.8</v>
      </c>
      <c r="AA121" s="31">
        <v>111691</v>
      </c>
      <c r="AB121" s="31">
        <v>111692</v>
      </c>
    </row>
    <row r="122" s="16" customFormat="1" spans="1:29">
      <c r="A122" s="27">
        <v>11171</v>
      </c>
      <c r="B122" s="16" t="s">
        <v>265</v>
      </c>
      <c r="C122" s="16" t="s">
        <v>333</v>
      </c>
      <c r="D122" s="27" t="s">
        <v>47</v>
      </c>
      <c r="E122" s="31">
        <v>36</v>
      </c>
      <c r="F122" s="31">
        <v>40</v>
      </c>
      <c r="G122" s="31">
        <v>83</v>
      </c>
      <c r="H122" s="31">
        <v>38</v>
      </c>
      <c r="I122" s="31">
        <v>68</v>
      </c>
      <c r="J122" s="31">
        <v>68</v>
      </c>
      <c r="K122" s="31">
        <v>95</v>
      </c>
      <c r="L122" s="31">
        <v>92</v>
      </c>
      <c r="M122" s="31">
        <v>21</v>
      </c>
      <c r="N122" s="31">
        <v>36</v>
      </c>
      <c r="O122" s="31">
        <v>1</v>
      </c>
      <c r="P122" s="31">
        <v>8</v>
      </c>
      <c r="Q122" s="31">
        <v>3</v>
      </c>
      <c r="R122" s="16">
        <f t="shared" si="1"/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10</v>
      </c>
      <c r="X122" s="31">
        <v>20</v>
      </c>
      <c r="Y122" s="31">
        <v>0.48</v>
      </c>
      <c r="Z122" s="31">
        <v>0.9</v>
      </c>
      <c r="AA122" s="31">
        <v>111711</v>
      </c>
      <c r="AB122" s="31"/>
      <c r="AC122" s="27" t="s">
        <v>278</v>
      </c>
    </row>
    <row r="123" spans="1:28">
      <c r="A123" s="27">
        <v>11175</v>
      </c>
      <c r="B123" s="16" t="s">
        <v>265</v>
      </c>
      <c r="C123" s="16" t="s">
        <v>334</v>
      </c>
      <c r="D123" s="27" t="s">
        <v>39</v>
      </c>
      <c r="E123" s="31">
        <v>29</v>
      </c>
      <c r="F123" s="31">
        <v>40</v>
      </c>
      <c r="G123" s="31">
        <v>87</v>
      </c>
      <c r="H123" s="31">
        <v>39</v>
      </c>
      <c r="I123" s="31">
        <v>57</v>
      </c>
      <c r="J123" s="31">
        <v>89</v>
      </c>
      <c r="K123" s="31">
        <v>93</v>
      </c>
      <c r="L123" s="31">
        <v>92</v>
      </c>
      <c r="M123" s="31">
        <v>37</v>
      </c>
      <c r="N123" s="31">
        <v>37</v>
      </c>
      <c r="O123" s="31">
        <v>1</v>
      </c>
      <c r="P123" s="31">
        <v>20</v>
      </c>
      <c r="Q123" s="31">
        <v>3</v>
      </c>
      <c r="R123" s="16">
        <f t="shared" si="1"/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15</v>
      </c>
      <c r="X123" s="31">
        <v>25</v>
      </c>
      <c r="Y123" s="31">
        <v>0.48</v>
      </c>
      <c r="Z123" s="31">
        <v>0.9</v>
      </c>
      <c r="AA123" s="31">
        <v>111751</v>
      </c>
      <c r="AB123" s="31"/>
    </row>
    <row r="124" spans="1:28">
      <c r="A124" s="27">
        <v>11178</v>
      </c>
      <c r="B124" s="16" t="s">
        <v>265</v>
      </c>
      <c r="C124" s="16" t="s">
        <v>335</v>
      </c>
      <c r="D124" s="27" t="s">
        <v>34</v>
      </c>
      <c r="E124" s="31">
        <v>32</v>
      </c>
      <c r="F124" s="31">
        <v>41</v>
      </c>
      <c r="G124" s="31">
        <v>83</v>
      </c>
      <c r="H124" s="31">
        <v>39</v>
      </c>
      <c r="I124" s="31">
        <v>80</v>
      </c>
      <c r="J124" s="31">
        <v>115</v>
      </c>
      <c r="K124" s="31">
        <v>92</v>
      </c>
      <c r="L124" s="31">
        <v>91</v>
      </c>
      <c r="M124" s="31">
        <v>43</v>
      </c>
      <c r="N124" s="31">
        <v>37</v>
      </c>
      <c r="O124" s="31">
        <v>1</v>
      </c>
      <c r="P124" s="31">
        <v>35</v>
      </c>
      <c r="Q124" s="31">
        <v>3</v>
      </c>
      <c r="R124" s="16">
        <f t="shared" si="1"/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15</v>
      </c>
      <c r="X124" s="31">
        <v>25</v>
      </c>
      <c r="Y124" s="31">
        <v>0.48</v>
      </c>
      <c r="Z124" s="31">
        <v>0.9</v>
      </c>
      <c r="AA124" s="31">
        <v>111781</v>
      </c>
      <c r="AB124" s="31"/>
    </row>
    <row r="125" spans="1:28">
      <c r="A125" s="27">
        <v>11181</v>
      </c>
      <c r="B125" s="16" t="s">
        <v>265</v>
      </c>
      <c r="C125" s="16" t="s">
        <v>336</v>
      </c>
      <c r="D125" s="27" t="s">
        <v>34</v>
      </c>
      <c r="E125" s="31">
        <v>32</v>
      </c>
      <c r="F125" s="31">
        <v>41</v>
      </c>
      <c r="G125" s="31">
        <v>85</v>
      </c>
      <c r="H125" s="31">
        <v>39</v>
      </c>
      <c r="I125" s="31">
        <v>75</v>
      </c>
      <c r="J125" s="31">
        <v>84</v>
      </c>
      <c r="K125" s="31">
        <v>93</v>
      </c>
      <c r="L125" s="31">
        <v>91</v>
      </c>
      <c r="M125" s="31">
        <v>37</v>
      </c>
      <c r="N125" s="31">
        <v>37</v>
      </c>
      <c r="O125" s="31">
        <v>1</v>
      </c>
      <c r="P125" s="31">
        <v>10</v>
      </c>
      <c r="Q125" s="31">
        <v>3</v>
      </c>
      <c r="R125" s="16">
        <f t="shared" si="1"/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15</v>
      </c>
      <c r="X125" s="31">
        <v>25</v>
      </c>
      <c r="Y125" s="31">
        <v>0.48</v>
      </c>
      <c r="Z125" s="31">
        <v>0.9</v>
      </c>
      <c r="AA125" s="31">
        <v>111811</v>
      </c>
      <c r="AB125" s="31">
        <v>111812</v>
      </c>
    </row>
    <row r="126" spans="1:28">
      <c r="A126" s="27">
        <v>11182</v>
      </c>
      <c r="B126" s="16" t="s">
        <v>265</v>
      </c>
      <c r="C126" s="16" t="s">
        <v>337</v>
      </c>
      <c r="D126" s="27" t="s">
        <v>34</v>
      </c>
      <c r="E126" s="31">
        <v>33</v>
      </c>
      <c r="F126" s="31">
        <v>49</v>
      </c>
      <c r="G126" s="31">
        <v>85</v>
      </c>
      <c r="H126" s="31">
        <v>40</v>
      </c>
      <c r="I126" s="31">
        <v>65</v>
      </c>
      <c r="J126" s="31">
        <v>79</v>
      </c>
      <c r="K126" s="31">
        <v>93</v>
      </c>
      <c r="L126" s="31">
        <v>90</v>
      </c>
      <c r="M126" s="31">
        <v>37</v>
      </c>
      <c r="N126" s="31">
        <v>38.5</v>
      </c>
      <c r="O126" s="31">
        <v>1</v>
      </c>
      <c r="P126" s="31">
        <v>9</v>
      </c>
      <c r="Q126" s="31">
        <v>3</v>
      </c>
      <c r="R126" s="16">
        <f t="shared" si="1"/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15</v>
      </c>
      <c r="X126" s="31">
        <v>25</v>
      </c>
      <c r="Y126" s="31">
        <v>0.48</v>
      </c>
      <c r="Z126" s="31">
        <v>0.9</v>
      </c>
      <c r="AA126" s="31">
        <v>111821</v>
      </c>
      <c r="AB126" s="31"/>
    </row>
    <row r="127" spans="1:28">
      <c r="A127" s="27">
        <v>11183</v>
      </c>
      <c r="B127" s="16" t="s">
        <v>265</v>
      </c>
      <c r="C127" s="16" t="s">
        <v>338</v>
      </c>
      <c r="D127" s="27" t="s">
        <v>34</v>
      </c>
      <c r="E127" s="31">
        <v>37</v>
      </c>
      <c r="F127" s="31">
        <v>41</v>
      </c>
      <c r="G127" s="31">
        <v>83</v>
      </c>
      <c r="H127" s="31">
        <v>40</v>
      </c>
      <c r="I127" s="31">
        <v>75</v>
      </c>
      <c r="J127" s="31">
        <v>84</v>
      </c>
      <c r="K127" s="31">
        <v>94</v>
      </c>
      <c r="L127" s="31">
        <v>90</v>
      </c>
      <c r="M127" s="31">
        <v>37</v>
      </c>
      <c r="N127" s="31">
        <v>38.5</v>
      </c>
      <c r="O127" s="31">
        <v>1</v>
      </c>
      <c r="P127" s="31">
        <v>45</v>
      </c>
      <c r="Q127" s="31">
        <v>3</v>
      </c>
      <c r="R127" s="16">
        <f t="shared" si="1"/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15</v>
      </c>
      <c r="X127" s="31">
        <v>25</v>
      </c>
      <c r="Y127" s="31">
        <v>0.48</v>
      </c>
      <c r="Z127" s="31">
        <v>0.9</v>
      </c>
      <c r="AA127" s="31">
        <v>111831</v>
      </c>
      <c r="AB127" s="31"/>
    </row>
    <row r="128" spans="1:28">
      <c r="A128" s="27">
        <v>11185</v>
      </c>
      <c r="B128" s="16" t="s">
        <v>265</v>
      </c>
      <c r="C128" s="16" t="s">
        <v>339</v>
      </c>
      <c r="D128" s="27" t="s">
        <v>72</v>
      </c>
      <c r="E128" s="31">
        <v>33</v>
      </c>
      <c r="F128" s="31">
        <v>40</v>
      </c>
      <c r="G128" s="31">
        <v>75</v>
      </c>
      <c r="H128" s="31">
        <v>40</v>
      </c>
      <c r="I128" s="31">
        <v>70</v>
      </c>
      <c r="J128" s="31">
        <v>78</v>
      </c>
      <c r="K128" s="31">
        <v>94</v>
      </c>
      <c r="L128" s="31">
        <v>93</v>
      </c>
      <c r="M128" s="31">
        <v>43</v>
      </c>
      <c r="N128" s="31">
        <v>38</v>
      </c>
      <c r="O128" s="31">
        <v>1</v>
      </c>
      <c r="P128" s="31">
        <v>21</v>
      </c>
      <c r="Q128" s="31">
        <v>3</v>
      </c>
      <c r="R128" s="16">
        <f t="shared" si="1"/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15</v>
      </c>
      <c r="X128" s="31">
        <v>25</v>
      </c>
      <c r="Y128" s="31">
        <v>0.48</v>
      </c>
      <c r="Z128" s="31">
        <v>0.9</v>
      </c>
      <c r="AA128" s="31">
        <v>111851</v>
      </c>
      <c r="AB128" s="31"/>
    </row>
    <row r="129" spans="1:28">
      <c r="A129" s="27">
        <v>11187</v>
      </c>
      <c r="B129" s="16" t="s">
        <v>265</v>
      </c>
      <c r="C129" s="16" t="s">
        <v>340</v>
      </c>
      <c r="D129" s="27" t="s">
        <v>68</v>
      </c>
      <c r="E129" s="31">
        <v>35</v>
      </c>
      <c r="F129" s="31">
        <v>38</v>
      </c>
      <c r="G129" s="31">
        <v>80</v>
      </c>
      <c r="H129" s="31">
        <v>40</v>
      </c>
      <c r="I129" s="31">
        <v>53</v>
      </c>
      <c r="J129" s="31">
        <v>65</v>
      </c>
      <c r="K129" s="31">
        <v>94</v>
      </c>
      <c r="L129" s="31">
        <v>94</v>
      </c>
      <c r="M129" s="31">
        <v>29</v>
      </c>
      <c r="N129" s="31">
        <v>39</v>
      </c>
      <c r="O129" s="31">
        <v>1</v>
      </c>
      <c r="P129" s="31">
        <v>15</v>
      </c>
      <c r="Q129" s="31">
        <v>3</v>
      </c>
      <c r="R129" s="16">
        <f t="shared" si="1"/>
        <v>0</v>
      </c>
      <c r="S129" s="31">
        <v>0</v>
      </c>
      <c r="T129" s="31">
        <v>0</v>
      </c>
      <c r="U129" s="31">
        <v>0</v>
      </c>
      <c r="V129" s="31">
        <v>0</v>
      </c>
      <c r="W129" s="31">
        <v>15</v>
      </c>
      <c r="X129" s="31">
        <v>25</v>
      </c>
      <c r="Y129" s="31">
        <v>0.48</v>
      </c>
      <c r="Z129" s="31">
        <v>0.9</v>
      </c>
      <c r="AA129" s="31">
        <v>111871</v>
      </c>
      <c r="AB129" s="31"/>
    </row>
    <row r="130" spans="1:28">
      <c r="A130" s="27">
        <v>11188</v>
      </c>
      <c r="B130" s="16" t="s">
        <v>265</v>
      </c>
      <c r="C130" s="16" t="s">
        <v>341</v>
      </c>
      <c r="D130" s="27" t="s">
        <v>68</v>
      </c>
      <c r="E130" s="31">
        <v>35</v>
      </c>
      <c r="F130" s="31">
        <v>38</v>
      </c>
      <c r="G130" s="31">
        <v>82</v>
      </c>
      <c r="H130" s="31">
        <v>40</v>
      </c>
      <c r="I130" s="31">
        <v>51</v>
      </c>
      <c r="J130" s="31">
        <v>65</v>
      </c>
      <c r="K130" s="31">
        <v>94</v>
      </c>
      <c r="L130" s="31">
        <v>94</v>
      </c>
      <c r="M130" s="31">
        <v>40</v>
      </c>
      <c r="N130" s="31">
        <v>39</v>
      </c>
      <c r="O130" s="31">
        <v>1</v>
      </c>
      <c r="P130" s="31">
        <v>20</v>
      </c>
      <c r="Q130" s="31">
        <v>3</v>
      </c>
      <c r="R130" s="16">
        <f t="shared" ref="R130:R193" si="2">SUM($S130:$V130)</f>
        <v>0</v>
      </c>
      <c r="S130" s="31">
        <v>0</v>
      </c>
      <c r="T130" s="31">
        <v>0</v>
      </c>
      <c r="U130" s="31">
        <v>0</v>
      </c>
      <c r="V130" s="31">
        <v>0</v>
      </c>
      <c r="W130" s="31">
        <v>15</v>
      </c>
      <c r="X130" s="31">
        <v>25</v>
      </c>
      <c r="Y130" s="31">
        <v>0.48</v>
      </c>
      <c r="Z130" s="31">
        <v>0.9</v>
      </c>
      <c r="AA130" s="31">
        <v>111881</v>
      </c>
      <c r="AB130" s="31"/>
    </row>
    <row r="131" spans="1:28">
      <c r="A131" s="27">
        <v>11192</v>
      </c>
      <c r="B131" s="16" t="s">
        <v>265</v>
      </c>
      <c r="C131" s="16" t="s">
        <v>342</v>
      </c>
      <c r="D131" s="27" t="s">
        <v>72</v>
      </c>
      <c r="E131" s="31">
        <v>36</v>
      </c>
      <c r="F131" s="31">
        <v>46</v>
      </c>
      <c r="G131" s="31">
        <v>87</v>
      </c>
      <c r="H131" s="31">
        <v>40</v>
      </c>
      <c r="I131" s="31">
        <v>65</v>
      </c>
      <c r="J131" s="31">
        <v>69</v>
      </c>
      <c r="K131" s="31">
        <v>95</v>
      </c>
      <c r="L131" s="31">
        <v>104</v>
      </c>
      <c r="M131" s="31">
        <v>18</v>
      </c>
      <c r="N131" s="31">
        <v>42.7</v>
      </c>
      <c r="O131" s="31">
        <v>1</v>
      </c>
      <c r="P131" s="31">
        <v>17</v>
      </c>
      <c r="Q131" s="31">
        <v>3</v>
      </c>
      <c r="R131" s="16">
        <f t="shared" si="2"/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15</v>
      </c>
      <c r="X131" s="31">
        <v>20</v>
      </c>
      <c r="Y131" s="31">
        <v>0.65</v>
      </c>
      <c r="Z131" s="31">
        <v>1.1</v>
      </c>
      <c r="AA131" s="31">
        <v>111921</v>
      </c>
      <c r="AB131" s="31"/>
    </row>
    <row r="132" spans="1:28">
      <c r="A132" s="42">
        <v>11194</v>
      </c>
      <c r="B132" s="16" t="s">
        <v>87</v>
      </c>
      <c r="C132" s="43" t="s">
        <v>343</v>
      </c>
      <c r="D132" s="30" t="s">
        <v>34</v>
      </c>
      <c r="E132" s="45">
        <v>17</v>
      </c>
      <c r="F132" s="45">
        <v>26</v>
      </c>
      <c r="G132" s="45">
        <v>89</v>
      </c>
      <c r="H132" s="45">
        <v>32</v>
      </c>
      <c r="I132" s="45">
        <v>0</v>
      </c>
      <c r="J132" s="39">
        <v>0</v>
      </c>
      <c r="K132" s="39">
        <v>108</v>
      </c>
      <c r="L132" s="39">
        <v>47</v>
      </c>
      <c r="M132" s="39">
        <v>49</v>
      </c>
      <c r="N132" s="45">
        <v>21</v>
      </c>
      <c r="O132" s="39">
        <v>1</v>
      </c>
      <c r="P132" s="45">
        <v>25</v>
      </c>
      <c r="Q132" s="39">
        <v>3</v>
      </c>
      <c r="R132" s="16">
        <f t="shared" si="2"/>
        <v>0</v>
      </c>
      <c r="S132" s="39">
        <v>0</v>
      </c>
      <c r="T132" s="39">
        <v>0</v>
      </c>
      <c r="U132" s="39">
        <v>0</v>
      </c>
      <c r="V132" s="39">
        <v>0</v>
      </c>
      <c r="W132" s="39">
        <v>20</v>
      </c>
      <c r="X132" s="39">
        <v>25</v>
      </c>
      <c r="Y132" s="39">
        <v>0.64</v>
      </c>
      <c r="Z132" s="39">
        <v>0.75</v>
      </c>
      <c r="AA132" s="31">
        <v>111941</v>
      </c>
      <c r="AB132" s="31"/>
    </row>
    <row r="133" spans="1:28">
      <c r="A133" s="42">
        <v>11195</v>
      </c>
      <c r="B133" s="16" t="s">
        <v>87</v>
      </c>
      <c r="C133" s="43" t="s">
        <v>344</v>
      </c>
      <c r="D133" s="30" t="s">
        <v>34</v>
      </c>
      <c r="E133" s="45">
        <v>17</v>
      </c>
      <c r="F133" s="45">
        <v>26</v>
      </c>
      <c r="G133" s="45">
        <v>89</v>
      </c>
      <c r="H133" s="45">
        <v>32</v>
      </c>
      <c r="I133" s="45">
        <v>0</v>
      </c>
      <c r="J133" s="39">
        <v>0</v>
      </c>
      <c r="K133" s="39">
        <v>108</v>
      </c>
      <c r="L133" s="39">
        <v>47</v>
      </c>
      <c r="M133" s="39">
        <v>49</v>
      </c>
      <c r="N133" s="45">
        <v>21</v>
      </c>
      <c r="O133" s="39">
        <v>1</v>
      </c>
      <c r="P133" s="45">
        <v>30</v>
      </c>
      <c r="Q133" s="39">
        <v>3</v>
      </c>
      <c r="R133" s="16">
        <f t="shared" si="2"/>
        <v>0</v>
      </c>
      <c r="S133" s="39">
        <v>0</v>
      </c>
      <c r="T133" s="39">
        <v>0</v>
      </c>
      <c r="U133" s="39">
        <v>0</v>
      </c>
      <c r="V133" s="39">
        <v>0</v>
      </c>
      <c r="W133" s="39">
        <v>20</v>
      </c>
      <c r="X133" s="39">
        <v>25</v>
      </c>
      <c r="Y133" s="39">
        <v>0.64</v>
      </c>
      <c r="Z133" s="39">
        <v>0.75</v>
      </c>
      <c r="AA133" s="31">
        <v>111951</v>
      </c>
      <c r="AB133" s="31"/>
    </row>
    <row r="134" s="16" customFormat="1" spans="1:29">
      <c r="A134" s="42">
        <v>11197</v>
      </c>
      <c r="B134" s="16" t="s">
        <v>87</v>
      </c>
      <c r="C134" s="43" t="s">
        <v>345</v>
      </c>
      <c r="D134" s="30" t="s">
        <v>47</v>
      </c>
      <c r="E134" s="45">
        <v>15</v>
      </c>
      <c r="F134" s="45">
        <v>25</v>
      </c>
      <c r="G134" s="45">
        <v>80</v>
      </c>
      <c r="H134" s="45">
        <v>30</v>
      </c>
      <c r="I134" s="45">
        <v>0</v>
      </c>
      <c r="J134" s="39">
        <v>0</v>
      </c>
      <c r="K134" s="39">
        <v>102</v>
      </c>
      <c r="L134" s="39">
        <v>45</v>
      </c>
      <c r="M134" s="39">
        <v>48</v>
      </c>
      <c r="N134" s="45">
        <v>18</v>
      </c>
      <c r="O134" s="39">
        <v>1</v>
      </c>
      <c r="P134" s="45">
        <v>20</v>
      </c>
      <c r="Q134" s="39">
        <v>3</v>
      </c>
      <c r="R134" s="16">
        <f t="shared" si="2"/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15</v>
      </c>
      <c r="X134" s="39">
        <v>20</v>
      </c>
      <c r="Y134" s="39">
        <v>0.6</v>
      </c>
      <c r="Z134" s="39">
        <v>0.5</v>
      </c>
      <c r="AA134" s="31">
        <v>111971</v>
      </c>
      <c r="AB134" s="31">
        <v>111972</v>
      </c>
      <c r="AC134" s="27" t="s">
        <v>346</v>
      </c>
    </row>
    <row r="135" s="16" customFormat="1" spans="1:29">
      <c r="A135" s="27">
        <v>11198</v>
      </c>
      <c r="B135" s="16" t="s">
        <v>87</v>
      </c>
      <c r="C135" s="16" t="s">
        <v>347</v>
      </c>
      <c r="D135" s="16" t="s">
        <v>47</v>
      </c>
      <c r="E135" s="16">
        <v>16</v>
      </c>
      <c r="F135" s="16">
        <v>24</v>
      </c>
      <c r="G135" s="16">
        <v>78</v>
      </c>
      <c r="H135" s="16">
        <v>31</v>
      </c>
      <c r="I135" s="16">
        <v>5</v>
      </c>
      <c r="J135" s="16">
        <v>0</v>
      </c>
      <c r="K135" s="26">
        <v>102</v>
      </c>
      <c r="L135" s="16">
        <v>45</v>
      </c>
      <c r="M135" s="16">
        <v>53</v>
      </c>
      <c r="N135" s="16">
        <v>18</v>
      </c>
      <c r="O135" s="16">
        <v>1</v>
      </c>
      <c r="P135" s="16">
        <v>19</v>
      </c>
      <c r="Q135" s="16">
        <v>3</v>
      </c>
      <c r="R135" s="39">
        <f t="shared" si="2"/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20</v>
      </c>
      <c r="X135" s="16">
        <v>20</v>
      </c>
      <c r="Y135" s="16">
        <v>0.65</v>
      </c>
      <c r="Z135" s="16">
        <v>0.55</v>
      </c>
      <c r="AA135" s="16">
        <v>111981</v>
      </c>
      <c r="AC135" s="27" t="s">
        <v>346</v>
      </c>
    </row>
    <row r="136" spans="1:28">
      <c r="A136" s="24">
        <v>11199</v>
      </c>
      <c r="B136" s="16" t="s">
        <v>348</v>
      </c>
      <c r="C136" s="16" t="s">
        <v>349</v>
      </c>
      <c r="D136" s="16" t="s">
        <v>43</v>
      </c>
      <c r="E136" s="16">
        <v>25</v>
      </c>
      <c r="F136" s="16">
        <v>55</v>
      </c>
      <c r="G136" s="16">
        <v>68</v>
      </c>
      <c r="H136" s="16">
        <v>35</v>
      </c>
      <c r="I136" s="16">
        <v>0</v>
      </c>
      <c r="J136" s="16">
        <v>0</v>
      </c>
      <c r="K136" s="16">
        <v>96</v>
      </c>
      <c r="L136" s="16">
        <v>46</v>
      </c>
      <c r="M136" s="16">
        <v>45</v>
      </c>
      <c r="N136" s="16">
        <v>18.5</v>
      </c>
      <c r="O136" s="16">
        <v>1</v>
      </c>
      <c r="P136" s="16">
        <v>10</v>
      </c>
      <c r="Q136" s="16">
        <v>3</v>
      </c>
      <c r="R136" s="16">
        <f t="shared" si="2"/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25</v>
      </c>
      <c r="X136" s="16">
        <v>40</v>
      </c>
      <c r="Y136" s="16">
        <v>1</v>
      </c>
      <c r="Z136" s="16">
        <v>1</v>
      </c>
      <c r="AA136" s="31">
        <v>111991</v>
      </c>
      <c r="AB136" s="31"/>
    </row>
    <row r="137" spans="1:28">
      <c r="A137" s="27">
        <v>11205</v>
      </c>
      <c r="B137" s="16" t="s">
        <v>37</v>
      </c>
      <c r="C137" s="16" t="s">
        <v>60</v>
      </c>
      <c r="D137" s="16" t="s">
        <v>39</v>
      </c>
      <c r="E137" s="16">
        <v>80</v>
      </c>
      <c r="F137" s="16">
        <v>105</v>
      </c>
      <c r="G137" s="16">
        <v>0</v>
      </c>
      <c r="H137" s="16">
        <v>100</v>
      </c>
      <c r="I137" s="16">
        <v>101</v>
      </c>
      <c r="J137" s="16">
        <v>0</v>
      </c>
      <c r="K137" s="26">
        <v>102</v>
      </c>
      <c r="L137" s="16">
        <v>55</v>
      </c>
      <c r="M137" s="16">
        <v>42</v>
      </c>
      <c r="N137" s="16">
        <v>29</v>
      </c>
      <c r="O137" s="16">
        <v>3</v>
      </c>
      <c r="P137" s="16">
        <v>20</v>
      </c>
      <c r="Q137" s="16">
        <v>4</v>
      </c>
      <c r="R137" s="39">
        <f t="shared" si="2"/>
        <v>8</v>
      </c>
      <c r="S137" s="16">
        <v>2</v>
      </c>
      <c r="T137" s="16">
        <v>2</v>
      </c>
      <c r="U137" s="16">
        <v>2</v>
      </c>
      <c r="V137" s="16">
        <v>2</v>
      </c>
      <c r="W137" s="16">
        <v>120</v>
      </c>
      <c r="X137" s="16">
        <v>145</v>
      </c>
      <c r="Y137" s="16">
        <v>4.2</v>
      </c>
      <c r="Z137" s="16">
        <v>8</v>
      </c>
      <c r="AA137" s="16">
        <v>102051</v>
      </c>
      <c r="AB137" s="16">
        <v>112052</v>
      </c>
    </row>
    <row r="138" spans="1:28">
      <c r="A138" s="27">
        <v>11206</v>
      </c>
      <c r="B138" s="16" t="s">
        <v>37</v>
      </c>
      <c r="C138" s="25" t="s">
        <v>61</v>
      </c>
      <c r="D138" s="27" t="s">
        <v>34</v>
      </c>
      <c r="E138" s="37">
        <v>80</v>
      </c>
      <c r="F138" s="37">
        <v>120</v>
      </c>
      <c r="G138" s="37">
        <v>0</v>
      </c>
      <c r="H138" s="37">
        <v>98</v>
      </c>
      <c r="I138" s="37">
        <v>103</v>
      </c>
      <c r="J138" s="31">
        <v>0</v>
      </c>
      <c r="K138" s="31">
        <v>102</v>
      </c>
      <c r="L138" s="31">
        <v>62</v>
      </c>
      <c r="M138" s="31">
        <v>51</v>
      </c>
      <c r="N138" s="37">
        <v>28</v>
      </c>
      <c r="O138" s="31">
        <v>3</v>
      </c>
      <c r="P138" s="37">
        <v>25</v>
      </c>
      <c r="Q138" s="31">
        <v>4</v>
      </c>
      <c r="R138" s="16">
        <f t="shared" si="2"/>
        <v>0</v>
      </c>
      <c r="S138" s="37">
        <v>0</v>
      </c>
      <c r="T138" s="37">
        <v>0</v>
      </c>
      <c r="U138" s="37">
        <v>0</v>
      </c>
      <c r="V138" s="37">
        <v>0</v>
      </c>
      <c r="W138" s="31">
        <v>95</v>
      </c>
      <c r="X138" s="31">
        <v>140</v>
      </c>
      <c r="Y138" s="31">
        <v>4.2</v>
      </c>
      <c r="Z138" s="31">
        <v>8</v>
      </c>
      <c r="AA138" s="31">
        <v>112061</v>
      </c>
      <c r="AB138" s="31">
        <v>112062</v>
      </c>
    </row>
    <row r="139" s="16" customFormat="1" spans="1:29">
      <c r="A139" s="27">
        <v>11207</v>
      </c>
      <c r="B139" s="16" t="s">
        <v>37</v>
      </c>
      <c r="C139" s="25" t="s">
        <v>62</v>
      </c>
      <c r="D139" s="27" t="s">
        <v>34</v>
      </c>
      <c r="E139" s="37">
        <v>80</v>
      </c>
      <c r="F139" s="37">
        <v>120</v>
      </c>
      <c r="G139" s="37">
        <v>0</v>
      </c>
      <c r="H139" s="37">
        <v>105</v>
      </c>
      <c r="I139" s="37">
        <v>108</v>
      </c>
      <c r="J139" s="31">
        <v>0</v>
      </c>
      <c r="K139" s="31">
        <v>102</v>
      </c>
      <c r="L139" s="31">
        <v>61</v>
      </c>
      <c r="M139" s="31">
        <v>51</v>
      </c>
      <c r="N139" s="37">
        <v>27.5</v>
      </c>
      <c r="O139" s="31">
        <v>3</v>
      </c>
      <c r="P139" s="37">
        <v>25</v>
      </c>
      <c r="Q139" s="31">
        <v>4</v>
      </c>
      <c r="R139" s="16">
        <f t="shared" si="2"/>
        <v>12</v>
      </c>
      <c r="S139" s="37">
        <v>3</v>
      </c>
      <c r="T139" s="37">
        <v>3</v>
      </c>
      <c r="U139" s="37">
        <v>3</v>
      </c>
      <c r="V139" s="37">
        <v>3</v>
      </c>
      <c r="W139" s="31">
        <v>95</v>
      </c>
      <c r="X139" s="31">
        <v>145</v>
      </c>
      <c r="Y139" s="31">
        <v>4.2</v>
      </c>
      <c r="Z139" s="31">
        <v>8</v>
      </c>
      <c r="AA139" s="31">
        <v>112071</v>
      </c>
      <c r="AB139" s="31">
        <v>112072</v>
      </c>
      <c r="AC139" s="27" t="s">
        <v>63</v>
      </c>
    </row>
    <row r="140" s="16" customFormat="1" spans="1:29">
      <c r="A140" s="27">
        <v>11209</v>
      </c>
      <c r="B140" s="16" t="s">
        <v>350</v>
      </c>
      <c r="C140" s="16" t="s">
        <v>65</v>
      </c>
      <c r="D140" s="16" t="s">
        <v>34</v>
      </c>
      <c r="E140" s="16">
        <v>92</v>
      </c>
      <c r="F140" s="16">
        <v>118</v>
      </c>
      <c r="G140" s="16">
        <v>0</v>
      </c>
      <c r="H140" s="16">
        <v>107</v>
      </c>
      <c r="I140" s="16">
        <v>116</v>
      </c>
      <c r="J140" s="16">
        <v>0</v>
      </c>
      <c r="K140" s="16">
        <v>103</v>
      </c>
      <c r="L140" s="16">
        <v>59</v>
      </c>
      <c r="M140" s="16">
        <v>47</v>
      </c>
      <c r="N140" s="16">
        <v>33</v>
      </c>
      <c r="O140" s="16">
        <v>3</v>
      </c>
      <c r="P140" s="16">
        <v>28</v>
      </c>
      <c r="Q140" s="16">
        <v>4</v>
      </c>
      <c r="R140" s="16">
        <f t="shared" si="2"/>
        <v>32</v>
      </c>
      <c r="S140" s="16">
        <v>8</v>
      </c>
      <c r="T140" s="16">
        <v>8</v>
      </c>
      <c r="U140" s="16">
        <v>8</v>
      </c>
      <c r="V140" s="16">
        <v>8</v>
      </c>
      <c r="W140" s="16">
        <v>145</v>
      </c>
      <c r="X140" s="16">
        <v>200</v>
      </c>
      <c r="Y140" s="16">
        <v>4.8</v>
      </c>
      <c r="Z140" s="16">
        <v>9</v>
      </c>
      <c r="AA140" s="31">
        <v>102091</v>
      </c>
      <c r="AB140" s="31">
        <v>112092</v>
      </c>
      <c r="AC140" s="27" t="s">
        <v>59</v>
      </c>
    </row>
    <row r="141" spans="1:28">
      <c r="A141" s="27">
        <v>11211</v>
      </c>
      <c r="B141" s="16" t="s">
        <v>37</v>
      </c>
      <c r="C141" s="25" t="s">
        <v>351</v>
      </c>
      <c r="D141" s="27" t="s">
        <v>68</v>
      </c>
      <c r="E141" s="37">
        <v>64</v>
      </c>
      <c r="F141" s="37">
        <v>89</v>
      </c>
      <c r="G141" s="37">
        <v>0</v>
      </c>
      <c r="H141" s="37">
        <v>89</v>
      </c>
      <c r="I141" s="37">
        <v>72</v>
      </c>
      <c r="J141" s="31">
        <v>0</v>
      </c>
      <c r="K141" s="31">
        <v>102</v>
      </c>
      <c r="L141" s="31">
        <v>63</v>
      </c>
      <c r="M141" s="31">
        <v>40</v>
      </c>
      <c r="N141" s="37">
        <v>27</v>
      </c>
      <c r="O141" s="31">
        <v>3</v>
      </c>
      <c r="P141" s="37">
        <v>20</v>
      </c>
      <c r="Q141" s="31">
        <v>4</v>
      </c>
      <c r="R141" s="16">
        <f t="shared" si="2"/>
        <v>12</v>
      </c>
      <c r="S141" s="37">
        <v>3</v>
      </c>
      <c r="T141" s="37">
        <v>3</v>
      </c>
      <c r="U141" s="37">
        <v>3</v>
      </c>
      <c r="V141" s="37">
        <v>3</v>
      </c>
      <c r="W141" s="31">
        <v>70</v>
      </c>
      <c r="X141" s="31">
        <v>110</v>
      </c>
      <c r="Y141" s="31">
        <v>2.25</v>
      </c>
      <c r="Z141" s="31">
        <v>4.55</v>
      </c>
      <c r="AA141" s="31">
        <v>112111</v>
      </c>
      <c r="AB141" s="31"/>
    </row>
    <row r="142" spans="1:27">
      <c r="A142" s="27">
        <v>11215</v>
      </c>
      <c r="B142" s="16" t="s">
        <v>37</v>
      </c>
      <c r="C142" s="16" t="s">
        <v>352</v>
      </c>
      <c r="D142" s="16" t="s">
        <v>72</v>
      </c>
      <c r="E142" s="16">
        <v>60</v>
      </c>
      <c r="F142" s="16">
        <v>85</v>
      </c>
      <c r="G142" s="16">
        <v>0</v>
      </c>
      <c r="H142" s="16">
        <v>85</v>
      </c>
      <c r="I142" s="16">
        <v>47</v>
      </c>
      <c r="J142" s="16">
        <v>0</v>
      </c>
      <c r="K142" s="26">
        <v>102</v>
      </c>
      <c r="L142" s="16">
        <v>51</v>
      </c>
      <c r="M142" s="16">
        <v>37</v>
      </c>
      <c r="N142" s="16">
        <v>21</v>
      </c>
      <c r="O142" s="16">
        <v>3</v>
      </c>
      <c r="P142" s="16">
        <v>9</v>
      </c>
      <c r="Q142" s="16">
        <v>4</v>
      </c>
      <c r="R142" s="39">
        <f t="shared" si="2"/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75</v>
      </c>
      <c r="X142" s="16">
        <v>110</v>
      </c>
      <c r="Y142" s="16">
        <v>2.3</v>
      </c>
      <c r="Z142" s="16">
        <v>4.6</v>
      </c>
      <c r="AA142" s="16">
        <v>112151</v>
      </c>
    </row>
    <row r="143" spans="1:28">
      <c r="A143" s="27">
        <v>11219</v>
      </c>
      <c r="B143" s="16" t="s">
        <v>29</v>
      </c>
      <c r="C143" s="25" t="s">
        <v>73</v>
      </c>
      <c r="D143" s="16" t="s">
        <v>31</v>
      </c>
      <c r="E143" s="16">
        <v>72</v>
      </c>
      <c r="F143" s="16">
        <v>45</v>
      </c>
      <c r="G143" s="16">
        <v>0</v>
      </c>
      <c r="H143" s="16">
        <v>72</v>
      </c>
      <c r="I143" s="16">
        <v>79</v>
      </c>
      <c r="J143" s="16">
        <v>0</v>
      </c>
      <c r="K143" s="16">
        <v>102</v>
      </c>
      <c r="L143" s="16">
        <v>69</v>
      </c>
      <c r="M143" s="16">
        <v>85</v>
      </c>
      <c r="N143" s="16">
        <v>34.2</v>
      </c>
      <c r="O143" s="16">
        <v>1</v>
      </c>
      <c r="P143" s="16">
        <v>40</v>
      </c>
      <c r="Q143" s="16">
        <v>4</v>
      </c>
      <c r="R143" s="16">
        <f t="shared" si="2"/>
        <v>87</v>
      </c>
      <c r="S143" s="16">
        <v>24</v>
      </c>
      <c r="T143" s="16">
        <v>24</v>
      </c>
      <c r="U143" s="16">
        <v>24</v>
      </c>
      <c r="V143" s="16">
        <v>15</v>
      </c>
      <c r="W143" s="31">
        <v>60</v>
      </c>
      <c r="X143" s="31">
        <v>55</v>
      </c>
      <c r="Y143" s="31">
        <v>2.4</v>
      </c>
      <c r="Z143" s="31">
        <v>4.5</v>
      </c>
      <c r="AA143" s="31">
        <v>112191</v>
      </c>
      <c r="AB143" s="31"/>
    </row>
    <row r="144" spans="1:28">
      <c r="A144" s="27">
        <v>11220</v>
      </c>
      <c r="B144" s="16" t="s">
        <v>29</v>
      </c>
      <c r="C144" s="25" t="s">
        <v>74</v>
      </c>
      <c r="D144" s="16" t="s">
        <v>31</v>
      </c>
      <c r="E144" s="16">
        <v>72</v>
      </c>
      <c r="F144" s="16">
        <v>45</v>
      </c>
      <c r="G144" s="16">
        <v>0</v>
      </c>
      <c r="H144" s="16">
        <v>65</v>
      </c>
      <c r="I144" s="16">
        <v>75</v>
      </c>
      <c r="J144" s="16">
        <v>0</v>
      </c>
      <c r="K144" s="16">
        <v>102</v>
      </c>
      <c r="L144" s="16">
        <v>62</v>
      </c>
      <c r="M144" s="16">
        <v>90</v>
      </c>
      <c r="N144" s="16">
        <v>34.2</v>
      </c>
      <c r="O144" s="16">
        <v>1</v>
      </c>
      <c r="P144" s="16">
        <v>9</v>
      </c>
      <c r="Q144" s="16">
        <v>4</v>
      </c>
      <c r="R144" s="16">
        <f t="shared" si="2"/>
        <v>87</v>
      </c>
      <c r="S144" s="16">
        <v>24</v>
      </c>
      <c r="T144" s="16">
        <v>24</v>
      </c>
      <c r="U144" s="16">
        <v>24</v>
      </c>
      <c r="V144" s="16">
        <v>15</v>
      </c>
      <c r="W144" s="31">
        <v>60</v>
      </c>
      <c r="X144" s="31">
        <v>55</v>
      </c>
      <c r="Y144" s="31">
        <v>2.4</v>
      </c>
      <c r="Z144" s="31">
        <v>4.5</v>
      </c>
      <c r="AA144" s="31">
        <v>112201</v>
      </c>
      <c r="AB144" s="31"/>
    </row>
    <row r="145" spans="1:28">
      <c r="A145" s="27">
        <v>11221</v>
      </c>
      <c r="B145" s="16" t="s">
        <v>29</v>
      </c>
      <c r="C145" s="25" t="s">
        <v>75</v>
      </c>
      <c r="D145" s="16" t="s">
        <v>31</v>
      </c>
      <c r="E145" s="16">
        <v>58</v>
      </c>
      <c r="F145" s="16">
        <v>45</v>
      </c>
      <c r="G145" s="16">
        <v>0</v>
      </c>
      <c r="H145" s="16">
        <v>60</v>
      </c>
      <c r="I145" s="16">
        <v>65</v>
      </c>
      <c r="J145" s="16">
        <v>0</v>
      </c>
      <c r="K145" s="16">
        <v>101</v>
      </c>
      <c r="L145" s="16">
        <v>65</v>
      </c>
      <c r="M145" s="16">
        <v>65</v>
      </c>
      <c r="N145" s="16">
        <v>34.5</v>
      </c>
      <c r="O145" s="16">
        <v>1</v>
      </c>
      <c r="P145" s="16">
        <v>13</v>
      </c>
      <c r="Q145" s="16">
        <v>4</v>
      </c>
      <c r="R145" s="16">
        <f t="shared" si="2"/>
        <v>73</v>
      </c>
      <c r="S145" s="16">
        <v>21</v>
      </c>
      <c r="T145" s="16">
        <v>23</v>
      </c>
      <c r="U145" s="16">
        <v>23</v>
      </c>
      <c r="V145" s="16">
        <v>6</v>
      </c>
      <c r="W145" s="31">
        <v>60</v>
      </c>
      <c r="X145" s="31">
        <v>60</v>
      </c>
      <c r="Y145" s="31">
        <v>2.4</v>
      </c>
      <c r="Z145" s="31">
        <v>4.3</v>
      </c>
      <c r="AA145" s="31">
        <v>112211</v>
      </c>
      <c r="AB145" s="31">
        <v>112212</v>
      </c>
    </row>
    <row r="146" spans="1:28">
      <c r="A146" s="27">
        <v>11222</v>
      </c>
      <c r="B146" s="16" t="s">
        <v>29</v>
      </c>
      <c r="C146" s="25" t="s">
        <v>76</v>
      </c>
      <c r="D146" s="16" t="s">
        <v>31</v>
      </c>
      <c r="E146" s="16">
        <v>56</v>
      </c>
      <c r="F146" s="16">
        <v>45</v>
      </c>
      <c r="G146" s="16">
        <v>0</v>
      </c>
      <c r="H146" s="16">
        <v>59</v>
      </c>
      <c r="I146" s="16">
        <v>65</v>
      </c>
      <c r="J146" s="16">
        <v>0</v>
      </c>
      <c r="K146" s="16">
        <v>101</v>
      </c>
      <c r="L146" s="16">
        <v>65</v>
      </c>
      <c r="M146" s="16">
        <v>65</v>
      </c>
      <c r="N146" s="16">
        <v>34.5</v>
      </c>
      <c r="O146" s="16">
        <v>1</v>
      </c>
      <c r="P146" s="16">
        <v>10</v>
      </c>
      <c r="Q146" s="16">
        <v>4</v>
      </c>
      <c r="R146" s="16">
        <f t="shared" si="2"/>
        <v>70</v>
      </c>
      <c r="S146" s="16">
        <v>20</v>
      </c>
      <c r="T146" s="16">
        <v>26</v>
      </c>
      <c r="U146" s="16">
        <v>18</v>
      </c>
      <c r="V146" s="16">
        <v>6</v>
      </c>
      <c r="W146" s="31">
        <v>60</v>
      </c>
      <c r="X146" s="31">
        <v>60</v>
      </c>
      <c r="Y146" s="31">
        <v>2.4</v>
      </c>
      <c r="Z146" s="31">
        <v>4.2</v>
      </c>
      <c r="AA146" s="31">
        <v>112221</v>
      </c>
      <c r="AB146" s="31"/>
    </row>
    <row r="147" spans="1:28">
      <c r="A147" s="27">
        <v>11223</v>
      </c>
      <c r="B147" s="16" t="s">
        <v>44</v>
      </c>
      <c r="C147" s="25" t="s">
        <v>77</v>
      </c>
      <c r="D147" s="16" t="s">
        <v>31</v>
      </c>
      <c r="E147" s="16">
        <v>111</v>
      </c>
      <c r="F147" s="16">
        <v>45</v>
      </c>
      <c r="G147" s="16">
        <v>0</v>
      </c>
      <c r="H147" s="16">
        <v>103</v>
      </c>
      <c r="I147" s="16">
        <v>73</v>
      </c>
      <c r="J147" s="16">
        <v>0</v>
      </c>
      <c r="K147" s="16">
        <v>92</v>
      </c>
      <c r="L147" s="16">
        <v>50</v>
      </c>
      <c r="M147" s="16">
        <v>74</v>
      </c>
      <c r="N147" s="16">
        <v>27</v>
      </c>
      <c r="O147" s="16">
        <v>1</v>
      </c>
      <c r="P147" s="16">
        <v>5</v>
      </c>
      <c r="Q147" s="16">
        <v>4</v>
      </c>
      <c r="R147" s="16">
        <f t="shared" si="2"/>
        <v>72</v>
      </c>
      <c r="S147" s="16">
        <v>12</v>
      </c>
      <c r="T147" s="16">
        <v>17</v>
      </c>
      <c r="U147" s="16">
        <v>31</v>
      </c>
      <c r="V147" s="16">
        <v>12</v>
      </c>
      <c r="W147" s="31">
        <v>135</v>
      </c>
      <c r="X147" s="31">
        <v>140</v>
      </c>
      <c r="Y147" s="31">
        <v>3.9</v>
      </c>
      <c r="Z147" s="31">
        <v>7</v>
      </c>
      <c r="AA147" s="31">
        <v>112231</v>
      </c>
      <c r="AB147" s="31">
        <v>112232</v>
      </c>
    </row>
    <row r="148" spans="1:28">
      <c r="A148" s="27">
        <v>11224</v>
      </c>
      <c r="B148" s="16" t="s">
        <v>44</v>
      </c>
      <c r="C148" s="25" t="s">
        <v>78</v>
      </c>
      <c r="D148" s="16" t="s">
        <v>39</v>
      </c>
      <c r="E148" s="16">
        <v>81</v>
      </c>
      <c r="F148" s="16">
        <v>45</v>
      </c>
      <c r="G148" s="16">
        <v>0</v>
      </c>
      <c r="H148" s="16">
        <v>99</v>
      </c>
      <c r="I148" s="16">
        <v>95</v>
      </c>
      <c r="J148" s="16">
        <v>0</v>
      </c>
      <c r="K148" s="26">
        <v>97</v>
      </c>
      <c r="L148" s="16">
        <v>65</v>
      </c>
      <c r="M148" s="16">
        <v>72</v>
      </c>
      <c r="N148" s="16">
        <v>30.5</v>
      </c>
      <c r="O148" s="16">
        <v>1</v>
      </c>
      <c r="P148" s="16">
        <v>24</v>
      </c>
      <c r="Q148" s="16">
        <v>4</v>
      </c>
      <c r="R148" s="16">
        <f t="shared" si="2"/>
        <v>69</v>
      </c>
      <c r="S148" s="16">
        <v>15</v>
      </c>
      <c r="T148" s="16">
        <v>25</v>
      </c>
      <c r="U148" s="16">
        <v>15</v>
      </c>
      <c r="V148" s="16">
        <v>14</v>
      </c>
      <c r="W148" s="31">
        <v>70</v>
      </c>
      <c r="X148" s="31">
        <v>65</v>
      </c>
      <c r="Y148" s="31">
        <v>2.88</v>
      </c>
      <c r="Z148" s="31">
        <v>5.6</v>
      </c>
      <c r="AA148" s="31">
        <v>102241</v>
      </c>
      <c r="AB148" s="31">
        <v>112242</v>
      </c>
    </row>
    <row r="149" spans="1:28">
      <c r="A149" s="27">
        <v>11225</v>
      </c>
      <c r="B149" s="16" t="s">
        <v>29</v>
      </c>
      <c r="C149" s="25" t="s">
        <v>79</v>
      </c>
      <c r="D149" s="16" t="s">
        <v>34</v>
      </c>
      <c r="E149" s="16">
        <v>56</v>
      </c>
      <c r="F149" s="16">
        <v>40</v>
      </c>
      <c r="G149" s="16">
        <v>0</v>
      </c>
      <c r="H149" s="16">
        <v>62</v>
      </c>
      <c r="I149" s="16">
        <v>82</v>
      </c>
      <c r="J149" s="16">
        <v>0</v>
      </c>
      <c r="K149" s="16">
        <v>101</v>
      </c>
      <c r="L149" s="16">
        <v>57</v>
      </c>
      <c r="M149" s="16">
        <v>67</v>
      </c>
      <c r="N149" s="16">
        <v>29.5</v>
      </c>
      <c r="O149" s="16">
        <v>1</v>
      </c>
      <c r="P149" s="16">
        <v>10</v>
      </c>
      <c r="Q149" s="16">
        <v>4</v>
      </c>
      <c r="R149" s="16">
        <f t="shared" si="2"/>
        <v>82</v>
      </c>
      <c r="S149" s="16">
        <v>20</v>
      </c>
      <c r="T149" s="16">
        <v>17</v>
      </c>
      <c r="U149" s="16">
        <v>30</v>
      </c>
      <c r="V149" s="16">
        <v>15</v>
      </c>
      <c r="W149" s="31">
        <v>55</v>
      </c>
      <c r="X149" s="31">
        <v>60</v>
      </c>
      <c r="Y149" s="31">
        <v>2.08</v>
      </c>
      <c r="Z149" s="31">
        <v>3.9</v>
      </c>
      <c r="AA149" s="31">
        <v>112251</v>
      </c>
      <c r="AB149" s="31"/>
    </row>
    <row r="150" s="16" customFormat="1" spans="1:29">
      <c r="A150" s="27">
        <v>11226</v>
      </c>
      <c r="B150" s="16" t="s">
        <v>29</v>
      </c>
      <c r="C150" s="25" t="s">
        <v>80</v>
      </c>
      <c r="D150" s="16" t="s">
        <v>34</v>
      </c>
      <c r="E150" s="16">
        <v>72</v>
      </c>
      <c r="F150" s="16">
        <v>45</v>
      </c>
      <c r="G150" s="16">
        <v>0</v>
      </c>
      <c r="H150" s="16">
        <v>64</v>
      </c>
      <c r="I150" s="16">
        <v>95</v>
      </c>
      <c r="J150" s="16">
        <v>0</v>
      </c>
      <c r="K150" s="26">
        <v>101</v>
      </c>
      <c r="L150" s="16">
        <v>60</v>
      </c>
      <c r="M150" s="16">
        <v>82</v>
      </c>
      <c r="N150" s="16">
        <v>33</v>
      </c>
      <c r="O150" s="16">
        <v>1</v>
      </c>
      <c r="P150" s="16">
        <v>24</v>
      </c>
      <c r="Q150" s="16">
        <v>4</v>
      </c>
      <c r="R150" s="16">
        <f t="shared" si="2"/>
        <v>94</v>
      </c>
      <c r="S150" s="16">
        <v>20</v>
      </c>
      <c r="T150" s="16">
        <v>20</v>
      </c>
      <c r="U150" s="16">
        <v>34</v>
      </c>
      <c r="V150" s="16">
        <v>20</v>
      </c>
      <c r="W150" s="31">
        <v>75</v>
      </c>
      <c r="X150" s="31">
        <v>70</v>
      </c>
      <c r="Y150" s="31">
        <v>2.4</v>
      </c>
      <c r="Z150" s="31">
        <v>4.5</v>
      </c>
      <c r="AA150" s="31">
        <v>102261</v>
      </c>
      <c r="AB150" s="31">
        <v>112262</v>
      </c>
      <c r="AC150" s="27" t="s">
        <v>81</v>
      </c>
    </row>
    <row r="151" spans="1:28">
      <c r="A151" s="27">
        <v>11227</v>
      </c>
      <c r="B151" s="16" t="s">
        <v>237</v>
      </c>
      <c r="C151" s="25" t="s">
        <v>353</v>
      </c>
      <c r="D151" s="16" t="s">
        <v>31</v>
      </c>
      <c r="E151" s="16">
        <v>70</v>
      </c>
      <c r="F151" s="16">
        <v>30</v>
      </c>
      <c r="G151" s="16">
        <v>0</v>
      </c>
      <c r="H151" s="16">
        <v>45</v>
      </c>
      <c r="I151" s="16">
        <v>63</v>
      </c>
      <c r="J151" s="16">
        <v>0</v>
      </c>
      <c r="K151" s="16">
        <v>95</v>
      </c>
      <c r="L151" s="16">
        <v>51</v>
      </c>
      <c r="M151" s="16">
        <v>65</v>
      </c>
      <c r="N151" s="16">
        <v>25.5</v>
      </c>
      <c r="O151" s="16">
        <v>1</v>
      </c>
      <c r="P151" s="16">
        <v>9</v>
      </c>
      <c r="Q151" s="16">
        <v>3</v>
      </c>
      <c r="R151" s="16">
        <f t="shared" si="2"/>
        <v>55</v>
      </c>
      <c r="S151" s="16">
        <v>15</v>
      </c>
      <c r="T151" s="16">
        <v>20</v>
      </c>
      <c r="U151" s="16">
        <v>20</v>
      </c>
      <c r="V151" s="16">
        <v>0</v>
      </c>
      <c r="W151" s="31">
        <v>35</v>
      </c>
      <c r="X151" s="31">
        <v>35</v>
      </c>
      <c r="Y151" s="31">
        <v>1.28</v>
      </c>
      <c r="Z151" s="31">
        <v>2.4</v>
      </c>
      <c r="AA151" s="31">
        <v>112271</v>
      </c>
      <c r="AB151" s="31"/>
    </row>
    <row r="152" spans="1:28">
      <c r="A152" s="27">
        <v>11228</v>
      </c>
      <c r="B152" s="16" t="s">
        <v>237</v>
      </c>
      <c r="C152" s="25" t="s">
        <v>354</v>
      </c>
      <c r="D152" s="16" t="s">
        <v>31</v>
      </c>
      <c r="E152" s="16">
        <v>70</v>
      </c>
      <c r="F152" s="16">
        <v>30</v>
      </c>
      <c r="G152" s="16">
        <v>0</v>
      </c>
      <c r="H152" s="16">
        <v>47</v>
      </c>
      <c r="I152" s="16">
        <v>66</v>
      </c>
      <c r="J152" s="16">
        <v>0</v>
      </c>
      <c r="K152" s="16">
        <v>95</v>
      </c>
      <c r="L152" s="16">
        <v>51</v>
      </c>
      <c r="M152" s="16">
        <v>65</v>
      </c>
      <c r="N152" s="16">
        <v>25.5</v>
      </c>
      <c r="O152" s="16">
        <v>1</v>
      </c>
      <c r="P152" s="16">
        <v>22</v>
      </c>
      <c r="Q152" s="16">
        <v>3</v>
      </c>
      <c r="R152" s="16">
        <f t="shared" si="2"/>
        <v>55</v>
      </c>
      <c r="S152" s="16">
        <v>15</v>
      </c>
      <c r="T152" s="16">
        <v>20</v>
      </c>
      <c r="U152" s="16">
        <v>20</v>
      </c>
      <c r="V152" s="16">
        <v>0</v>
      </c>
      <c r="W152" s="31">
        <v>35</v>
      </c>
      <c r="X152" s="31">
        <v>35</v>
      </c>
      <c r="Y152" s="31">
        <v>1.28</v>
      </c>
      <c r="Z152" s="31">
        <v>2.4</v>
      </c>
      <c r="AA152" s="31">
        <v>112281</v>
      </c>
      <c r="AB152" s="31"/>
    </row>
    <row r="153" spans="1:27">
      <c r="A153" s="27">
        <v>11232</v>
      </c>
      <c r="B153" s="16" t="s">
        <v>29</v>
      </c>
      <c r="C153" s="16" t="s">
        <v>83</v>
      </c>
      <c r="D153" s="16" t="s">
        <v>43</v>
      </c>
      <c r="E153" s="16">
        <v>72</v>
      </c>
      <c r="F153" s="16">
        <v>40</v>
      </c>
      <c r="G153" s="16">
        <v>0</v>
      </c>
      <c r="H153" s="16">
        <v>63</v>
      </c>
      <c r="I153" s="16">
        <v>75</v>
      </c>
      <c r="J153" s="16">
        <v>0</v>
      </c>
      <c r="K153" s="26">
        <v>100</v>
      </c>
      <c r="L153" s="16">
        <v>49</v>
      </c>
      <c r="M153" s="16">
        <v>59</v>
      </c>
      <c r="N153" s="16">
        <v>21.5</v>
      </c>
      <c r="O153" s="16">
        <v>1</v>
      </c>
      <c r="P153" s="16">
        <v>19</v>
      </c>
      <c r="Q153" s="16">
        <v>4</v>
      </c>
      <c r="R153" s="39">
        <f t="shared" si="2"/>
        <v>56</v>
      </c>
      <c r="S153" s="16">
        <v>15</v>
      </c>
      <c r="T153" s="16">
        <v>17</v>
      </c>
      <c r="U153" s="16">
        <v>12</v>
      </c>
      <c r="V153" s="16">
        <v>12</v>
      </c>
      <c r="W153" s="16">
        <v>50</v>
      </c>
      <c r="X153" s="16">
        <v>60</v>
      </c>
      <c r="Y153" s="16">
        <v>2.08</v>
      </c>
      <c r="Z153" s="16">
        <v>3.8</v>
      </c>
      <c r="AA153" s="16">
        <v>112321</v>
      </c>
    </row>
    <row r="154" spans="1:28">
      <c r="A154" s="27">
        <v>11233</v>
      </c>
      <c r="B154" s="16" t="s">
        <v>355</v>
      </c>
      <c r="C154" s="25" t="s">
        <v>356</v>
      </c>
      <c r="D154" s="27" t="s">
        <v>31</v>
      </c>
      <c r="E154" s="31">
        <v>52</v>
      </c>
      <c r="F154" s="31">
        <v>63</v>
      </c>
      <c r="G154" s="31">
        <v>79</v>
      </c>
      <c r="H154" s="31">
        <v>52</v>
      </c>
      <c r="I154" s="31">
        <v>65</v>
      </c>
      <c r="J154" s="31">
        <v>52</v>
      </c>
      <c r="K154" s="31">
        <v>100</v>
      </c>
      <c r="L154" s="31">
        <v>87</v>
      </c>
      <c r="M154" s="31">
        <v>51</v>
      </c>
      <c r="N154" s="31">
        <v>35</v>
      </c>
      <c r="O154" s="31">
        <v>2</v>
      </c>
      <c r="P154" s="31">
        <v>10</v>
      </c>
      <c r="Q154" s="31">
        <v>4</v>
      </c>
      <c r="R154" s="16">
        <f t="shared" si="2"/>
        <v>12</v>
      </c>
      <c r="S154" s="31">
        <v>0</v>
      </c>
      <c r="T154" s="31">
        <v>0</v>
      </c>
      <c r="U154" s="31">
        <v>0</v>
      </c>
      <c r="V154" s="31">
        <v>12</v>
      </c>
      <c r="W154" s="31">
        <v>40</v>
      </c>
      <c r="X154" s="31">
        <v>75</v>
      </c>
      <c r="Y154" s="31">
        <v>1.3</v>
      </c>
      <c r="Z154" s="31">
        <v>2.4</v>
      </c>
      <c r="AA154" s="31">
        <v>112331</v>
      </c>
      <c r="AB154" s="31"/>
    </row>
    <row r="155" spans="1:27">
      <c r="A155" s="27">
        <v>11238</v>
      </c>
      <c r="B155" s="16" t="s">
        <v>84</v>
      </c>
      <c r="C155" s="16" t="s">
        <v>357</v>
      </c>
      <c r="D155" s="16" t="s">
        <v>39</v>
      </c>
      <c r="E155" s="16">
        <v>48</v>
      </c>
      <c r="F155" s="16">
        <v>63</v>
      </c>
      <c r="G155" s="16">
        <v>58</v>
      </c>
      <c r="H155" s="16">
        <v>48</v>
      </c>
      <c r="I155" s="16">
        <v>70</v>
      </c>
      <c r="J155" s="16">
        <v>0</v>
      </c>
      <c r="K155" s="26">
        <v>97</v>
      </c>
      <c r="L155" s="16">
        <v>82</v>
      </c>
      <c r="M155" s="16">
        <v>62</v>
      </c>
      <c r="N155" s="16">
        <v>32</v>
      </c>
      <c r="O155" s="16">
        <v>2</v>
      </c>
      <c r="P155" s="16">
        <v>9</v>
      </c>
      <c r="Q155" s="16">
        <v>4</v>
      </c>
      <c r="R155" s="39">
        <f t="shared" si="2"/>
        <v>8</v>
      </c>
      <c r="S155" s="16">
        <v>2</v>
      </c>
      <c r="T155" s="16">
        <v>2</v>
      </c>
      <c r="U155" s="16">
        <v>2</v>
      </c>
      <c r="V155" s="16">
        <v>2</v>
      </c>
      <c r="W155" s="31">
        <v>35</v>
      </c>
      <c r="X155" s="31">
        <v>70</v>
      </c>
      <c r="Y155" s="31">
        <v>1.28</v>
      </c>
      <c r="Z155" s="31">
        <v>2.4</v>
      </c>
      <c r="AA155" s="31">
        <v>112381</v>
      </c>
    </row>
    <row r="156" spans="1:27">
      <c r="A156" s="27">
        <v>11239</v>
      </c>
      <c r="B156" s="16" t="s">
        <v>84</v>
      </c>
      <c r="C156" s="41" t="s">
        <v>358</v>
      </c>
      <c r="D156" s="16" t="s">
        <v>39</v>
      </c>
      <c r="E156" s="16">
        <v>48</v>
      </c>
      <c r="F156" s="16">
        <v>63</v>
      </c>
      <c r="G156" s="16">
        <v>58</v>
      </c>
      <c r="H156" s="16">
        <v>48</v>
      </c>
      <c r="I156" s="16">
        <v>73</v>
      </c>
      <c r="J156" s="16">
        <v>0</v>
      </c>
      <c r="K156" s="26">
        <v>97</v>
      </c>
      <c r="L156" s="16">
        <v>82</v>
      </c>
      <c r="M156" s="16">
        <v>62</v>
      </c>
      <c r="N156" s="16">
        <v>32</v>
      </c>
      <c r="O156" s="16">
        <v>2</v>
      </c>
      <c r="P156" s="16">
        <v>10</v>
      </c>
      <c r="Q156" s="16">
        <v>4</v>
      </c>
      <c r="R156" s="39">
        <f t="shared" si="2"/>
        <v>8</v>
      </c>
      <c r="S156" s="16">
        <v>2</v>
      </c>
      <c r="T156" s="16">
        <v>2</v>
      </c>
      <c r="U156" s="16">
        <v>2</v>
      </c>
      <c r="V156" s="16">
        <v>2</v>
      </c>
      <c r="W156" s="16">
        <v>35</v>
      </c>
      <c r="X156" s="16">
        <v>70</v>
      </c>
      <c r="Y156" s="16">
        <v>1.28</v>
      </c>
      <c r="Z156" s="16">
        <v>2.4</v>
      </c>
      <c r="AA156" s="16">
        <v>112391</v>
      </c>
    </row>
    <row r="157" spans="1:28">
      <c r="A157" s="27">
        <v>11240</v>
      </c>
      <c r="B157" s="16" t="s">
        <v>84</v>
      </c>
      <c r="C157" s="16" t="s">
        <v>359</v>
      </c>
      <c r="D157" s="27" t="s">
        <v>34</v>
      </c>
      <c r="E157" s="31">
        <v>58</v>
      </c>
      <c r="F157" s="31">
        <v>73</v>
      </c>
      <c r="G157" s="31">
        <v>0</v>
      </c>
      <c r="H157" s="31">
        <v>56</v>
      </c>
      <c r="I157" s="31">
        <v>83</v>
      </c>
      <c r="J157" s="31">
        <v>0</v>
      </c>
      <c r="K157" s="31">
        <v>98</v>
      </c>
      <c r="L157" s="31">
        <v>83</v>
      </c>
      <c r="M157" s="31">
        <v>58</v>
      </c>
      <c r="N157" s="31">
        <v>32.7</v>
      </c>
      <c r="O157" s="31">
        <v>2</v>
      </c>
      <c r="P157" s="31">
        <v>20</v>
      </c>
      <c r="Q157" s="31">
        <v>4</v>
      </c>
      <c r="R157" s="16">
        <f t="shared" si="2"/>
        <v>8</v>
      </c>
      <c r="S157" s="31">
        <v>2</v>
      </c>
      <c r="T157" s="31">
        <v>2</v>
      </c>
      <c r="U157" s="31">
        <v>2</v>
      </c>
      <c r="V157" s="31">
        <v>2</v>
      </c>
      <c r="W157" s="31">
        <v>40</v>
      </c>
      <c r="X157" s="31">
        <v>70</v>
      </c>
      <c r="Y157" s="31">
        <v>1.28</v>
      </c>
      <c r="Z157" s="31">
        <v>2.4</v>
      </c>
      <c r="AA157" s="31">
        <v>112401</v>
      </c>
      <c r="AB157" s="31"/>
    </row>
    <row r="158" spans="1:28">
      <c r="A158" s="27">
        <v>11241</v>
      </c>
      <c r="B158" s="16" t="s">
        <v>84</v>
      </c>
      <c r="C158" s="16" t="s">
        <v>85</v>
      </c>
      <c r="D158" s="27" t="s">
        <v>34</v>
      </c>
      <c r="E158" s="31">
        <v>62</v>
      </c>
      <c r="F158" s="31">
        <v>78</v>
      </c>
      <c r="G158" s="31">
        <v>0</v>
      </c>
      <c r="H158" s="31">
        <v>60</v>
      </c>
      <c r="I158" s="31">
        <v>101</v>
      </c>
      <c r="J158" s="31">
        <v>0</v>
      </c>
      <c r="K158" s="31">
        <v>99</v>
      </c>
      <c r="L158" s="31">
        <v>83</v>
      </c>
      <c r="M158" s="31">
        <v>58</v>
      </c>
      <c r="N158" s="31">
        <v>33</v>
      </c>
      <c r="O158" s="31">
        <v>2</v>
      </c>
      <c r="P158" s="31">
        <v>18</v>
      </c>
      <c r="Q158" s="31">
        <v>4</v>
      </c>
      <c r="R158" s="16">
        <f t="shared" si="2"/>
        <v>8</v>
      </c>
      <c r="S158" s="31">
        <v>2</v>
      </c>
      <c r="T158" s="31">
        <v>2</v>
      </c>
      <c r="U158" s="31">
        <v>2</v>
      </c>
      <c r="V158" s="31">
        <v>2</v>
      </c>
      <c r="W158" s="31">
        <v>45</v>
      </c>
      <c r="X158" s="31">
        <v>75</v>
      </c>
      <c r="Y158" s="31">
        <v>1.28</v>
      </c>
      <c r="Z158" s="31">
        <v>2.4</v>
      </c>
      <c r="AA158" s="31">
        <v>112411</v>
      </c>
      <c r="AB158" s="31">
        <v>112412</v>
      </c>
    </row>
    <row r="159" spans="1:27">
      <c r="A159" s="44">
        <v>11244</v>
      </c>
      <c r="B159" s="16" t="s">
        <v>265</v>
      </c>
      <c r="C159" s="16" t="s">
        <v>360</v>
      </c>
      <c r="D159" s="16" t="s">
        <v>72</v>
      </c>
      <c r="E159" s="16">
        <v>32</v>
      </c>
      <c r="F159" s="16">
        <v>39</v>
      </c>
      <c r="G159" s="16">
        <v>77</v>
      </c>
      <c r="H159" s="16">
        <v>35</v>
      </c>
      <c r="I159" s="16">
        <v>69</v>
      </c>
      <c r="J159" s="16">
        <v>67</v>
      </c>
      <c r="K159" s="26">
        <v>95</v>
      </c>
      <c r="L159" s="16">
        <v>93</v>
      </c>
      <c r="M159" s="16">
        <v>26</v>
      </c>
      <c r="N159" s="16">
        <v>39</v>
      </c>
      <c r="O159" s="16">
        <v>1</v>
      </c>
      <c r="P159" s="16">
        <v>36</v>
      </c>
      <c r="Q159" s="16">
        <v>3</v>
      </c>
      <c r="R159" s="39">
        <f t="shared" si="2"/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10</v>
      </c>
      <c r="X159" s="16">
        <v>15</v>
      </c>
      <c r="Y159" s="16">
        <v>0.48</v>
      </c>
      <c r="Z159" s="16">
        <v>0.9</v>
      </c>
      <c r="AA159" s="16">
        <v>112441</v>
      </c>
    </row>
    <row r="160" spans="1:28">
      <c r="A160" s="27">
        <v>11248</v>
      </c>
      <c r="B160" s="16" t="s">
        <v>355</v>
      </c>
      <c r="C160" s="25" t="s">
        <v>361</v>
      </c>
      <c r="D160" s="27" t="s">
        <v>31</v>
      </c>
      <c r="E160" s="31">
        <v>40</v>
      </c>
      <c r="F160" s="31">
        <v>52</v>
      </c>
      <c r="G160" s="31">
        <v>0</v>
      </c>
      <c r="H160" s="31">
        <v>54</v>
      </c>
      <c r="I160" s="31">
        <v>68</v>
      </c>
      <c r="J160" s="31">
        <v>52</v>
      </c>
      <c r="K160" s="31">
        <v>101</v>
      </c>
      <c r="L160" s="31">
        <v>81</v>
      </c>
      <c r="M160" s="31">
        <v>52</v>
      </c>
      <c r="N160" s="31">
        <v>34</v>
      </c>
      <c r="O160" s="31">
        <v>2</v>
      </c>
      <c r="P160" s="31">
        <v>17</v>
      </c>
      <c r="Q160" s="31">
        <v>4</v>
      </c>
      <c r="R160" s="16">
        <f t="shared" si="2"/>
        <v>18</v>
      </c>
      <c r="S160" s="31">
        <v>0</v>
      </c>
      <c r="T160" s="31">
        <v>0</v>
      </c>
      <c r="U160" s="31">
        <v>9</v>
      </c>
      <c r="V160" s="31">
        <v>9</v>
      </c>
      <c r="W160" s="31">
        <v>40</v>
      </c>
      <c r="X160" s="31">
        <v>70</v>
      </c>
      <c r="Y160" s="31">
        <v>1.3</v>
      </c>
      <c r="Z160" s="31">
        <v>2.3</v>
      </c>
      <c r="AA160" s="31">
        <v>112481</v>
      </c>
      <c r="AB160" s="31"/>
    </row>
    <row r="161" spans="1:27">
      <c r="A161" s="27">
        <v>11258</v>
      </c>
      <c r="B161" s="16" t="s">
        <v>265</v>
      </c>
      <c r="C161" s="16" t="s">
        <v>362</v>
      </c>
      <c r="D161" s="16" t="s">
        <v>31</v>
      </c>
      <c r="E161" s="16">
        <v>32</v>
      </c>
      <c r="F161" s="16">
        <v>38</v>
      </c>
      <c r="G161" s="16">
        <v>97</v>
      </c>
      <c r="H161" s="16">
        <v>34</v>
      </c>
      <c r="I161" s="16">
        <v>50</v>
      </c>
      <c r="J161" s="16">
        <v>58</v>
      </c>
      <c r="K161" s="26">
        <v>92</v>
      </c>
      <c r="L161" s="16">
        <v>91</v>
      </c>
      <c r="M161" s="16">
        <v>40</v>
      </c>
      <c r="N161" s="16">
        <v>35</v>
      </c>
      <c r="O161" s="16">
        <v>1</v>
      </c>
      <c r="P161" s="16">
        <v>10</v>
      </c>
      <c r="Q161" s="16">
        <v>3</v>
      </c>
      <c r="R161" s="39">
        <f t="shared" si="2"/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15</v>
      </c>
      <c r="X161" s="16">
        <v>20</v>
      </c>
      <c r="Y161" s="16">
        <v>0.48</v>
      </c>
      <c r="Z161" s="16">
        <v>0.9</v>
      </c>
      <c r="AA161" s="16">
        <v>112581</v>
      </c>
    </row>
    <row r="162" spans="1:28">
      <c r="A162" s="27">
        <v>11265</v>
      </c>
      <c r="B162" s="16" t="s">
        <v>265</v>
      </c>
      <c r="C162" s="16" t="s">
        <v>363</v>
      </c>
      <c r="D162" s="27" t="s">
        <v>31</v>
      </c>
      <c r="E162" s="31">
        <v>31</v>
      </c>
      <c r="F162" s="31">
        <v>38</v>
      </c>
      <c r="G162" s="31">
        <v>97</v>
      </c>
      <c r="H162" s="31">
        <v>38</v>
      </c>
      <c r="I162" s="31">
        <v>48</v>
      </c>
      <c r="J162" s="31">
        <v>72</v>
      </c>
      <c r="K162" s="31">
        <v>94</v>
      </c>
      <c r="L162" s="31">
        <v>94</v>
      </c>
      <c r="M162" s="31">
        <v>39</v>
      </c>
      <c r="N162" s="31">
        <v>34</v>
      </c>
      <c r="O162" s="31">
        <v>1</v>
      </c>
      <c r="P162" s="31">
        <v>10</v>
      </c>
      <c r="Q162" s="31">
        <v>3</v>
      </c>
      <c r="R162" s="16">
        <f t="shared" si="2"/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15</v>
      </c>
      <c r="X162" s="31">
        <v>20</v>
      </c>
      <c r="Y162" s="31">
        <v>0.48</v>
      </c>
      <c r="Z162" s="31">
        <v>0.9</v>
      </c>
      <c r="AA162" s="31">
        <v>112651</v>
      </c>
      <c r="AB162" s="31"/>
    </row>
    <row r="163" s="16" customFormat="1" spans="1:29">
      <c r="A163" s="27">
        <v>11266</v>
      </c>
      <c r="B163" s="16" t="s">
        <v>265</v>
      </c>
      <c r="C163" s="16" t="s">
        <v>364</v>
      </c>
      <c r="D163" s="16" t="s">
        <v>31</v>
      </c>
      <c r="E163" s="16">
        <v>36</v>
      </c>
      <c r="F163" s="16">
        <v>40</v>
      </c>
      <c r="G163" s="16">
        <v>93</v>
      </c>
      <c r="H163" s="16">
        <v>38</v>
      </c>
      <c r="I163" s="16">
        <v>79</v>
      </c>
      <c r="J163" s="16">
        <v>90</v>
      </c>
      <c r="K163" s="26">
        <v>94</v>
      </c>
      <c r="L163" s="16">
        <v>95</v>
      </c>
      <c r="M163" s="16">
        <v>41</v>
      </c>
      <c r="N163" s="16">
        <v>36.7</v>
      </c>
      <c r="O163" s="16">
        <v>1</v>
      </c>
      <c r="P163" s="16">
        <v>7</v>
      </c>
      <c r="Q163" s="16">
        <v>3</v>
      </c>
      <c r="R163" s="39">
        <f t="shared" si="2"/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15</v>
      </c>
      <c r="X163" s="16">
        <v>25</v>
      </c>
      <c r="Y163" s="16">
        <v>0.5</v>
      </c>
      <c r="Z163" s="16">
        <v>0.9</v>
      </c>
      <c r="AA163" s="16">
        <v>112661</v>
      </c>
      <c r="AC163" s="27" t="s">
        <v>365</v>
      </c>
    </row>
    <row r="164" spans="1:27">
      <c r="A164" s="27">
        <v>11267</v>
      </c>
      <c r="B164" s="16" t="s">
        <v>265</v>
      </c>
      <c r="C164" s="16" t="s">
        <v>366</v>
      </c>
      <c r="D164" s="16" t="s">
        <v>31</v>
      </c>
      <c r="E164" s="16">
        <v>35</v>
      </c>
      <c r="F164" s="16">
        <v>38</v>
      </c>
      <c r="G164" s="16">
        <v>112</v>
      </c>
      <c r="H164" s="16">
        <v>34</v>
      </c>
      <c r="I164" s="16">
        <v>50</v>
      </c>
      <c r="J164" s="16">
        <v>62</v>
      </c>
      <c r="K164" s="26">
        <v>94</v>
      </c>
      <c r="L164" s="16">
        <v>104</v>
      </c>
      <c r="M164" s="16">
        <v>19</v>
      </c>
      <c r="N164" s="16">
        <v>40</v>
      </c>
      <c r="O164" s="16">
        <v>1</v>
      </c>
      <c r="P164" s="16">
        <v>10</v>
      </c>
      <c r="Q164" s="16">
        <v>3</v>
      </c>
      <c r="R164" s="39">
        <f t="shared" si="2"/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20</v>
      </c>
      <c r="X164" s="16">
        <v>30</v>
      </c>
      <c r="Y164" s="16">
        <v>0.48</v>
      </c>
      <c r="Z164" s="16">
        <v>0.9</v>
      </c>
      <c r="AA164" s="16">
        <v>112671</v>
      </c>
    </row>
    <row r="165" s="16" customFormat="1" spans="1:29">
      <c r="A165" s="27">
        <v>11269</v>
      </c>
      <c r="B165" s="16" t="s">
        <v>265</v>
      </c>
      <c r="C165" s="16" t="s">
        <v>367</v>
      </c>
      <c r="D165" s="27" t="s">
        <v>47</v>
      </c>
      <c r="E165" s="31">
        <v>39</v>
      </c>
      <c r="F165" s="31">
        <v>38</v>
      </c>
      <c r="G165" s="31">
        <v>80</v>
      </c>
      <c r="H165" s="31">
        <v>40</v>
      </c>
      <c r="I165" s="31">
        <v>48</v>
      </c>
      <c r="J165" s="31">
        <v>66</v>
      </c>
      <c r="K165" s="31">
        <v>92</v>
      </c>
      <c r="L165" s="31">
        <v>92</v>
      </c>
      <c r="M165" s="31">
        <v>35</v>
      </c>
      <c r="N165" s="31">
        <v>38.5</v>
      </c>
      <c r="O165" s="31">
        <v>1</v>
      </c>
      <c r="P165" s="31">
        <v>10</v>
      </c>
      <c r="Q165" s="31">
        <v>3</v>
      </c>
      <c r="R165" s="16">
        <f t="shared" si="2"/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10</v>
      </c>
      <c r="X165" s="31">
        <v>20</v>
      </c>
      <c r="Y165" s="31">
        <v>0.48</v>
      </c>
      <c r="Z165" s="31">
        <v>0.99</v>
      </c>
      <c r="AA165" s="31">
        <v>112691</v>
      </c>
      <c r="AB165" s="31"/>
      <c r="AC165" s="27" t="s">
        <v>278</v>
      </c>
    </row>
    <row r="166" s="16" customFormat="1" spans="1:29">
      <c r="A166" s="27">
        <v>11270</v>
      </c>
      <c r="B166" s="16" t="s">
        <v>265</v>
      </c>
      <c r="C166" s="16" t="s">
        <v>368</v>
      </c>
      <c r="D166" s="27" t="s">
        <v>47</v>
      </c>
      <c r="E166" s="31">
        <v>39</v>
      </c>
      <c r="F166" s="31">
        <v>38</v>
      </c>
      <c r="G166" s="31">
        <v>80</v>
      </c>
      <c r="H166" s="31">
        <v>40</v>
      </c>
      <c r="I166" s="31">
        <v>48</v>
      </c>
      <c r="J166" s="31">
        <v>66</v>
      </c>
      <c r="K166" s="31">
        <v>92</v>
      </c>
      <c r="L166" s="31">
        <v>92</v>
      </c>
      <c r="M166" s="31">
        <v>37</v>
      </c>
      <c r="N166" s="31">
        <v>38.5</v>
      </c>
      <c r="O166" s="31">
        <v>1</v>
      </c>
      <c r="P166" s="31">
        <v>10</v>
      </c>
      <c r="Q166" s="31">
        <v>3</v>
      </c>
      <c r="R166" s="16">
        <f t="shared" si="2"/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10</v>
      </c>
      <c r="X166" s="31">
        <v>20</v>
      </c>
      <c r="Y166" s="31">
        <v>0.48</v>
      </c>
      <c r="Z166" s="31">
        <v>0.99</v>
      </c>
      <c r="AA166" s="31">
        <v>112701</v>
      </c>
      <c r="AB166" s="31"/>
      <c r="AC166" s="27" t="s">
        <v>278</v>
      </c>
    </row>
    <row r="167" spans="1:27">
      <c r="A167" s="44">
        <v>11273</v>
      </c>
      <c r="B167" s="16" t="s">
        <v>265</v>
      </c>
      <c r="C167" s="16" t="s">
        <v>369</v>
      </c>
      <c r="D167" s="16" t="s">
        <v>34</v>
      </c>
      <c r="E167" s="16">
        <v>33</v>
      </c>
      <c r="F167" s="16">
        <v>46</v>
      </c>
      <c r="G167" s="16">
        <v>85</v>
      </c>
      <c r="H167" s="16">
        <v>40</v>
      </c>
      <c r="I167" s="16">
        <v>72</v>
      </c>
      <c r="J167" s="16">
        <v>88</v>
      </c>
      <c r="K167" s="26">
        <v>93</v>
      </c>
      <c r="L167" s="16">
        <v>91</v>
      </c>
      <c r="M167" s="16">
        <v>37</v>
      </c>
      <c r="N167" s="16">
        <v>38.5</v>
      </c>
      <c r="O167" s="16">
        <v>1</v>
      </c>
      <c r="P167" s="16">
        <v>16</v>
      </c>
      <c r="Q167" s="16">
        <v>3</v>
      </c>
      <c r="R167" s="39">
        <f t="shared" si="2"/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15</v>
      </c>
      <c r="X167" s="16">
        <v>25</v>
      </c>
      <c r="Y167" s="16">
        <v>0.48</v>
      </c>
      <c r="Z167" s="16">
        <v>0.9</v>
      </c>
      <c r="AA167" s="16">
        <v>112731</v>
      </c>
    </row>
    <row r="168" s="16" customFormat="1" spans="1:29">
      <c r="A168" s="27">
        <v>11275</v>
      </c>
      <c r="B168" s="16" t="s">
        <v>265</v>
      </c>
      <c r="C168" s="16" t="s">
        <v>370</v>
      </c>
      <c r="D168" s="16" t="s">
        <v>34</v>
      </c>
      <c r="E168" s="16">
        <v>32</v>
      </c>
      <c r="F168" s="16">
        <v>41</v>
      </c>
      <c r="G168" s="16">
        <v>83</v>
      </c>
      <c r="H168" s="16">
        <v>39</v>
      </c>
      <c r="I168" s="16">
        <v>79</v>
      </c>
      <c r="J168" s="16">
        <v>84</v>
      </c>
      <c r="K168" s="26">
        <v>94</v>
      </c>
      <c r="L168" s="16">
        <v>91</v>
      </c>
      <c r="M168" s="16">
        <v>37</v>
      </c>
      <c r="N168" s="16">
        <v>37</v>
      </c>
      <c r="O168" s="16">
        <v>1</v>
      </c>
      <c r="P168" s="16">
        <v>20</v>
      </c>
      <c r="Q168" s="16">
        <v>3</v>
      </c>
      <c r="R168" s="39">
        <f t="shared" si="2"/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15</v>
      </c>
      <c r="X168" s="16">
        <v>25</v>
      </c>
      <c r="Y168" s="16">
        <v>0.48</v>
      </c>
      <c r="Z168" s="16">
        <v>0.9</v>
      </c>
      <c r="AA168" s="16">
        <v>112751</v>
      </c>
      <c r="AC168" s="27" t="s">
        <v>371</v>
      </c>
    </row>
    <row r="169" s="16" customFormat="1" spans="1:29">
      <c r="A169" s="44">
        <v>11277</v>
      </c>
      <c r="B169" s="16" t="s">
        <v>265</v>
      </c>
      <c r="C169" s="16" t="s">
        <v>372</v>
      </c>
      <c r="D169" s="16" t="s">
        <v>34</v>
      </c>
      <c r="E169" s="16">
        <v>32</v>
      </c>
      <c r="F169" s="16">
        <v>41</v>
      </c>
      <c r="G169" s="16">
        <v>83</v>
      </c>
      <c r="H169" s="16">
        <v>39</v>
      </c>
      <c r="I169" s="16">
        <v>80</v>
      </c>
      <c r="J169" s="16">
        <v>84</v>
      </c>
      <c r="K169" s="26">
        <v>94</v>
      </c>
      <c r="L169" s="16">
        <v>91</v>
      </c>
      <c r="M169" s="16">
        <v>47</v>
      </c>
      <c r="N169" s="16">
        <v>37</v>
      </c>
      <c r="O169" s="16">
        <v>1</v>
      </c>
      <c r="P169" s="16">
        <v>20</v>
      </c>
      <c r="Q169" s="16">
        <v>3</v>
      </c>
      <c r="R169" s="39">
        <f t="shared" si="2"/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15</v>
      </c>
      <c r="X169" s="16">
        <v>25</v>
      </c>
      <c r="Y169" s="16">
        <v>0.48</v>
      </c>
      <c r="Z169" s="16">
        <v>0.9</v>
      </c>
      <c r="AA169" s="16">
        <v>112751</v>
      </c>
      <c r="AC169" s="27" t="s">
        <v>371</v>
      </c>
    </row>
    <row r="170" spans="1:28">
      <c r="A170" s="27">
        <v>11278</v>
      </c>
      <c r="B170" s="16" t="s">
        <v>265</v>
      </c>
      <c r="C170" s="16" t="s">
        <v>373</v>
      </c>
      <c r="D170" s="27" t="s">
        <v>34</v>
      </c>
      <c r="E170" s="31">
        <v>32</v>
      </c>
      <c r="F170" s="31">
        <v>43</v>
      </c>
      <c r="G170" s="31">
        <v>87</v>
      </c>
      <c r="H170" s="31">
        <v>39</v>
      </c>
      <c r="I170" s="31">
        <v>70</v>
      </c>
      <c r="J170" s="31">
        <v>84</v>
      </c>
      <c r="K170" s="31">
        <v>94</v>
      </c>
      <c r="L170" s="31">
        <v>91</v>
      </c>
      <c r="M170" s="31">
        <v>37</v>
      </c>
      <c r="N170" s="31">
        <v>37</v>
      </c>
      <c r="O170" s="31">
        <v>1</v>
      </c>
      <c r="P170" s="31">
        <v>18</v>
      </c>
      <c r="Q170" s="31">
        <v>3</v>
      </c>
      <c r="R170" s="16">
        <f t="shared" si="2"/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15</v>
      </c>
      <c r="X170" s="31">
        <v>25</v>
      </c>
      <c r="Y170" s="31">
        <v>0.48</v>
      </c>
      <c r="Z170" s="31">
        <v>0.9</v>
      </c>
      <c r="AA170" s="31">
        <v>112781</v>
      </c>
      <c r="AB170" s="31">
        <v>112782</v>
      </c>
    </row>
    <row r="171" spans="1:28">
      <c r="A171" s="27">
        <v>11279</v>
      </c>
      <c r="B171" s="16" t="s">
        <v>265</v>
      </c>
      <c r="C171" s="16" t="s">
        <v>374</v>
      </c>
      <c r="D171" s="27" t="s">
        <v>34</v>
      </c>
      <c r="E171" s="31">
        <v>28</v>
      </c>
      <c r="F171" s="31">
        <v>42</v>
      </c>
      <c r="G171" s="31">
        <v>83</v>
      </c>
      <c r="H171" s="31">
        <v>37</v>
      </c>
      <c r="I171" s="31">
        <v>65</v>
      </c>
      <c r="J171" s="31">
        <v>84</v>
      </c>
      <c r="K171" s="31">
        <v>94</v>
      </c>
      <c r="L171" s="31">
        <v>88</v>
      </c>
      <c r="M171" s="31">
        <v>36</v>
      </c>
      <c r="N171" s="31">
        <v>28.7</v>
      </c>
      <c r="O171" s="31">
        <v>1</v>
      </c>
      <c r="P171" s="31">
        <v>18</v>
      </c>
      <c r="Q171" s="31">
        <v>3</v>
      </c>
      <c r="R171" s="16">
        <f t="shared" si="2"/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15</v>
      </c>
      <c r="X171" s="31">
        <v>25</v>
      </c>
      <c r="Y171" s="31">
        <v>0.45</v>
      </c>
      <c r="Z171" s="31">
        <v>0.8</v>
      </c>
      <c r="AA171" s="31">
        <v>112791</v>
      </c>
      <c r="AB171" s="31">
        <v>112782</v>
      </c>
    </row>
    <row r="172" spans="1:28">
      <c r="A172" s="27">
        <v>11280</v>
      </c>
      <c r="B172" s="16" t="s">
        <v>265</v>
      </c>
      <c r="C172" s="16" t="s">
        <v>375</v>
      </c>
      <c r="D172" s="27" t="s">
        <v>34</v>
      </c>
      <c r="E172" s="31">
        <v>32</v>
      </c>
      <c r="F172" s="31">
        <v>45</v>
      </c>
      <c r="G172" s="31">
        <v>90</v>
      </c>
      <c r="H172" s="31">
        <v>41</v>
      </c>
      <c r="I172" s="31">
        <v>72</v>
      </c>
      <c r="J172" s="31">
        <v>84</v>
      </c>
      <c r="K172" s="31">
        <v>94</v>
      </c>
      <c r="L172" s="31">
        <v>91</v>
      </c>
      <c r="M172" s="31">
        <v>37</v>
      </c>
      <c r="N172" s="31">
        <v>37</v>
      </c>
      <c r="O172" s="31">
        <v>1</v>
      </c>
      <c r="P172" s="31">
        <v>18</v>
      </c>
      <c r="Q172" s="31">
        <v>3</v>
      </c>
      <c r="R172" s="16">
        <f t="shared" si="2"/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15</v>
      </c>
      <c r="X172" s="31">
        <v>25</v>
      </c>
      <c r="Y172" s="31">
        <v>0.48</v>
      </c>
      <c r="Z172" s="31">
        <v>0.9</v>
      </c>
      <c r="AA172" s="31">
        <v>112801</v>
      </c>
      <c r="AB172" s="31">
        <v>112782</v>
      </c>
    </row>
    <row r="173" s="16" customFormat="1" spans="1:29">
      <c r="A173" s="42">
        <v>11289</v>
      </c>
      <c r="B173" s="16" t="s">
        <v>87</v>
      </c>
      <c r="C173" s="43" t="s">
        <v>376</v>
      </c>
      <c r="D173" s="30" t="s">
        <v>47</v>
      </c>
      <c r="E173" s="45">
        <v>15</v>
      </c>
      <c r="F173" s="45">
        <v>25</v>
      </c>
      <c r="G173" s="45">
        <v>78</v>
      </c>
      <c r="H173" s="45">
        <v>30</v>
      </c>
      <c r="I173" s="45">
        <v>0</v>
      </c>
      <c r="J173" s="39">
        <v>0</v>
      </c>
      <c r="K173" s="39">
        <v>102</v>
      </c>
      <c r="L173" s="39">
        <v>45</v>
      </c>
      <c r="M173" s="39">
        <v>49</v>
      </c>
      <c r="N173" s="45">
        <v>18</v>
      </c>
      <c r="O173" s="39">
        <v>1</v>
      </c>
      <c r="P173" s="45">
        <v>18</v>
      </c>
      <c r="Q173" s="39">
        <v>3</v>
      </c>
      <c r="R173" s="16">
        <f t="shared" si="2"/>
        <v>0</v>
      </c>
      <c r="S173" s="39">
        <v>0</v>
      </c>
      <c r="T173" s="39">
        <v>0</v>
      </c>
      <c r="U173" s="39">
        <v>0</v>
      </c>
      <c r="V173" s="39">
        <v>0</v>
      </c>
      <c r="W173" s="39">
        <v>15</v>
      </c>
      <c r="X173" s="39">
        <v>20</v>
      </c>
      <c r="Y173" s="39">
        <v>0.6</v>
      </c>
      <c r="Z173" s="39">
        <v>0.5</v>
      </c>
      <c r="AA173" s="16">
        <v>112891</v>
      </c>
      <c r="AC173" s="27" t="s">
        <v>346</v>
      </c>
    </row>
    <row r="174" s="16" customFormat="1" spans="1:29">
      <c r="A174" s="27">
        <v>11290</v>
      </c>
      <c r="B174" s="16" t="s">
        <v>87</v>
      </c>
      <c r="C174" s="43" t="s">
        <v>377</v>
      </c>
      <c r="D174" s="30" t="s">
        <v>47</v>
      </c>
      <c r="E174" s="39">
        <v>15</v>
      </c>
      <c r="F174" s="39">
        <v>23</v>
      </c>
      <c r="G174" s="39">
        <v>80</v>
      </c>
      <c r="H174" s="39">
        <v>30</v>
      </c>
      <c r="I174" s="39">
        <v>0</v>
      </c>
      <c r="J174" s="39">
        <v>0</v>
      </c>
      <c r="K174" s="46">
        <v>102</v>
      </c>
      <c r="L174" s="39">
        <v>47</v>
      </c>
      <c r="M174" s="39">
        <v>48</v>
      </c>
      <c r="N174" s="39">
        <v>18</v>
      </c>
      <c r="O174" s="39">
        <v>1</v>
      </c>
      <c r="P174" s="39">
        <v>19</v>
      </c>
      <c r="Q174" s="39">
        <v>3</v>
      </c>
      <c r="R174" s="16">
        <f t="shared" si="2"/>
        <v>0</v>
      </c>
      <c r="S174" s="39">
        <v>0</v>
      </c>
      <c r="T174" s="39">
        <v>0</v>
      </c>
      <c r="U174" s="39">
        <v>0</v>
      </c>
      <c r="V174" s="39">
        <v>0</v>
      </c>
      <c r="W174" s="39">
        <v>15</v>
      </c>
      <c r="X174" s="39">
        <v>20</v>
      </c>
      <c r="Y174" s="39">
        <v>0.6</v>
      </c>
      <c r="Z174" s="39">
        <v>0.5</v>
      </c>
      <c r="AA174" s="16">
        <v>112901</v>
      </c>
      <c r="AC174" s="27" t="s">
        <v>346</v>
      </c>
    </row>
    <row r="175" s="16" customFormat="1" spans="1:29">
      <c r="A175" s="27">
        <v>11291</v>
      </c>
      <c r="B175" s="16" t="s">
        <v>87</v>
      </c>
      <c r="C175" s="16" t="s">
        <v>378</v>
      </c>
      <c r="D175" s="16" t="s">
        <v>47</v>
      </c>
      <c r="E175" s="16">
        <v>24</v>
      </c>
      <c r="F175" s="16">
        <v>26</v>
      </c>
      <c r="G175" s="16">
        <v>78</v>
      </c>
      <c r="H175" s="16">
        <v>27</v>
      </c>
      <c r="I175" s="16">
        <v>0</v>
      </c>
      <c r="J175" s="16">
        <v>0</v>
      </c>
      <c r="K175" s="26">
        <v>103</v>
      </c>
      <c r="L175" s="16">
        <v>59</v>
      </c>
      <c r="M175" s="16">
        <v>48</v>
      </c>
      <c r="N175" s="16">
        <v>18</v>
      </c>
      <c r="O175" s="16">
        <v>1</v>
      </c>
      <c r="P175" s="16">
        <v>25</v>
      </c>
      <c r="Q175" s="16">
        <v>3</v>
      </c>
      <c r="R175" s="39">
        <f t="shared" si="2"/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15</v>
      </c>
      <c r="X175" s="16">
        <v>20</v>
      </c>
      <c r="Y175" s="16">
        <v>0.6</v>
      </c>
      <c r="Z175" s="16">
        <v>0.5</v>
      </c>
      <c r="AA175" s="16">
        <v>112911</v>
      </c>
      <c r="AC175" s="27" t="s">
        <v>346</v>
      </c>
    </row>
    <row r="176" s="16" customFormat="1" spans="1:29">
      <c r="A176" s="27">
        <v>11293</v>
      </c>
      <c r="B176" s="16" t="s">
        <v>87</v>
      </c>
      <c r="C176" s="43" t="s">
        <v>379</v>
      </c>
      <c r="D176" s="30" t="s">
        <v>47</v>
      </c>
      <c r="E176" s="39">
        <v>15</v>
      </c>
      <c r="F176" s="39">
        <v>25</v>
      </c>
      <c r="G176" s="39">
        <v>77</v>
      </c>
      <c r="H176" s="39">
        <v>30</v>
      </c>
      <c r="I176" s="39">
        <v>0</v>
      </c>
      <c r="J176" s="39">
        <v>0</v>
      </c>
      <c r="K176" s="46">
        <v>101</v>
      </c>
      <c r="L176" s="39">
        <v>45</v>
      </c>
      <c r="M176" s="39">
        <v>49</v>
      </c>
      <c r="N176" s="39">
        <v>18</v>
      </c>
      <c r="O176" s="39">
        <v>1</v>
      </c>
      <c r="P176" s="39">
        <v>8</v>
      </c>
      <c r="Q176" s="39">
        <v>3</v>
      </c>
      <c r="R176" s="16">
        <f t="shared" si="2"/>
        <v>0</v>
      </c>
      <c r="S176" s="39">
        <v>0</v>
      </c>
      <c r="T176" s="39">
        <v>0</v>
      </c>
      <c r="U176" s="39">
        <v>0</v>
      </c>
      <c r="V176" s="39">
        <v>0</v>
      </c>
      <c r="W176" s="39">
        <v>15</v>
      </c>
      <c r="X176" s="39">
        <v>20</v>
      </c>
      <c r="Y176" s="39">
        <v>0.6</v>
      </c>
      <c r="Z176" s="39">
        <v>0.5</v>
      </c>
      <c r="AA176" s="16">
        <v>112931</v>
      </c>
      <c r="AC176" s="27" t="s">
        <v>346</v>
      </c>
    </row>
    <row r="177" spans="1:28">
      <c r="A177" s="27">
        <v>11299</v>
      </c>
      <c r="B177" s="16" t="s">
        <v>350</v>
      </c>
      <c r="C177" s="16" t="s">
        <v>94</v>
      </c>
      <c r="D177" s="16" t="s">
        <v>43</v>
      </c>
      <c r="E177" s="16">
        <v>88</v>
      </c>
      <c r="F177" s="16">
        <v>108</v>
      </c>
      <c r="G177" s="16">
        <v>0</v>
      </c>
      <c r="H177" s="16">
        <v>110</v>
      </c>
      <c r="I177" s="16">
        <v>115</v>
      </c>
      <c r="J177" s="16">
        <v>0</v>
      </c>
      <c r="K177" s="26">
        <v>102</v>
      </c>
      <c r="L177" s="16">
        <v>56</v>
      </c>
      <c r="M177" s="16">
        <v>47</v>
      </c>
      <c r="N177" s="16">
        <v>32</v>
      </c>
      <c r="O177" s="16">
        <v>3</v>
      </c>
      <c r="P177" s="16">
        <v>20</v>
      </c>
      <c r="Q177" s="16">
        <v>4</v>
      </c>
      <c r="R177" s="16">
        <f t="shared" si="2"/>
        <v>32</v>
      </c>
      <c r="S177" s="16">
        <v>8</v>
      </c>
      <c r="T177" s="16">
        <v>8</v>
      </c>
      <c r="U177" s="16">
        <v>8</v>
      </c>
      <c r="V177" s="16">
        <v>8</v>
      </c>
      <c r="W177" s="16">
        <v>110</v>
      </c>
      <c r="X177" s="16">
        <v>190</v>
      </c>
      <c r="Y177" s="16">
        <v>4.5</v>
      </c>
      <c r="Z177" s="16">
        <v>8.5</v>
      </c>
      <c r="AA177" s="16">
        <v>102991</v>
      </c>
      <c r="AB177" s="39">
        <v>112992</v>
      </c>
    </row>
    <row r="178" spans="1:28">
      <c r="A178" s="27">
        <v>11301</v>
      </c>
      <c r="B178" s="16" t="s">
        <v>265</v>
      </c>
      <c r="C178" s="16" t="s">
        <v>380</v>
      </c>
      <c r="D178" s="27" t="s">
        <v>34</v>
      </c>
      <c r="E178" s="31">
        <v>32</v>
      </c>
      <c r="F178" s="31">
        <v>40</v>
      </c>
      <c r="G178" s="31">
        <v>87</v>
      </c>
      <c r="H178" s="31">
        <v>39</v>
      </c>
      <c r="I178" s="31">
        <v>62</v>
      </c>
      <c r="J178" s="31">
        <v>79</v>
      </c>
      <c r="K178" s="31">
        <v>94</v>
      </c>
      <c r="L178" s="31">
        <v>90</v>
      </c>
      <c r="M178" s="31">
        <v>32</v>
      </c>
      <c r="N178" s="31">
        <v>37</v>
      </c>
      <c r="O178" s="31">
        <v>1</v>
      </c>
      <c r="P178" s="31">
        <v>10</v>
      </c>
      <c r="Q178" s="31">
        <v>3</v>
      </c>
      <c r="R178" s="16">
        <f t="shared" si="2"/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15</v>
      </c>
      <c r="X178" s="31">
        <v>25</v>
      </c>
      <c r="Y178" s="31">
        <v>0.48</v>
      </c>
      <c r="Z178" s="31">
        <v>0.9</v>
      </c>
      <c r="AA178" s="31">
        <v>113011</v>
      </c>
      <c r="AB178" s="31"/>
    </row>
    <row r="179" spans="1:28">
      <c r="A179" s="27">
        <v>11306</v>
      </c>
      <c r="B179" s="16" t="s">
        <v>265</v>
      </c>
      <c r="C179" s="16" t="s">
        <v>381</v>
      </c>
      <c r="D179" s="27" t="s">
        <v>39</v>
      </c>
      <c r="E179" s="31">
        <v>32</v>
      </c>
      <c r="F179" s="31">
        <v>43</v>
      </c>
      <c r="G179" s="31">
        <v>91</v>
      </c>
      <c r="H179" s="31">
        <v>41</v>
      </c>
      <c r="I179" s="31">
        <v>76</v>
      </c>
      <c r="J179" s="31">
        <v>72</v>
      </c>
      <c r="K179" s="31">
        <v>94</v>
      </c>
      <c r="L179" s="31">
        <v>90</v>
      </c>
      <c r="M179" s="31">
        <v>38</v>
      </c>
      <c r="N179" s="31">
        <v>35.8</v>
      </c>
      <c r="O179" s="31">
        <v>1</v>
      </c>
      <c r="P179" s="31">
        <v>16</v>
      </c>
      <c r="Q179" s="31">
        <v>3</v>
      </c>
      <c r="R179" s="16">
        <f t="shared" si="2"/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15</v>
      </c>
      <c r="X179" s="31">
        <v>25</v>
      </c>
      <c r="Y179" s="31">
        <v>0.5</v>
      </c>
      <c r="Z179" s="31">
        <v>0.95</v>
      </c>
      <c r="AA179" s="31">
        <v>113061</v>
      </c>
      <c r="AB179" s="31"/>
    </row>
    <row r="180" spans="1:27">
      <c r="A180" s="27">
        <v>11311</v>
      </c>
      <c r="B180" s="16" t="s">
        <v>237</v>
      </c>
      <c r="C180" s="16" t="s">
        <v>382</v>
      </c>
      <c r="D180" s="16" t="s">
        <v>34</v>
      </c>
      <c r="E180" s="16">
        <v>52</v>
      </c>
      <c r="F180" s="16">
        <v>30</v>
      </c>
      <c r="G180" s="16">
        <v>0</v>
      </c>
      <c r="H180" s="16">
        <v>37</v>
      </c>
      <c r="I180" s="16">
        <v>75</v>
      </c>
      <c r="J180" s="16">
        <v>0</v>
      </c>
      <c r="K180" s="26">
        <v>95</v>
      </c>
      <c r="L180" s="16">
        <v>46</v>
      </c>
      <c r="M180" s="16">
        <v>65</v>
      </c>
      <c r="N180" s="16">
        <v>20</v>
      </c>
      <c r="O180" s="16">
        <v>1</v>
      </c>
      <c r="P180" s="16">
        <v>21</v>
      </c>
      <c r="Q180" s="16">
        <v>3</v>
      </c>
      <c r="R180" s="39">
        <f t="shared" si="2"/>
        <v>34</v>
      </c>
      <c r="S180" s="16">
        <v>12</v>
      </c>
      <c r="T180" s="16">
        <v>12</v>
      </c>
      <c r="U180" s="16">
        <v>10</v>
      </c>
      <c r="V180" s="16">
        <v>0</v>
      </c>
      <c r="W180" s="31">
        <v>30</v>
      </c>
      <c r="X180" s="31">
        <v>35</v>
      </c>
      <c r="Y180" s="31">
        <v>1.12</v>
      </c>
      <c r="Z180" s="31">
        <v>2.1</v>
      </c>
      <c r="AA180" s="31">
        <v>113111</v>
      </c>
    </row>
    <row r="181" spans="1:28">
      <c r="A181" s="27">
        <v>11316</v>
      </c>
      <c r="B181" s="16" t="s">
        <v>265</v>
      </c>
      <c r="C181" s="16" t="s">
        <v>383</v>
      </c>
      <c r="D181" s="27" t="s">
        <v>72</v>
      </c>
      <c r="E181" s="31">
        <v>32</v>
      </c>
      <c r="F181" s="31">
        <v>40</v>
      </c>
      <c r="G181" s="31">
        <v>82</v>
      </c>
      <c r="H181" s="31">
        <v>35</v>
      </c>
      <c r="I181" s="31">
        <v>62</v>
      </c>
      <c r="J181" s="31">
        <v>73</v>
      </c>
      <c r="K181" s="31">
        <v>94</v>
      </c>
      <c r="L181" s="31">
        <v>94</v>
      </c>
      <c r="M181" s="31">
        <v>26</v>
      </c>
      <c r="N181" s="31">
        <v>41.7</v>
      </c>
      <c r="O181" s="31">
        <v>1</v>
      </c>
      <c r="P181" s="31">
        <v>25</v>
      </c>
      <c r="Q181" s="31">
        <v>3</v>
      </c>
      <c r="R181" s="16">
        <f t="shared" si="2"/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15</v>
      </c>
      <c r="X181" s="31">
        <v>15</v>
      </c>
      <c r="Y181" s="31">
        <v>0.5</v>
      </c>
      <c r="Z181" s="31">
        <v>0.9</v>
      </c>
      <c r="AA181" s="31">
        <v>113161</v>
      </c>
      <c r="AB181" s="31"/>
    </row>
    <row r="182" spans="1:28">
      <c r="A182" s="27">
        <v>11323</v>
      </c>
      <c r="B182" s="16" t="s">
        <v>265</v>
      </c>
      <c r="C182" s="16" t="s">
        <v>384</v>
      </c>
      <c r="D182" s="27" t="s">
        <v>72</v>
      </c>
      <c r="E182" s="31">
        <v>39</v>
      </c>
      <c r="F182" s="31">
        <v>45</v>
      </c>
      <c r="G182" s="31">
        <v>87</v>
      </c>
      <c r="H182" s="31">
        <v>37</v>
      </c>
      <c r="I182" s="31">
        <v>69</v>
      </c>
      <c r="J182" s="31">
        <v>68</v>
      </c>
      <c r="K182" s="31">
        <v>95</v>
      </c>
      <c r="L182" s="31">
        <v>102</v>
      </c>
      <c r="M182" s="31">
        <v>26</v>
      </c>
      <c r="N182" s="31">
        <v>42.5</v>
      </c>
      <c r="O182" s="31">
        <v>1</v>
      </c>
      <c r="P182" s="31">
        <v>8</v>
      </c>
      <c r="Q182" s="31">
        <v>3</v>
      </c>
      <c r="R182" s="16">
        <f t="shared" si="2"/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20</v>
      </c>
      <c r="X182" s="31">
        <v>25</v>
      </c>
      <c r="Y182" s="31">
        <v>0.5</v>
      </c>
      <c r="Z182" s="31">
        <v>0.9</v>
      </c>
      <c r="AA182" s="31">
        <v>113231</v>
      </c>
      <c r="AB182" s="31"/>
    </row>
    <row r="183" s="16" customFormat="1" spans="1:29">
      <c r="A183" s="27">
        <v>11325</v>
      </c>
      <c r="B183" s="16" t="s">
        <v>29</v>
      </c>
      <c r="C183" s="25" t="s">
        <v>385</v>
      </c>
      <c r="D183" s="16" t="s">
        <v>34</v>
      </c>
      <c r="E183" s="16">
        <v>72</v>
      </c>
      <c r="F183" s="16">
        <v>45</v>
      </c>
      <c r="G183" s="16">
        <v>0</v>
      </c>
      <c r="H183" s="16">
        <v>64</v>
      </c>
      <c r="I183" s="16">
        <v>100</v>
      </c>
      <c r="J183" s="16">
        <v>0</v>
      </c>
      <c r="K183" s="26">
        <v>102</v>
      </c>
      <c r="L183" s="16">
        <v>60</v>
      </c>
      <c r="M183" s="16">
        <v>82</v>
      </c>
      <c r="N183" s="16">
        <v>33</v>
      </c>
      <c r="O183" s="16">
        <v>1</v>
      </c>
      <c r="P183" s="16">
        <v>28</v>
      </c>
      <c r="Q183" s="16">
        <v>4</v>
      </c>
      <c r="R183" s="39">
        <f t="shared" si="2"/>
        <v>96</v>
      </c>
      <c r="S183" s="16">
        <v>20</v>
      </c>
      <c r="T183" s="16">
        <v>20</v>
      </c>
      <c r="U183" s="16">
        <v>36</v>
      </c>
      <c r="V183" s="16">
        <v>20</v>
      </c>
      <c r="W183" s="16">
        <v>70</v>
      </c>
      <c r="X183" s="16">
        <v>75</v>
      </c>
      <c r="Y183" s="16">
        <v>2.4</v>
      </c>
      <c r="Z183" s="16">
        <v>4.5</v>
      </c>
      <c r="AA183" s="16">
        <v>103251</v>
      </c>
      <c r="AB183" s="16">
        <v>113252</v>
      </c>
      <c r="AC183" s="27" t="s">
        <v>81</v>
      </c>
    </row>
    <row r="184" spans="1:27">
      <c r="A184" s="27">
        <v>11332</v>
      </c>
      <c r="B184" s="16" t="s">
        <v>237</v>
      </c>
      <c r="C184" s="16" t="s">
        <v>386</v>
      </c>
      <c r="D184" s="16" t="s">
        <v>31</v>
      </c>
      <c r="E184" s="16">
        <v>55</v>
      </c>
      <c r="F184" s="16">
        <v>30</v>
      </c>
      <c r="G184" s="16">
        <v>0</v>
      </c>
      <c r="H184" s="16">
        <v>31</v>
      </c>
      <c r="I184" s="16">
        <v>60</v>
      </c>
      <c r="J184" s="16">
        <v>0</v>
      </c>
      <c r="K184" s="26">
        <v>96</v>
      </c>
      <c r="L184" s="16">
        <v>47</v>
      </c>
      <c r="M184" s="16">
        <v>63</v>
      </c>
      <c r="N184" s="16">
        <v>21</v>
      </c>
      <c r="O184" s="16">
        <v>1</v>
      </c>
      <c r="P184" s="16">
        <v>13</v>
      </c>
      <c r="Q184" s="16">
        <v>3</v>
      </c>
      <c r="R184" s="39">
        <f t="shared" si="2"/>
        <v>39</v>
      </c>
      <c r="S184" s="16">
        <v>17</v>
      </c>
      <c r="T184" s="16">
        <v>12</v>
      </c>
      <c r="U184" s="16">
        <v>10</v>
      </c>
      <c r="V184" s="16">
        <v>0</v>
      </c>
      <c r="W184" s="16">
        <v>35</v>
      </c>
      <c r="X184" s="16">
        <v>35</v>
      </c>
      <c r="Y184" s="16">
        <v>1.28</v>
      </c>
      <c r="Z184" s="16">
        <v>2.3</v>
      </c>
      <c r="AA184" s="16">
        <v>113321</v>
      </c>
    </row>
    <row r="185" spans="1:28">
      <c r="A185" s="27">
        <v>11335</v>
      </c>
      <c r="B185" s="16" t="s">
        <v>265</v>
      </c>
      <c r="C185" s="16" t="s">
        <v>387</v>
      </c>
      <c r="D185" s="27" t="s">
        <v>43</v>
      </c>
      <c r="E185" s="31">
        <v>39</v>
      </c>
      <c r="F185" s="31">
        <v>50</v>
      </c>
      <c r="G185" s="31">
        <v>93</v>
      </c>
      <c r="H185" s="31">
        <v>40</v>
      </c>
      <c r="I185" s="31">
        <v>55</v>
      </c>
      <c r="J185" s="31">
        <v>74</v>
      </c>
      <c r="K185" s="31">
        <v>94</v>
      </c>
      <c r="L185" s="31">
        <v>102</v>
      </c>
      <c r="M185" s="31">
        <v>42</v>
      </c>
      <c r="N185" s="31">
        <v>41.6</v>
      </c>
      <c r="O185" s="31">
        <v>1</v>
      </c>
      <c r="P185" s="31">
        <v>10</v>
      </c>
      <c r="Q185" s="31">
        <v>3</v>
      </c>
      <c r="R185" s="16">
        <f t="shared" si="2"/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20</v>
      </c>
      <c r="X185" s="31">
        <v>25</v>
      </c>
      <c r="Y185" s="31">
        <v>0.6</v>
      </c>
      <c r="Z185" s="31">
        <v>1</v>
      </c>
      <c r="AA185" s="31">
        <v>113351</v>
      </c>
      <c r="AB185" s="31"/>
    </row>
    <row r="186" s="16" customFormat="1" spans="1:29">
      <c r="A186" s="27">
        <v>11339</v>
      </c>
      <c r="B186" s="16" t="s">
        <v>29</v>
      </c>
      <c r="C186" s="25" t="s">
        <v>104</v>
      </c>
      <c r="D186" s="16" t="s">
        <v>68</v>
      </c>
      <c r="E186" s="16">
        <v>80</v>
      </c>
      <c r="F186" s="16">
        <v>40</v>
      </c>
      <c r="G186" s="16">
        <v>0</v>
      </c>
      <c r="H186" s="16">
        <v>84</v>
      </c>
      <c r="I186" s="16">
        <v>73</v>
      </c>
      <c r="J186" s="16">
        <v>0</v>
      </c>
      <c r="K186" s="16">
        <v>102</v>
      </c>
      <c r="L186" s="16">
        <v>58</v>
      </c>
      <c r="M186" s="16">
        <v>72</v>
      </c>
      <c r="N186" s="16">
        <v>30</v>
      </c>
      <c r="O186" s="16">
        <v>1</v>
      </c>
      <c r="P186" s="16">
        <v>9</v>
      </c>
      <c r="Q186" s="16">
        <v>4</v>
      </c>
      <c r="R186" s="16">
        <f t="shared" si="2"/>
        <v>82</v>
      </c>
      <c r="S186" s="16">
        <v>16</v>
      </c>
      <c r="T186" s="16">
        <v>20</v>
      </c>
      <c r="U186" s="16">
        <v>30</v>
      </c>
      <c r="V186" s="16">
        <v>16</v>
      </c>
      <c r="W186" s="31">
        <v>70</v>
      </c>
      <c r="X186" s="31">
        <v>75</v>
      </c>
      <c r="Y186" s="31">
        <v>2.6</v>
      </c>
      <c r="Z186" s="31">
        <v>4.9</v>
      </c>
      <c r="AA186" s="16">
        <v>113391</v>
      </c>
      <c r="AB186" s="16">
        <v>113392</v>
      </c>
      <c r="AC186" s="27" t="s">
        <v>69</v>
      </c>
    </row>
    <row r="187" spans="1:27">
      <c r="A187" s="27">
        <v>11340</v>
      </c>
      <c r="B187" s="16" t="s">
        <v>355</v>
      </c>
      <c r="C187" s="16" t="s">
        <v>388</v>
      </c>
      <c r="D187" s="16" t="s">
        <v>68</v>
      </c>
      <c r="E187" s="16">
        <v>52</v>
      </c>
      <c r="F187" s="16">
        <v>54</v>
      </c>
      <c r="G187" s="16">
        <v>0</v>
      </c>
      <c r="H187" s="16">
        <v>49</v>
      </c>
      <c r="I187" s="16">
        <v>75</v>
      </c>
      <c r="J187" s="16">
        <v>58</v>
      </c>
      <c r="K187" s="26">
        <v>100</v>
      </c>
      <c r="L187" s="16">
        <v>86</v>
      </c>
      <c r="M187" s="16">
        <v>56</v>
      </c>
      <c r="N187" s="16">
        <v>25</v>
      </c>
      <c r="O187" s="16">
        <v>2</v>
      </c>
      <c r="P187" s="16">
        <v>15</v>
      </c>
      <c r="Q187" s="16">
        <v>4</v>
      </c>
      <c r="R187" s="39">
        <f t="shared" si="2"/>
        <v>12</v>
      </c>
      <c r="S187" s="16">
        <v>0</v>
      </c>
      <c r="T187" s="16">
        <v>0</v>
      </c>
      <c r="U187" s="16">
        <v>0</v>
      </c>
      <c r="V187" s="16">
        <v>12</v>
      </c>
      <c r="W187" s="16">
        <v>40</v>
      </c>
      <c r="X187" s="16">
        <v>75</v>
      </c>
      <c r="Y187" s="16">
        <v>1.3</v>
      </c>
      <c r="Z187" s="16">
        <v>4.6</v>
      </c>
      <c r="AA187" s="16">
        <v>113401</v>
      </c>
    </row>
    <row r="188" spans="1:28">
      <c r="A188" s="27">
        <v>11342</v>
      </c>
      <c r="B188" s="16" t="s">
        <v>265</v>
      </c>
      <c r="C188" s="16" t="s">
        <v>389</v>
      </c>
      <c r="D188" s="27" t="s">
        <v>34</v>
      </c>
      <c r="E188" s="31">
        <v>35</v>
      </c>
      <c r="F188" s="31">
        <v>45</v>
      </c>
      <c r="G188" s="31">
        <v>78</v>
      </c>
      <c r="H188" s="31">
        <v>40</v>
      </c>
      <c r="I188" s="31">
        <v>86</v>
      </c>
      <c r="J188" s="31">
        <v>125</v>
      </c>
      <c r="K188" s="31">
        <v>94</v>
      </c>
      <c r="L188" s="31">
        <v>86</v>
      </c>
      <c r="M188" s="31">
        <v>43</v>
      </c>
      <c r="N188" s="31">
        <v>35</v>
      </c>
      <c r="O188" s="31">
        <v>1</v>
      </c>
      <c r="P188" s="31">
        <v>22</v>
      </c>
      <c r="Q188" s="31">
        <v>3</v>
      </c>
      <c r="R188" s="16">
        <f t="shared" si="2"/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15</v>
      </c>
      <c r="X188" s="31">
        <v>25</v>
      </c>
      <c r="Y188" s="31">
        <v>0.48</v>
      </c>
      <c r="Z188" s="31">
        <v>0.9</v>
      </c>
      <c r="AA188" s="31">
        <v>113421</v>
      </c>
      <c r="AB188" s="31"/>
    </row>
    <row r="189" spans="1:28">
      <c r="A189" s="27">
        <v>11344</v>
      </c>
      <c r="B189" s="16" t="s">
        <v>265</v>
      </c>
      <c r="C189" s="16" t="s">
        <v>390</v>
      </c>
      <c r="D189" s="27" t="s">
        <v>34</v>
      </c>
      <c r="E189" s="31">
        <v>32</v>
      </c>
      <c r="F189" s="31">
        <v>43</v>
      </c>
      <c r="G189" s="31">
        <v>79</v>
      </c>
      <c r="H189" s="31">
        <v>39</v>
      </c>
      <c r="I189" s="31">
        <v>83</v>
      </c>
      <c r="J189" s="31">
        <v>115</v>
      </c>
      <c r="K189" s="31">
        <v>94</v>
      </c>
      <c r="L189" s="31">
        <v>91</v>
      </c>
      <c r="M189" s="31">
        <v>43</v>
      </c>
      <c r="N189" s="31">
        <v>37</v>
      </c>
      <c r="O189" s="31">
        <v>1</v>
      </c>
      <c r="P189" s="31">
        <v>21</v>
      </c>
      <c r="Q189" s="31">
        <v>3</v>
      </c>
      <c r="R189" s="16">
        <f t="shared" si="2"/>
        <v>0</v>
      </c>
      <c r="S189" s="31">
        <v>0</v>
      </c>
      <c r="T189" s="31">
        <v>0</v>
      </c>
      <c r="U189" s="31">
        <v>0</v>
      </c>
      <c r="V189" s="31">
        <v>0</v>
      </c>
      <c r="W189" s="31">
        <v>15</v>
      </c>
      <c r="X189" s="31">
        <v>25</v>
      </c>
      <c r="Y189" s="31">
        <v>0.48</v>
      </c>
      <c r="Z189" s="31">
        <v>0.9</v>
      </c>
      <c r="AA189" s="31">
        <v>113441</v>
      </c>
      <c r="AB189" s="31"/>
    </row>
    <row r="190" s="16" customFormat="1" spans="1:29">
      <c r="A190" s="42">
        <v>11351</v>
      </c>
      <c r="B190" s="16" t="s">
        <v>87</v>
      </c>
      <c r="C190" s="43" t="s">
        <v>391</v>
      </c>
      <c r="D190" s="30" t="s">
        <v>47</v>
      </c>
      <c r="E190" s="45">
        <v>12</v>
      </c>
      <c r="F190" s="45">
        <v>22</v>
      </c>
      <c r="G190" s="45">
        <v>67</v>
      </c>
      <c r="H190" s="45">
        <v>25</v>
      </c>
      <c r="I190" s="45">
        <v>0</v>
      </c>
      <c r="J190" s="39">
        <v>0</v>
      </c>
      <c r="K190" s="39">
        <v>102</v>
      </c>
      <c r="L190" s="39">
        <v>68</v>
      </c>
      <c r="M190" s="39">
        <v>28</v>
      </c>
      <c r="N190" s="45">
        <v>25</v>
      </c>
      <c r="O190" s="39">
        <v>1</v>
      </c>
      <c r="P190" s="45">
        <v>10</v>
      </c>
      <c r="Q190" s="39">
        <v>3</v>
      </c>
      <c r="R190" s="16">
        <f t="shared" si="2"/>
        <v>0</v>
      </c>
      <c r="S190" s="39">
        <v>0</v>
      </c>
      <c r="T190" s="39">
        <v>0</v>
      </c>
      <c r="U190" s="39">
        <v>0</v>
      </c>
      <c r="V190" s="39">
        <v>0</v>
      </c>
      <c r="W190" s="39">
        <v>10</v>
      </c>
      <c r="X190" s="39">
        <v>15</v>
      </c>
      <c r="Y190" s="39">
        <v>0.5</v>
      </c>
      <c r="Z190" s="39">
        <v>0.5</v>
      </c>
      <c r="AA190" s="31">
        <v>113511</v>
      </c>
      <c r="AC190" s="27" t="s">
        <v>346</v>
      </c>
    </row>
    <row r="191" spans="1:28">
      <c r="A191" s="27">
        <v>11362</v>
      </c>
      <c r="B191" s="16" t="s">
        <v>51</v>
      </c>
      <c r="C191" s="25" t="s">
        <v>110</v>
      </c>
      <c r="D191" s="27" t="s">
        <v>34</v>
      </c>
      <c r="E191" s="31">
        <v>84</v>
      </c>
      <c r="F191" s="31">
        <v>115</v>
      </c>
      <c r="G191" s="31">
        <v>0</v>
      </c>
      <c r="H191" s="31">
        <v>90</v>
      </c>
      <c r="I191" s="31">
        <v>95</v>
      </c>
      <c r="J191" s="31">
        <v>0</v>
      </c>
      <c r="K191" s="31">
        <v>101</v>
      </c>
      <c r="L191" s="31">
        <v>69</v>
      </c>
      <c r="M191" s="31">
        <v>45</v>
      </c>
      <c r="N191" s="31">
        <v>33</v>
      </c>
      <c r="O191" s="31">
        <v>3</v>
      </c>
      <c r="P191" s="31">
        <v>8</v>
      </c>
      <c r="Q191" s="31">
        <v>4</v>
      </c>
      <c r="R191" s="16">
        <f t="shared" si="2"/>
        <v>12</v>
      </c>
      <c r="S191" s="31">
        <v>3</v>
      </c>
      <c r="T191" s="31">
        <v>3</v>
      </c>
      <c r="U191" s="31">
        <v>3</v>
      </c>
      <c r="V191" s="31">
        <v>3</v>
      </c>
      <c r="W191" s="31">
        <v>90</v>
      </c>
      <c r="X191" s="31">
        <v>130</v>
      </c>
      <c r="Y191" s="31">
        <v>3.5</v>
      </c>
      <c r="Z191" s="31">
        <v>5.6</v>
      </c>
      <c r="AA191" s="31">
        <v>113621</v>
      </c>
      <c r="AB191" s="31">
        <v>113622</v>
      </c>
    </row>
    <row r="192" spans="1:27">
      <c r="A192" s="27">
        <v>11363</v>
      </c>
      <c r="B192" s="16" t="s">
        <v>92</v>
      </c>
      <c r="C192" s="16" t="s">
        <v>112</v>
      </c>
      <c r="D192" s="16" t="s">
        <v>72</v>
      </c>
      <c r="E192" s="16">
        <v>40</v>
      </c>
      <c r="F192" s="16">
        <v>40</v>
      </c>
      <c r="G192" s="16">
        <v>0</v>
      </c>
      <c r="H192" s="16">
        <v>44</v>
      </c>
      <c r="I192" s="16">
        <v>96</v>
      </c>
      <c r="J192" s="16">
        <v>78</v>
      </c>
      <c r="K192" s="26">
        <v>107</v>
      </c>
      <c r="L192" s="16">
        <v>82</v>
      </c>
      <c r="M192" s="16">
        <v>42</v>
      </c>
      <c r="N192" s="16">
        <v>34.5</v>
      </c>
      <c r="O192" s="16">
        <v>1</v>
      </c>
      <c r="P192" s="16">
        <v>15</v>
      </c>
      <c r="Q192" s="16">
        <v>3</v>
      </c>
      <c r="R192" s="39">
        <f t="shared" si="2"/>
        <v>48</v>
      </c>
      <c r="S192" s="16">
        <v>16</v>
      </c>
      <c r="T192" s="16">
        <v>16</v>
      </c>
      <c r="U192" s="16">
        <v>16</v>
      </c>
      <c r="V192" s="16">
        <v>0</v>
      </c>
      <c r="W192" s="16">
        <v>25</v>
      </c>
      <c r="X192" s="16">
        <v>55</v>
      </c>
      <c r="Y192" s="16">
        <v>0.5</v>
      </c>
      <c r="Z192" s="16">
        <v>0.9</v>
      </c>
      <c r="AA192" s="16">
        <v>113631</v>
      </c>
    </row>
    <row r="193" spans="1:28">
      <c r="A193" s="41">
        <v>11366</v>
      </c>
      <c r="B193" s="16" t="s">
        <v>87</v>
      </c>
      <c r="C193" s="41" t="s">
        <v>113</v>
      </c>
      <c r="D193" s="16" t="s">
        <v>34</v>
      </c>
      <c r="E193" s="16">
        <v>29</v>
      </c>
      <c r="F193" s="16">
        <v>32</v>
      </c>
      <c r="G193" s="16">
        <v>88</v>
      </c>
      <c r="H193" s="16">
        <v>35</v>
      </c>
      <c r="I193" s="16">
        <v>0</v>
      </c>
      <c r="J193" s="16">
        <v>0</v>
      </c>
      <c r="K193" s="26">
        <v>108</v>
      </c>
      <c r="L193" s="16">
        <v>45</v>
      </c>
      <c r="M193" s="16">
        <v>48</v>
      </c>
      <c r="N193" s="16">
        <v>17.4</v>
      </c>
      <c r="O193" s="16">
        <v>1</v>
      </c>
      <c r="P193" s="16">
        <v>25</v>
      </c>
      <c r="Q193" s="16">
        <v>3</v>
      </c>
      <c r="R193" s="39">
        <f t="shared" si="2"/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20</v>
      </c>
      <c r="X193" s="16">
        <v>25</v>
      </c>
      <c r="Y193" s="16">
        <v>0.75</v>
      </c>
      <c r="Z193" s="16">
        <v>0.8</v>
      </c>
      <c r="AA193" s="31">
        <v>103661</v>
      </c>
      <c r="AB193" s="16">
        <v>113662</v>
      </c>
    </row>
    <row r="194" s="16" customFormat="1" spans="1:29">
      <c r="A194" s="27">
        <v>11372</v>
      </c>
      <c r="B194" s="16" t="s">
        <v>265</v>
      </c>
      <c r="C194" s="16" t="s">
        <v>392</v>
      </c>
      <c r="D194" s="27" t="s">
        <v>31</v>
      </c>
      <c r="E194" s="31">
        <v>36</v>
      </c>
      <c r="F194" s="31">
        <v>40</v>
      </c>
      <c r="G194" s="31">
        <v>93</v>
      </c>
      <c r="H194" s="31">
        <v>38</v>
      </c>
      <c r="I194" s="31">
        <v>75</v>
      </c>
      <c r="J194" s="31">
        <v>84</v>
      </c>
      <c r="K194" s="31">
        <v>94</v>
      </c>
      <c r="L194" s="31">
        <v>90</v>
      </c>
      <c r="M194" s="31">
        <v>21</v>
      </c>
      <c r="N194" s="31">
        <v>36.7</v>
      </c>
      <c r="O194" s="31">
        <v>1</v>
      </c>
      <c r="P194" s="31">
        <v>7</v>
      </c>
      <c r="Q194" s="31">
        <v>3</v>
      </c>
      <c r="R194" s="16">
        <f t="shared" ref="R194:R229" si="3">SUM($S194:$V194)</f>
        <v>0</v>
      </c>
      <c r="S194" s="31">
        <v>0</v>
      </c>
      <c r="T194" s="31">
        <v>0</v>
      </c>
      <c r="U194" s="31">
        <v>0</v>
      </c>
      <c r="V194" s="31">
        <v>0</v>
      </c>
      <c r="W194" s="31">
        <v>15</v>
      </c>
      <c r="X194" s="31">
        <v>25</v>
      </c>
      <c r="Y194" s="31">
        <v>0.5</v>
      </c>
      <c r="Z194" s="31">
        <v>0.9</v>
      </c>
      <c r="AA194" s="31">
        <v>113721</v>
      </c>
      <c r="AB194" s="31"/>
      <c r="AC194" s="27" t="s">
        <v>365</v>
      </c>
    </row>
    <row r="195" spans="1:28">
      <c r="A195" s="27">
        <v>11380</v>
      </c>
      <c r="B195" s="16" t="s">
        <v>37</v>
      </c>
      <c r="C195" s="25" t="s">
        <v>119</v>
      </c>
      <c r="D195" s="27" t="s">
        <v>39</v>
      </c>
      <c r="E195" s="37">
        <v>92</v>
      </c>
      <c r="F195" s="37">
        <v>128</v>
      </c>
      <c r="G195" s="37">
        <v>0</v>
      </c>
      <c r="H195" s="37">
        <v>115</v>
      </c>
      <c r="I195" s="37">
        <v>80</v>
      </c>
      <c r="J195" s="31">
        <v>0</v>
      </c>
      <c r="K195" s="31">
        <v>102</v>
      </c>
      <c r="L195" s="31">
        <v>48</v>
      </c>
      <c r="M195" s="31">
        <v>45</v>
      </c>
      <c r="N195" s="37">
        <v>23</v>
      </c>
      <c r="O195" s="31">
        <v>3</v>
      </c>
      <c r="P195" s="37">
        <v>9</v>
      </c>
      <c r="Q195" s="31">
        <v>4</v>
      </c>
      <c r="R195" s="16">
        <f t="shared" si="3"/>
        <v>0</v>
      </c>
      <c r="S195" s="37">
        <v>0</v>
      </c>
      <c r="T195" s="37">
        <v>0</v>
      </c>
      <c r="U195" s="37">
        <v>0</v>
      </c>
      <c r="V195" s="37">
        <v>0</v>
      </c>
      <c r="W195" s="31">
        <v>130</v>
      </c>
      <c r="X195" s="31">
        <v>185</v>
      </c>
      <c r="Y195" s="31">
        <v>5</v>
      </c>
      <c r="Z195" s="31">
        <v>9</v>
      </c>
      <c r="AA195" s="31">
        <v>113801</v>
      </c>
      <c r="AB195" s="31">
        <v>113802</v>
      </c>
    </row>
    <row r="196" spans="1:27">
      <c r="A196" s="41">
        <v>11400</v>
      </c>
      <c r="B196" s="16" t="s">
        <v>393</v>
      </c>
      <c r="C196" s="41" t="s">
        <v>394</v>
      </c>
      <c r="D196" s="16" t="s">
        <v>395</v>
      </c>
      <c r="E196" s="16">
        <v>48</v>
      </c>
      <c r="F196" s="16">
        <v>50</v>
      </c>
      <c r="G196" s="16">
        <v>0</v>
      </c>
      <c r="H196" s="16">
        <v>58</v>
      </c>
      <c r="I196" s="16">
        <v>110</v>
      </c>
      <c r="J196" s="16">
        <v>0</v>
      </c>
      <c r="K196" s="26">
        <v>99</v>
      </c>
      <c r="L196" s="16">
        <v>83</v>
      </c>
      <c r="M196" s="16">
        <v>50</v>
      </c>
      <c r="N196" s="16">
        <v>32</v>
      </c>
      <c r="O196" s="16">
        <v>2</v>
      </c>
      <c r="P196" s="16">
        <v>30</v>
      </c>
      <c r="Q196" s="16">
        <v>4</v>
      </c>
      <c r="R196" s="39">
        <f t="shared" si="3"/>
        <v>40</v>
      </c>
      <c r="S196" s="16">
        <v>10</v>
      </c>
      <c r="T196" s="16">
        <v>10</v>
      </c>
      <c r="U196" s="16">
        <v>10</v>
      </c>
      <c r="V196" s="16">
        <v>10</v>
      </c>
      <c r="W196" s="16">
        <v>30</v>
      </c>
      <c r="X196" s="16">
        <v>75</v>
      </c>
      <c r="Y196" s="16">
        <v>1.1</v>
      </c>
      <c r="Z196" s="16">
        <v>2</v>
      </c>
      <c r="AA196" s="16">
        <v>114001</v>
      </c>
    </row>
    <row r="197" spans="1:27">
      <c r="A197" s="27">
        <v>11408</v>
      </c>
      <c r="B197" s="16" t="s">
        <v>87</v>
      </c>
      <c r="C197" s="43" t="s">
        <v>396</v>
      </c>
      <c r="D197" s="30" t="s">
        <v>34</v>
      </c>
      <c r="E197" s="39">
        <v>17</v>
      </c>
      <c r="F197" s="39">
        <v>26</v>
      </c>
      <c r="G197" s="39">
        <v>89</v>
      </c>
      <c r="H197" s="39">
        <v>32</v>
      </c>
      <c r="I197" s="39">
        <v>0</v>
      </c>
      <c r="J197" s="39">
        <v>0</v>
      </c>
      <c r="K197" s="46">
        <v>100</v>
      </c>
      <c r="L197" s="39">
        <v>47</v>
      </c>
      <c r="M197" s="39">
        <v>47</v>
      </c>
      <c r="N197" s="39">
        <v>21</v>
      </c>
      <c r="O197" s="39">
        <v>1</v>
      </c>
      <c r="P197" s="39">
        <v>20</v>
      </c>
      <c r="Q197" s="39">
        <v>3</v>
      </c>
      <c r="R197" s="16">
        <f t="shared" si="3"/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20</v>
      </c>
      <c r="X197" s="39">
        <v>25</v>
      </c>
      <c r="Y197" s="39">
        <v>0.64</v>
      </c>
      <c r="Z197" s="39">
        <v>0.75</v>
      </c>
      <c r="AA197" s="16">
        <v>114081</v>
      </c>
    </row>
    <row r="198" spans="1:27">
      <c r="A198" s="27">
        <v>11413</v>
      </c>
      <c r="B198" s="16" t="s">
        <v>393</v>
      </c>
      <c r="C198" s="16" t="s">
        <v>397</v>
      </c>
      <c r="D198" s="16" t="s">
        <v>68</v>
      </c>
      <c r="E198" s="16">
        <v>52</v>
      </c>
      <c r="F198" s="16">
        <v>56</v>
      </c>
      <c r="G198" s="16">
        <v>0</v>
      </c>
      <c r="H198" s="16">
        <v>66</v>
      </c>
      <c r="I198" s="16">
        <v>100</v>
      </c>
      <c r="J198" s="16">
        <v>0</v>
      </c>
      <c r="K198" s="16">
        <v>97</v>
      </c>
      <c r="L198" s="16">
        <v>77</v>
      </c>
      <c r="M198" s="16">
        <v>47</v>
      </c>
      <c r="N198" s="16">
        <v>29</v>
      </c>
      <c r="O198" s="16">
        <v>2</v>
      </c>
      <c r="P198" s="16">
        <v>25</v>
      </c>
      <c r="Q198" s="16">
        <v>4</v>
      </c>
      <c r="R198" s="16">
        <f t="shared" si="3"/>
        <v>40</v>
      </c>
      <c r="S198" s="16">
        <v>10</v>
      </c>
      <c r="T198" s="16">
        <v>10</v>
      </c>
      <c r="U198" s="16">
        <v>10</v>
      </c>
      <c r="V198" s="16">
        <v>10</v>
      </c>
      <c r="W198" s="16">
        <v>45</v>
      </c>
      <c r="X198" s="16">
        <v>75</v>
      </c>
      <c r="Y198" s="16">
        <v>1.3</v>
      </c>
      <c r="Z198" s="16">
        <v>2.45</v>
      </c>
      <c r="AA198" s="39">
        <v>114131</v>
      </c>
    </row>
    <row r="199" spans="1:27">
      <c r="A199" s="27">
        <v>11414</v>
      </c>
      <c r="B199" s="16" t="s">
        <v>265</v>
      </c>
      <c r="C199" s="16" t="s">
        <v>398</v>
      </c>
      <c r="D199" s="16" t="s">
        <v>39</v>
      </c>
      <c r="E199" s="16">
        <v>28</v>
      </c>
      <c r="F199" s="16">
        <v>40</v>
      </c>
      <c r="G199" s="16">
        <v>79</v>
      </c>
      <c r="H199" s="16">
        <v>38</v>
      </c>
      <c r="I199" s="16">
        <v>55</v>
      </c>
      <c r="J199" s="16">
        <v>77</v>
      </c>
      <c r="K199" s="26">
        <v>92</v>
      </c>
      <c r="L199" s="16">
        <v>92</v>
      </c>
      <c r="M199" s="16">
        <v>37</v>
      </c>
      <c r="N199" s="16">
        <v>36</v>
      </c>
      <c r="O199" s="16">
        <v>1</v>
      </c>
      <c r="P199" s="16">
        <v>16</v>
      </c>
      <c r="Q199" s="16">
        <v>3</v>
      </c>
      <c r="R199" s="39">
        <f t="shared" si="3"/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10</v>
      </c>
      <c r="X199" s="16">
        <v>25</v>
      </c>
      <c r="Y199" s="16">
        <v>0.48</v>
      </c>
      <c r="Z199" s="16">
        <v>0.9</v>
      </c>
      <c r="AA199" s="16">
        <v>114141</v>
      </c>
    </row>
    <row r="200" spans="1:27">
      <c r="A200" s="27">
        <v>11416</v>
      </c>
      <c r="B200" s="16" t="s">
        <v>265</v>
      </c>
      <c r="C200" s="16" t="s">
        <v>399</v>
      </c>
      <c r="D200" s="16" t="s">
        <v>72</v>
      </c>
      <c r="E200" s="16">
        <v>36</v>
      </c>
      <c r="F200" s="16">
        <v>43</v>
      </c>
      <c r="G200" s="16">
        <v>87</v>
      </c>
      <c r="H200" s="16">
        <v>47</v>
      </c>
      <c r="I200" s="16">
        <v>81</v>
      </c>
      <c r="J200" s="16">
        <v>84</v>
      </c>
      <c r="K200" s="26">
        <v>95</v>
      </c>
      <c r="L200" s="16">
        <v>96</v>
      </c>
      <c r="M200" s="16">
        <v>16</v>
      </c>
      <c r="N200" s="16">
        <v>38</v>
      </c>
      <c r="O200" s="16">
        <v>1</v>
      </c>
      <c r="P200" s="16">
        <v>7</v>
      </c>
      <c r="Q200" s="16">
        <v>3</v>
      </c>
      <c r="R200" s="39">
        <f t="shared" si="3"/>
        <v>0</v>
      </c>
      <c r="S200" s="16">
        <v>0</v>
      </c>
      <c r="T200" s="16">
        <v>0</v>
      </c>
      <c r="U200" s="16">
        <v>0</v>
      </c>
      <c r="V200" s="16">
        <v>0</v>
      </c>
      <c r="W200" s="31">
        <v>15</v>
      </c>
      <c r="X200" s="31">
        <v>25</v>
      </c>
      <c r="Y200" s="31">
        <v>0.5</v>
      </c>
      <c r="Z200" s="31">
        <v>0.9</v>
      </c>
      <c r="AA200" s="31">
        <v>114161</v>
      </c>
    </row>
    <row r="201" spans="1:27">
      <c r="A201" s="27">
        <v>11425</v>
      </c>
      <c r="B201" s="16" t="s">
        <v>265</v>
      </c>
      <c r="C201" s="16" t="s">
        <v>400</v>
      </c>
      <c r="D201" s="16" t="s">
        <v>34</v>
      </c>
      <c r="E201" s="16">
        <v>32</v>
      </c>
      <c r="F201" s="16">
        <v>40</v>
      </c>
      <c r="G201" s="16">
        <v>87</v>
      </c>
      <c r="H201" s="16">
        <v>39</v>
      </c>
      <c r="I201" s="16">
        <v>62</v>
      </c>
      <c r="J201" s="16">
        <v>79</v>
      </c>
      <c r="K201" s="26">
        <v>94</v>
      </c>
      <c r="L201" s="16">
        <v>90</v>
      </c>
      <c r="M201" s="16">
        <v>32</v>
      </c>
      <c r="N201" s="16">
        <v>37</v>
      </c>
      <c r="O201" s="16">
        <v>1</v>
      </c>
      <c r="P201" s="16">
        <v>20</v>
      </c>
      <c r="Q201" s="16">
        <v>3</v>
      </c>
      <c r="R201" s="39">
        <f t="shared" si="3"/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15</v>
      </c>
      <c r="X201" s="16">
        <v>25</v>
      </c>
      <c r="Y201" s="16">
        <v>0.48</v>
      </c>
      <c r="Z201" s="16">
        <v>0.9</v>
      </c>
      <c r="AA201" s="16">
        <v>114251</v>
      </c>
    </row>
    <row r="202" spans="1:28">
      <c r="A202" s="27">
        <v>11426</v>
      </c>
      <c r="B202" s="16" t="s">
        <v>29</v>
      </c>
      <c r="C202" s="25" t="s">
        <v>134</v>
      </c>
      <c r="D202" s="16" t="s">
        <v>47</v>
      </c>
      <c r="E202" s="16">
        <v>64</v>
      </c>
      <c r="F202" s="16">
        <v>40</v>
      </c>
      <c r="G202" s="16">
        <v>0</v>
      </c>
      <c r="H202" s="16">
        <v>62</v>
      </c>
      <c r="I202" s="16">
        <v>70</v>
      </c>
      <c r="J202" s="16">
        <v>0</v>
      </c>
      <c r="K202" s="26">
        <v>100</v>
      </c>
      <c r="L202" s="16">
        <v>62</v>
      </c>
      <c r="M202" s="16">
        <v>72</v>
      </c>
      <c r="N202" s="16">
        <v>34</v>
      </c>
      <c r="O202" s="16">
        <v>1</v>
      </c>
      <c r="P202" s="16">
        <v>6</v>
      </c>
      <c r="Q202" s="16">
        <v>4</v>
      </c>
      <c r="R202" s="39">
        <f t="shared" si="3"/>
        <v>72</v>
      </c>
      <c r="S202" s="16">
        <v>16</v>
      </c>
      <c r="T202" s="16">
        <v>25</v>
      </c>
      <c r="U202" s="16">
        <v>17</v>
      </c>
      <c r="V202" s="16">
        <v>14</v>
      </c>
      <c r="W202" s="16">
        <v>70</v>
      </c>
      <c r="X202" s="16">
        <v>65</v>
      </c>
      <c r="Y202" s="16">
        <v>2.1</v>
      </c>
      <c r="Z202" s="16">
        <v>5.2</v>
      </c>
      <c r="AA202" s="16">
        <v>104261</v>
      </c>
      <c r="AB202" s="16">
        <v>114262</v>
      </c>
    </row>
    <row r="203" spans="1:27">
      <c r="A203" s="27">
        <v>11429</v>
      </c>
      <c r="B203" s="16" t="s">
        <v>265</v>
      </c>
      <c r="C203" s="16" t="s">
        <v>401</v>
      </c>
      <c r="D203" s="16" t="s">
        <v>43</v>
      </c>
      <c r="E203" s="16">
        <v>39</v>
      </c>
      <c r="F203" s="16">
        <v>37</v>
      </c>
      <c r="G203" s="16">
        <v>80</v>
      </c>
      <c r="H203" s="16">
        <v>37</v>
      </c>
      <c r="I203" s="16">
        <v>95</v>
      </c>
      <c r="J203" s="16">
        <v>128</v>
      </c>
      <c r="K203" s="26">
        <v>95</v>
      </c>
      <c r="L203" s="16">
        <v>82</v>
      </c>
      <c r="M203" s="16">
        <v>47</v>
      </c>
      <c r="N203" s="16">
        <v>36</v>
      </c>
      <c r="O203" s="16">
        <v>1</v>
      </c>
      <c r="P203" s="16">
        <v>22</v>
      </c>
      <c r="Q203" s="16">
        <v>3</v>
      </c>
      <c r="R203" s="39">
        <f t="shared" si="3"/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15</v>
      </c>
      <c r="X203" s="16">
        <v>30</v>
      </c>
      <c r="Y203" s="16">
        <v>0.7</v>
      </c>
      <c r="Z203" s="16">
        <v>0.96</v>
      </c>
      <c r="AA203" s="16">
        <v>114291</v>
      </c>
    </row>
    <row r="204" spans="1:27">
      <c r="A204" s="41">
        <v>11430</v>
      </c>
      <c r="B204" s="16" t="s">
        <v>393</v>
      </c>
      <c r="C204" s="41" t="s">
        <v>402</v>
      </c>
      <c r="D204" s="16" t="s">
        <v>72</v>
      </c>
      <c r="E204" s="16">
        <v>52</v>
      </c>
      <c r="F204" s="16">
        <v>61</v>
      </c>
      <c r="G204" s="16">
        <v>0</v>
      </c>
      <c r="H204" s="16">
        <v>58</v>
      </c>
      <c r="I204" s="16">
        <v>105</v>
      </c>
      <c r="J204" s="16">
        <v>0</v>
      </c>
      <c r="K204" s="26">
        <v>99</v>
      </c>
      <c r="L204" s="16">
        <v>74</v>
      </c>
      <c r="M204" s="16">
        <v>44</v>
      </c>
      <c r="N204" s="16">
        <v>33</v>
      </c>
      <c r="O204" s="16">
        <v>2</v>
      </c>
      <c r="P204" s="16">
        <v>17</v>
      </c>
      <c r="Q204" s="16">
        <v>4</v>
      </c>
      <c r="R204" s="39">
        <f t="shared" si="3"/>
        <v>48</v>
      </c>
      <c r="S204" s="16">
        <v>12</v>
      </c>
      <c r="T204" s="16">
        <v>12</v>
      </c>
      <c r="U204" s="16">
        <v>12</v>
      </c>
      <c r="V204" s="16">
        <v>12</v>
      </c>
      <c r="W204" s="16">
        <v>30</v>
      </c>
      <c r="X204" s="16">
        <v>75</v>
      </c>
      <c r="Y204" s="16">
        <v>0.9</v>
      </c>
      <c r="Z204" s="16">
        <v>1.7</v>
      </c>
      <c r="AA204" s="16">
        <v>114301</v>
      </c>
    </row>
    <row r="205" spans="1:28">
      <c r="A205" s="27">
        <v>11431</v>
      </c>
      <c r="B205" s="16" t="s">
        <v>84</v>
      </c>
      <c r="C205" s="16" t="s">
        <v>403</v>
      </c>
      <c r="D205" s="27" t="s">
        <v>39</v>
      </c>
      <c r="E205" s="31">
        <v>60</v>
      </c>
      <c r="F205" s="31">
        <v>65</v>
      </c>
      <c r="G205" s="31">
        <v>60</v>
      </c>
      <c r="H205" s="31">
        <v>47</v>
      </c>
      <c r="I205" s="31">
        <v>81</v>
      </c>
      <c r="J205" s="31">
        <v>0</v>
      </c>
      <c r="K205" s="38">
        <v>97</v>
      </c>
      <c r="L205" s="31">
        <v>84</v>
      </c>
      <c r="M205" s="31">
        <v>62</v>
      </c>
      <c r="N205" s="31">
        <v>31.5</v>
      </c>
      <c r="O205" s="31">
        <v>2</v>
      </c>
      <c r="P205" s="31">
        <v>20</v>
      </c>
      <c r="Q205" s="31">
        <v>4</v>
      </c>
      <c r="R205" s="16">
        <f t="shared" si="3"/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35</v>
      </c>
      <c r="X205" s="31">
        <v>70</v>
      </c>
      <c r="Y205" s="31">
        <v>1.28</v>
      </c>
      <c r="Z205" s="31">
        <v>2.4</v>
      </c>
      <c r="AA205" s="31">
        <v>114311</v>
      </c>
      <c r="AB205" s="31"/>
    </row>
    <row r="206" spans="1:28">
      <c r="A206" s="27">
        <v>11456</v>
      </c>
      <c r="B206" s="16" t="s">
        <v>131</v>
      </c>
      <c r="C206" s="16" t="s">
        <v>404</v>
      </c>
      <c r="D206" s="27" t="s">
        <v>72</v>
      </c>
      <c r="E206" s="31">
        <v>64</v>
      </c>
      <c r="F206" s="31">
        <v>76</v>
      </c>
      <c r="G206" s="31">
        <v>0</v>
      </c>
      <c r="H206" s="31">
        <v>67</v>
      </c>
      <c r="I206" s="31">
        <v>100</v>
      </c>
      <c r="J206" s="31">
        <v>79</v>
      </c>
      <c r="K206" s="31">
        <v>97</v>
      </c>
      <c r="L206" s="31">
        <v>83</v>
      </c>
      <c r="M206" s="31">
        <v>59</v>
      </c>
      <c r="N206" s="31">
        <v>32.6</v>
      </c>
      <c r="O206" s="31">
        <v>2</v>
      </c>
      <c r="P206" s="31">
        <v>19</v>
      </c>
      <c r="Q206" s="31">
        <v>4</v>
      </c>
      <c r="R206" s="16">
        <f t="shared" si="3"/>
        <v>0</v>
      </c>
      <c r="S206" s="31">
        <v>0</v>
      </c>
      <c r="T206" s="31">
        <v>0</v>
      </c>
      <c r="U206" s="31">
        <v>0</v>
      </c>
      <c r="V206" s="31">
        <v>0</v>
      </c>
      <c r="W206" s="31">
        <v>45</v>
      </c>
      <c r="X206" s="31">
        <v>80</v>
      </c>
      <c r="Y206" s="31">
        <v>1.5</v>
      </c>
      <c r="Z206" s="31">
        <v>2.8</v>
      </c>
      <c r="AA206" s="31">
        <v>114561</v>
      </c>
      <c r="AB206" s="31"/>
    </row>
    <row r="207" s="16" customFormat="1" spans="1:29">
      <c r="A207" s="27">
        <v>11467</v>
      </c>
      <c r="B207" s="16" t="s">
        <v>105</v>
      </c>
      <c r="C207" s="16" t="s">
        <v>152</v>
      </c>
      <c r="D207" s="16" t="s">
        <v>89</v>
      </c>
      <c r="E207" s="16">
        <v>33</v>
      </c>
      <c r="F207" s="16">
        <v>42</v>
      </c>
      <c r="G207" s="16">
        <v>0</v>
      </c>
      <c r="H207" s="16">
        <v>40</v>
      </c>
      <c r="I207" s="16">
        <v>65</v>
      </c>
      <c r="J207" s="16">
        <v>0</v>
      </c>
      <c r="K207" s="26">
        <v>101</v>
      </c>
      <c r="L207" s="16">
        <v>93</v>
      </c>
      <c r="M207" s="16">
        <v>44</v>
      </c>
      <c r="N207" s="16">
        <v>39</v>
      </c>
      <c r="O207" s="16">
        <v>1</v>
      </c>
      <c r="P207" s="16">
        <v>25</v>
      </c>
      <c r="Q207" s="16">
        <v>3</v>
      </c>
      <c r="R207" s="39">
        <f t="shared" si="3"/>
        <v>24</v>
      </c>
      <c r="S207" s="16">
        <v>8</v>
      </c>
      <c r="T207" s="16">
        <v>8</v>
      </c>
      <c r="U207" s="16">
        <v>8</v>
      </c>
      <c r="V207" s="16">
        <v>0</v>
      </c>
      <c r="W207" s="16">
        <v>25</v>
      </c>
      <c r="X207" s="16">
        <v>65</v>
      </c>
      <c r="Y207" s="16">
        <v>0.48</v>
      </c>
      <c r="Z207" s="16">
        <v>1.5</v>
      </c>
      <c r="AA207" s="16">
        <v>104671</v>
      </c>
      <c r="AB207" s="16">
        <v>114672</v>
      </c>
      <c r="AC207" s="27" t="s">
        <v>153</v>
      </c>
    </row>
    <row r="208" spans="1:28">
      <c r="A208" s="27">
        <v>11483</v>
      </c>
      <c r="B208" s="16" t="s">
        <v>44</v>
      </c>
      <c r="C208" s="25" t="s">
        <v>160</v>
      </c>
      <c r="D208" s="16" t="s">
        <v>39</v>
      </c>
      <c r="E208" s="16">
        <v>80</v>
      </c>
      <c r="F208" s="16">
        <v>45</v>
      </c>
      <c r="G208" s="16">
        <v>0</v>
      </c>
      <c r="H208" s="16">
        <v>96</v>
      </c>
      <c r="I208" s="16">
        <v>101</v>
      </c>
      <c r="J208" s="16">
        <v>0</v>
      </c>
      <c r="K208" s="26">
        <v>97</v>
      </c>
      <c r="L208" s="16">
        <v>66</v>
      </c>
      <c r="M208" s="16">
        <v>78</v>
      </c>
      <c r="N208" s="16">
        <v>30.5</v>
      </c>
      <c r="O208" s="16">
        <v>1</v>
      </c>
      <c r="P208" s="16">
        <v>25</v>
      </c>
      <c r="Q208" s="16">
        <v>4</v>
      </c>
      <c r="R208" s="16">
        <f t="shared" si="3"/>
        <v>67</v>
      </c>
      <c r="S208" s="16">
        <v>20</v>
      </c>
      <c r="T208" s="16">
        <v>21</v>
      </c>
      <c r="U208" s="16">
        <v>15</v>
      </c>
      <c r="V208" s="16">
        <v>11</v>
      </c>
      <c r="W208" s="31">
        <v>75</v>
      </c>
      <c r="X208" s="31">
        <v>90</v>
      </c>
      <c r="Y208" s="31">
        <v>2.88</v>
      </c>
      <c r="Z208" s="31">
        <v>5.5</v>
      </c>
      <c r="AA208" s="16">
        <v>104831</v>
      </c>
      <c r="AB208" s="31">
        <v>114832</v>
      </c>
    </row>
    <row r="209" spans="1:27">
      <c r="A209" s="27">
        <v>11490</v>
      </c>
      <c r="B209" s="16" t="s">
        <v>51</v>
      </c>
      <c r="C209" s="16" t="s">
        <v>163</v>
      </c>
      <c r="D209" s="16" t="s">
        <v>47</v>
      </c>
      <c r="E209" s="16">
        <v>72</v>
      </c>
      <c r="F209" s="16">
        <v>91</v>
      </c>
      <c r="G209" s="16">
        <v>45</v>
      </c>
      <c r="H209" s="16">
        <v>80</v>
      </c>
      <c r="I209" s="16">
        <v>70</v>
      </c>
      <c r="J209" s="16">
        <v>0</v>
      </c>
      <c r="K209" s="26">
        <v>94</v>
      </c>
      <c r="L209" s="16">
        <v>73</v>
      </c>
      <c r="M209" s="16">
        <v>44</v>
      </c>
      <c r="N209" s="16">
        <v>35</v>
      </c>
      <c r="O209" s="16">
        <v>3</v>
      </c>
      <c r="P209" s="16">
        <v>6</v>
      </c>
      <c r="Q209" s="16">
        <v>4</v>
      </c>
      <c r="R209" s="39">
        <f t="shared" si="3"/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60</v>
      </c>
      <c r="X209" s="16">
        <v>130</v>
      </c>
      <c r="Y209" s="16">
        <v>2.8</v>
      </c>
      <c r="Z209" s="16">
        <v>5.8</v>
      </c>
      <c r="AA209" s="16">
        <v>104901</v>
      </c>
    </row>
    <row r="210" spans="1:27">
      <c r="A210" s="41">
        <v>11496</v>
      </c>
      <c r="B210" s="16" t="s">
        <v>265</v>
      </c>
      <c r="C210" s="41" t="s">
        <v>405</v>
      </c>
      <c r="D210" s="16" t="s">
        <v>34</v>
      </c>
      <c r="E210" s="16">
        <v>43</v>
      </c>
      <c r="F210" s="16">
        <v>46</v>
      </c>
      <c r="G210" s="16">
        <v>83</v>
      </c>
      <c r="H210" s="16">
        <v>42</v>
      </c>
      <c r="I210" s="16">
        <v>95</v>
      </c>
      <c r="J210" s="16">
        <v>136</v>
      </c>
      <c r="K210" s="26">
        <v>92</v>
      </c>
      <c r="L210" s="16">
        <v>91</v>
      </c>
      <c r="M210" s="16">
        <v>51</v>
      </c>
      <c r="N210" s="16">
        <v>32</v>
      </c>
      <c r="O210" s="16">
        <v>1</v>
      </c>
      <c r="P210" s="16">
        <v>10</v>
      </c>
      <c r="Q210" s="16">
        <v>3</v>
      </c>
      <c r="R210" s="39">
        <f t="shared" si="3"/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25</v>
      </c>
      <c r="X210" s="16">
        <v>35</v>
      </c>
      <c r="Y210" s="16">
        <v>0.7</v>
      </c>
      <c r="Z210" s="16">
        <v>1.2</v>
      </c>
      <c r="AA210" s="16">
        <v>114961</v>
      </c>
    </row>
    <row r="211" spans="1:27">
      <c r="A211" s="27">
        <v>11503</v>
      </c>
      <c r="B211" s="16" t="s">
        <v>265</v>
      </c>
      <c r="C211" s="16" t="s">
        <v>406</v>
      </c>
      <c r="D211" s="16" t="s">
        <v>47</v>
      </c>
      <c r="E211" s="16">
        <v>32</v>
      </c>
      <c r="F211" s="16">
        <v>37</v>
      </c>
      <c r="G211" s="16">
        <v>81</v>
      </c>
      <c r="H211" s="16">
        <v>36</v>
      </c>
      <c r="I211" s="16">
        <v>65</v>
      </c>
      <c r="J211" s="16">
        <v>71</v>
      </c>
      <c r="K211" s="26">
        <v>92</v>
      </c>
      <c r="L211" s="16">
        <v>90</v>
      </c>
      <c r="M211" s="16">
        <v>36</v>
      </c>
      <c r="N211" s="16">
        <v>33.5</v>
      </c>
      <c r="O211" s="16">
        <v>1</v>
      </c>
      <c r="P211" s="16">
        <v>24</v>
      </c>
      <c r="Q211" s="16">
        <v>3</v>
      </c>
      <c r="R211" s="39">
        <f t="shared" si="3"/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15</v>
      </c>
      <c r="X211" s="16">
        <v>25</v>
      </c>
      <c r="Y211" s="16">
        <v>0.48</v>
      </c>
      <c r="Z211" s="16">
        <v>0.8</v>
      </c>
      <c r="AA211" s="16">
        <v>115031</v>
      </c>
    </row>
    <row r="212" spans="1:27">
      <c r="A212" s="27">
        <v>11509</v>
      </c>
      <c r="B212" s="16" t="s">
        <v>92</v>
      </c>
      <c r="C212" s="16" t="s">
        <v>407</v>
      </c>
      <c r="D212" s="16" t="s">
        <v>72</v>
      </c>
      <c r="E212" s="16">
        <v>40</v>
      </c>
      <c r="F212" s="16">
        <v>46</v>
      </c>
      <c r="G212" s="16">
        <v>0</v>
      </c>
      <c r="H212" s="16">
        <v>39</v>
      </c>
      <c r="I212" s="16">
        <v>90</v>
      </c>
      <c r="J212" s="16">
        <v>74</v>
      </c>
      <c r="K212" s="26">
        <v>107</v>
      </c>
      <c r="L212" s="16">
        <v>85</v>
      </c>
      <c r="M212" s="16">
        <v>51</v>
      </c>
      <c r="N212" s="16">
        <v>34.5</v>
      </c>
      <c r="O212" s="16">
        <v>1</v>
      </c>
      <c r="P212" s="16">
        <v>16</v>
      </c>
      <c r="Q212" s="16">
        <v>3</v>
      </c>
      <c r="R212" s="39">
        <f t="shared" si="3"/>
        <v>48</v>
      </c>
      <c r="S212" s="16">
        <v>16</v>
      </c>
      <c r="T212" s="16">
        <v>16</v>
      </c>
      <c r="U212" s="16">
        <v>16</v>
      </c>
      <c r="V212" s="16">
        <v>0</v>
      </c>
      <c r="W212" s="16">
        <v>15</v>
      </c>
      <c r="X212" s="16">
        <v>40</v>
      </c>
      <c r="Y212" s="16">
        <v>0.5</v>
      </c>
      <c r="Z212" s="16">
        <v>0.9</v>
      </c>
      <c r="AA212" s="16">
        <v>115091</v>
      </c>
    </row>
    <row r="213" spans="1:27">
      <c r="A213" s="41">
        <v>11516</v>
      </c>
      <c r="B213" s="16" t="s">
        <v>131</v>
      </c>
      <c r="C213" s="41" t="s">
        <v>408</v>
      </c>
      <c r="D213" s="16" t="s">
        <v>72</v>
      </c>
      <c r="E213" s="16">
        <v>52</v>
      </c>
      <c r="F213" s="16">
        <v>66</v>
      </c>
      <c r="G213" s="16">
        <v>0</v>
      </c>
      <c r="H213" s="16">
        <v>58</v>
      </c>
      <c r="I213" s="16">
        <v>112</v>
      </c>
      <c r="J213" s="16">
        <v>84</v>
      </c>
      <c r="K213" s="26">
        <v>98</v>
      </c>
      <c r="L213" s="16">
        <v>76</v>
      </c>
      <c r="M213" s="16">
        <v>41</v>
      </c>
      <c r="N213" s="16">
        <v>32</v>
      </c>
      <c r="O213" s="16">
        <v>2</v>
      </c>
      <c r="P213" s="16">
        <v>18</v>
      </c>
      <c r="Q213" s="16">
        <v>4</v>
      </c>
      <c r="R213" s="39">
        <f t="shared" si="3"/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25</v>
      </c>
      <c r="X213" s="16">
        <v>45</v>
      </c>
      <c r="Y213" s="16">
        <v>0.9</v>
      </c>
      <c r="Z213" s="16">
        <v>1.6</v>
      </c>
      <c r="AA213" s="16">
        <v>115161</v>
      </c>
    </row>
    <row r="214" spans="1:27">
      <c r="A214" s="27">
        <v>11517</v>
      </c>
      <c r="B214" s="16" t="s">
        <v>265</v>
      </c>
      <c r="C214" s="16" t="s">
        <v>409</v>
      </c>
      <c r="D214" s="16" t="s">
        <v>47</v>
      </c>
      <c r="E214" s="16">
        <v>36</v>
      </c>
      <c r="F214" s="16">
        <v>40</v>
      </c>
      <c r="G214" s="16">
        <v>75</v>
      </c>
      <c r="H214" s="16">
        <v>37</v>
      </c>
      <c r="I214" s="16">
        <v>89</v>
      </c>
      <c r="J214" s="16">
        <v>128</v>
      </c>
      <c r="K214" s="26">
        <v>92</v>
      </c>
      <c r="L214" s="16">
        <v>90</v>
      </c>
      <c r="M214" s="16">
        <v>37</v>
      </c>
      <c r="N214" s="16">
        <v>32</v>
      </c>
      <c r="O214" s="16">
        <v>1</v>
      </c>
      <c r="P214" s="16">
        <v>10</v>
      </c>
      <c r="Q214" s="16">
        <v>3</v>
      </c>
      <c r="R214" s="39">
        <f t="shared" si="3"/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15</v>
      </c>
      <c r="X214" s="16">
        <v>25</v>
      </c>
      <c r="Y214" s="16">
        <v>0.48</v>
      </c>
      <c r="Z214" s="16">
        <v>0.9</v>
      </c>
      <c r="AA214" s="16">
        <v>115171</v>
      </c>
    </row>
    <row r="215" spans="1:28">
      <c r="A215" s="27">
        <v>11519</v>
      </c>
      <c r="B215" s="16" t="s">
        <v>265</v>
      </c>
      <c r="C215" s="16" t="s">
        <v>410</v>
      </c>
      <c r="D215" s="27" t="s">
        <v>89</v>
      </c>
      <c r="E215" s="31">
        <v>28</v>
      </c>
      <c r="F215" s="31">
        <v>32</v>
      </c>
      <c r="G215" s="31">
        <v>73</v>
      </c>
      <c r="H215" s="31">
        <v>33</v>
      </c>
      <c r="I215" s="31">
        <v>46</v>
      </c>
      <c r="J215" s="31">
        <v>57</v>
      </c>
      <c r="K215" s="38">
        <v>93</v>
      </c>
      <c r="L215" s="31">
        <v>92</v>
      </c>
      <c r="M215" s="31">
        <v>40</v>
      </c>
      <c r="N215" s="31">
        <v>30</v>
      </c>
      <c r="O215" s="31">
        <v>1</v>
      </c>
      <c r="P215" s="31">
        <v>6</v>
      </c>
      <c r="Q215" s="31">
        <v>3</v>
      </c>
      <c r="R215" s="39">
        <f t="shared" si="3"/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10</v>
      </c>
      <c r="X215" s="31">
        <v>15</v>
      </c>
      <c r="Y215" s="31">
        <v>0.45</v>
      </c>
      <c r="Z215" s="31">
        <v>0.8</v>
      </c>
      <c r="AA215" s="31">
        <v>115191</v>
      </c>
      <c r="AB215" s="31"/>
    </row>
    <row r="216" spans="1:27">
      <c r="A216" s="41">
        <v>11527</v>
      </c>
      <c r="B216" s="16" t="s">
        <v>131</v>
      </c>
      <c r="C216" s="41" t="s">
        <v>411</v>
      </c>
      <c r="D216" s="16" t="s">
        <v>89</v>
      </c>
      <c r="E216" s="16">
        <v>43</v>
      </c>
      <c r="F216" s="16">
        <v>56</v>
      </c>
      <c r="G216" s="16">
        <v>55</v>
      </c>
      <c r="H216" s="16">
        <v>49</v>
      </c>
      <c r="I216" s="16">
        <v>52</v>
      </c>
      <c r="J216" s="16">
        <v>69</v>
      </c>
      <c r="K216" s="26">
        <v>97</v>
      </c>
      <c r="L216" s="16">
        <v>70</v>
      </c>
      <c r="M216" s="16">
        <v>19</v>
      </c>
      <c r="N216" s="16">
        <v>28</v>
      </c>
      <c r="O216" s="16">
        <v>2</v>
      </c>
      <c r="P216" s="16">
        <v>6</v>
      </c>
      <c r="Q216" s="16">
        <v>3</v>
      </c>
      <c r="R216" s="39">
        <f t="shared" si="3"/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25</v>
      </c>
      <c r="X216" s="16">
        <v>25</v>
      </c>
      <c r="Y216" s="16">
        <v>0.7</v>
      </c>
      <c r="Z216" s="16">
        <v>1.3</v>
      </c>
      <c r="AA216" s="16">
        <v>115271</v>
      </c>
    </row>
    <row r="217" spans="1:27">
      <c r="A217" s="27">
        <v>11528</v>
      </c>
      <c r="B217" s="16" t="s">
        <v>393</v>
      </c>
      <c r="C217" s="41" t="s">
        <v>412</v>
      </c>
      <c r="D217" s="16" t="s">
        <v>34</v>
      </c>
      <c r="E217" s="16">
        <v>60</v>
      </c>
      <c r="F217" s="16">
        <v>61</v>
      </c>
      <c r="G217" s="16">
        <v>0</v>
      </c>
      <c r="H217" s="16">
        <v>68</v>
      </c>
      <c r="I217" s="16">
        <v>112</v>
      </c>
      <c r="J217" s="16">
        <v>0</v>
      </c>
      <c r="K217" s="26">
        <v>99</v>
      </c>
      <c r="L217" s="16">
        <v>85</v>
      </c>
      <c r="M217" s="16">
        <v>54</v>
      </c>
      <c r="N217" s="16">
        <v>33</v>
      </c>
      <c r="O217" s="16">
        <v>2</v>
      </c>
      <c r="P217" s="16">
        <v>18</v>
      </c>
      <c r="Q217" s="16">
        <v>4</v>
      </c>
      <c r="R217" s="39">
        <f t="shared" si="3"/>
        <v>48</v>
      </c>
      <c r="S217" s="16">
        <v>12</v>
      </c>
      <c r="T217" s="16">
        <v>12</v>
      </c>
      <c r="U217" s="16">
        <v>12</v>
      </c>
      <c r="V217" s="16">
        <v>12</v>
      </c>
      <c r="W217" s="16">
        <v>40</v>
      </c>
      <c r="X217" s="16">
        <v>70</v>
      </c>
      <c r="Y217" s="16">
        <v>1.28</v>
      </c>
      <c r="Z217" s="16">
        <v>2.4</v>
      </c>
      <c r="AA217" s="16">
        <v>115281</v>
      </c>
    </row>
    <row r="218" spans="1:27">
      <c r="A218" s="27">
        <v>11530</v>
      </c>
      <c r="B218" s="16" t="s">
        <v>87</v>
      </c>
      <c r="C218" s="16" t="s">
        <v>413</v>
      </c>
      <c r="D218" s="16" t="s">
        <v>72</v>
      </c>
      <c r="E218" s="16">
        <v>12</v>
      </c>
      <c r="F218" s="16">
        <v>23</v>
      </c>
      <c r="G218" s="16">
        <v>73</v>
      </c>
      <c r="H218" s="16">
        <v>30</v>
      </c>
      <c r="I218" s="16">
        <v>0</v>
      </c>
      <c r="J218" s="16">
        <v>0</v>
      </c>
      <c r="K218" s="26">
        <v>108</v>
      </c>
      <c r="L218" s="16">
        <v>78</v>
      </c>
      <c r="M218" s="16">
        <v>52</v>
      </c>
      <c r="N218" s="16">
        <v>16</v>
      </c>
      <c r="O218" s="16">
        <v>1</v>
      </c>
      <c r="P218" s="16">
        <v>15</v>
      </c>
      <c r="Q218" s="16">
        <v>3</v>
      </c>
      <c r="R218" s="39">
        <f t="shared" si="3"/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20</v>
      </c>
      <c r="X218" s="16">
        <v>20</v>
      </c>
      <c r="Y218" s="16">
        <v>0.6</v>
      </c>
      <c r="Z218" s="16">
        <v>0.65</v>
      </c>
      <c r="AA218" s="16">
        <v>115301</v>
      </c>
    </row>
    <row r="219" spans="1:28">
      <c r="A219" s="27">
        <v>11532</v>
      </c>
      <c r="B219" s="16" t="s">
        <v>37</v>
      </c>
      <c r="C219" s="16" t="s">
        <v>179</v>
      </c>
      <c r="D219" s="16" t="s">
        <v>68</v>
      </c>
      <c r="E219" s="16">
        <v>56</v>
      </c>
      <c r="F219" s="16">
        <v>88</v>
      </c>
      <c r="G219" s="16">
        <v>0</v>
      </c>
      <c r="H219" s="16">
        <v>84</v>
      </c>
      <c r="I219" s="16">
        <v>53</v>
      </c>
      <c r="J219" s="16">
        <v>0</v>
      </c>
      <c r="K219" s="26">
        <v>100</v>
      </c>
      <c r="L219" s="16">
        <v>51</v>
      </c>
      <c r="M219" s="16">
        <v>42</v>
      </c>
      <c r="N219" s="16">
        <v>22</v>
      </c>
      <c r="O219" s="16">
        <v>3</v>
      </c>
      <c r="P219" s="16">
        <v>16</v>
      </c>
      <c r="Q219" s="16">
        <v>4</v>
      </c>
      <c r="R219" s="39">
        <f t="shared" si="3"/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75</v>
      </c>
      <c r="X219" s="16">
        <v>105</v>
      </c>
      <c r="Y219" s="16">
        <v>2.25</v>
      </c>
      <c r="Z219" s="16">
        <v>4.6</v>
      </c>
      <c r="AA219" s="16">
        <v>105321</v>
      </c>
      <c r="AB219" s="16">
        <v>115322</v>
      </c>
    </row>
    <row r="220" spans="1:27">
      <c r="A220" s="27">
        <v>11538</v>
      </c>
      <c r="B220" s="16" t="s">
        <v>87</v>
      </c>
      <c r="C220" s="16" t="s">
        <v>414</v>
      </c>
      <c r="D220" s="16" t="s">
        <v>31</v>
      </c>
      <c r="E220" s="16">
        <v>21</v>
      </c>
      <c r="F220" s="16">
        <v>24</v>
      </c>
      <c r="G220" s="16">
        <v>95</v>
      </c>
      <c r="H220" s="16">
        <v>27</v>
      </c>
      <c r="I220" s="16">
        <v>0</v>
      </c>
      <c r="J220" s="16">
        <v>0</v>
      </c>
      <c r="K220" s="26">
        <v>103</v>
      </c>
      <c r="L220" s="16">
        <v>44</v>
      </c>
      <c r="M220" s="16">
        <v>53</v>
      </c>
      <c r="N220" s="16">
        <v>23.6</v>
      </c>
      <c r="O220" s="16">
        <v>1</v>
      </c>
      <c r="P220" s="16">
        <v>13</v>
      </c>
      <c r="Q220" s="16">
        <v>3</v>
      </c>
      <c r="R220" s="39">
        <f t="shared" si="3"/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25</v>
      </c>
      <c r="X220" s="16">
        <v>30</v>
      </c>
      <c r="Y220" s="16">
        <v>0.6</v>
      </c>
      <c r="Z220" s="16">
        <v>0.7</v>
      </c>
      <c r="AA220" s="16">
        <v>115381</v>
      </c>
    </row>
    <row r="221" spans="1:27">
      <c r="A221" s="27">
        <v>11545</v>
      </c>
      <c r="B221" s="16" t="s">
        <v>237</v>
      </c>
      <c r="C221" s="16" t="s">
        <v>415</v>
      </c>
      <c r="D221" s="16" t="s">
        <v>47</v>
      </c>
      <c r="E221" s="16">
        <v>68</v>
      </c>
      <c r="F221" s="16">
        <v>40</v>
      </c>
      <c r="G221" s="16">
        <v>0</v>
      </c>
      <c r="H221" s="16">
        <v>57</v>
      </c>
      <c r="I221" s="16">
        <v>75</v>
      </c>
      <c r="J221" s="16">
        <v>0</v>
      </c>
      <c r="K221" s="26">
        <v>95</v>
      </c>
      <c r="L221" s="16">
        <v>83</v>
      </c>
      <c r="M221" s="16">
        <v>72</v>
      </c>
      <c r="N221" s="16">
        <v>32</v>
      </c>
      <c r="O221" s="16">
        <v>1</v>
      </c>
      <c r="P221" s="16">
        <v>7</v>
      </c>
      <c r="Q221" s="16">
        <v>3</v>
      </c>
      <c r="R221" s="39">
        <f t="shared" si="3"/>
        <v>32</v>
      </c>
      <c r="S221" s="16">
        <v>11</v>
      </c>
      <c r="T221" s="16">
        <v>11</v>
      </c>
      <c r="U221" s="16">
        <v>10</v>
      </c>
      <c r="V221" s="16">
        <v>0</v>
      </c>
      <c r="W221" s="16">
        <v>35</v>
      </c>
      <c r="X221" s="16">
        <v>70</v>
      </c>
      <c r="Y221" s="16">
        <v>1.3</v>
      </c>
      <c r="Z221" s="16">
        <v>2.64</v>
      </c>
      <c r="AA221" s="16">
        <v>115451</v>
      </c>
    </row>
    <row r="222" spans="1:27">
      <c r="A222" s="27">
        <v>11560</v>
      </c>
      <c r="B222" s="16" t="s">
        <v>262</v>
      </c>
      <c r="C222" s="16" t="s">
        <v>416</v>
      </c>
      <c r="D222" s="16" t="s">
        <v>47</v>
      </c>
      <c r="E222" s="16">
        <v>68</v>
      </c>
      <c r="F222" s="16">
        <v>74</v>
      </c>
      <c r="G222" s="16">
        <v>0</v>
      </c>
      <c r="H222" s="16">
        <v>74</v>
      </c>
      <c r="I222" s="16">
        <v>60</v>
      </c>
      <c r="J222" s="16">
        <v>0</v>
      </c>
      <c r="K222" s="26">
        <v>99</v>
      </c>
      <c r="L222" s="16">
        <v>56</v>
      </c>
      <c r="M222" s="16">
        <v>26</v>
      </c>
      <c r="N222" s="16">
        <v>18</v>
      </c>
      <c r="O222" s="16">
        <v>3</v>
      </c>
      <c r="P222" s="16">
        <v>21</v>
      </c>
      <c r="Q222" s="16">
        <v>3</v>
      </c>
      <c r="R222" s="39">
        <f t="shared" si="3"/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40</v>
      </c>
      <c r="X222" s="16">
        <v>65</v>
      </c>
      <c r="Y222" s="16">
        <v>1.3</v>
      </c>
      <c r="Z222" s="16">
        <v>1.2</v>
      </c>
      <c r="AA222" s="16">
        <v>115601</v>
      </c>
    </row>
    <row r="223" spans="1:27">
      <c r="A223" s="27">
        <v>11575</v>
      </c>
      <c r="B223" s="16" t="s">
        <v>92</v>
      </c>
      <c r="C223" s="16" t="s">
        <v>417</v>
      </c>
      <c r="D223" s="16" t="s">
        <v>72</v>
      </c>
      <c r="E223" s="16">
        <v>40</v>
      </c>
      <c r="F223" s="16">
        <v>46</v>
      </c>
      <c r="G223" s="16">
        <v>0</v>
      </c>
      <c r="H223" s="16">
        <v>39</v>
      </c>
      <c r="I223" s="16">
        <v>94</v>
      </c>
      <c r="J223" s="16">
        <v>74</v>
      </c>
      <c r="K223" s="26">
        <v>107</v>
      </c>
      <c r="L223" s="16">
        <v>86</v>
      </c>
      <c r="M223" s="16">
        <v>48</v>
      </c>
      <c r="N223" s="16">
        <v>35</v>
      </c>
      <c r="O223" s="16">
        <v>1</v>
      </c>
      <c r="P223" s="16">
        <v>17</v>
      </c>
      <c r="Q223" s="16">
        <v>3</v>
      </c>
      <c r="R223" s="39">
        <f t="shared" si="3"/>
        <v>48</v>
      </c>
      <c r="S223" s="16">
        <v>16</v>
      </c>
      <c r="T223" s="16">
        <v>16</v>
      </c>
      <c r="U223" s="16">
        <v>16</v>
      </c>
      <c r="V223" s="16">
        <v>0</v>
      </c>
      <c r="W223" s="16">
        <v>15</v>
      </c>
      <c r="X223" s="16">
        <v>40</v>
      </c>
      <c r="Y223" s="16">
        <v>0.5</v>
      </c>
      <c r="Z223" s="16">
        <v>0.9</v>
      </c>
      <c r="AA223" s="16">
        <v>115751</v>
      </c>
    </row>
    <row r="224" spans="1:27">
      <c r="A224" s="27">
        <v>11583</v>
      </c>
      <c r="B224" s="16" t="s">
        <v>37</v>
      </c>
      <c r="C224" s="16" t="s">
        <v>418</v>
      </c>
      <c r="D224" s="16" t="s">
        <v>68</v>
      </c>
      <c r="E224" s="16">
        <v>73</v>
      </c>
      <c r="F224" s="16">
        <v>95</v>
      </c>
      <c r="G224" s="16">
        <v>0</v>
      </c>
      <c r="H224" s="16">
        <v>90</v>
      </c>
      <c r="I224" s="16">
        <v>58</v>
      </c>
      <c r="J224" s="16">
        <v>0</v>
      </c>
      <c r="K224" s="26">
        <v>104</v>
      </c>
      <c r="L224" s="16">
        <v>51</v>
      </c>
      <c r="M224" s="16">
        <v>44</v>
      </c>
      <c r="N224" s="16">
        <v>28</v>
      </c>
      <c r="O224" s="16">
        <v>3</v>
      </c>
      <c r="P224" s="16">
        <v>7</v>
      </c>
      <c r="Q224" s="16">
        <v>4</v>
      </c>
      <c r="R224" s="39">
        <f t="shared" si="3"/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80</v>
      </c>
      <c r="X224" s="16">
        <v>130</v>
      </c>
      <c r="Y224" s="16">
        <v>2.5</v>
      </c>
      <c r="Z224" s="16">
        <v>5.1</v>
      </c>
      <c r="AA224" s="16">
        <v>115831</v>
      </c>
    </row>
    <row r="225" spans="1:27">
      <c r="A225" s="27">
        <v>11589</v>
      </c>
      <c r="B225" s="16" t="s">
        <v>265</v>
      </c>
      <c r="C225" s="16" t="s">
        <v>419</v>
      </c>
      <c r="D225" s="16" t="s">
        <v>34</v>
      </c>
      <c r="E225" s="16">
        <v>37</v>
      </c>
      <c r="F225" s="16">
        <v>43</v>
      </c>
      <c r="G225" s="16">
        <v>83</v>
      </c>
      <c r="H225" s="16">
        <v>40</v>
      </c>
      <c r="I225" s="16">
        <v>86</v>
      </c>
      <c r="J225" s="16">
        <v>84</v>
      </c>
      <c r="K225" s="26">
        <v>93</v>
      </c>
      <c r="L225" s="16">
        <v>93</v>
      </c>
      <c r="M225" s="16">
        <v>37</v>
      </c>
      <c r="N225" s="16">
        <v>38.5</v>
      </c>
      <c r="O225" s="16">
        <v>1</v>
      </c>
      <c r="P225" s="16">
        <v>20</v>
      </c>
      <c r="Q225" s="16">
        <v>3</v>
      </c>
      <c r="R225" s="39">
        <f t="shared" si="3"/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15</v>
      </c>
      <c r="X225" s="16">
        <v>25</v>
      </c>
      <c r="Y225" s="16">
        <v>0.48</v>
      </c>
      <c r="Z225" s="16">
        <v>0.9</v>
      </c>
      <c r="AA225" s="16">
        <v>115891</v>
      </c>
    </row>
    <row r="226" spans="1:28">
      <c r="A226" s="27">
        <v>11590</v>
      </c>
      <c r="B226" s="16" t="s">
        <v>51</v>
      </c>
      <c r="C226" s="16" t="s">
        <v>196</v>
      </c>
      <c r="D226" s="16" t="s">
        <v>72</v>
      </c>
      <c r="E226" s="16">
        <v>80</v>
      </c>
      <c r="F226" s="16">
        <v>120</v>
      </c>
      <c r="G226" s="16">
        <v>0</v>
      </c>
      <c r="H226" s="16">
        <v>91</v>
      </c>
      <c r="I226" s="16">
        <v>66</v>
      </c>
      <c r="J226" s="16">
        <v>0</v>
      </c>
      <c r="K226" s="26">
        <v>100</v>
      </c>
      <c r="L226" s="16">
        <v>72</v>
      </c>
      <c r="M226" s="16">
        <v>44</v>
      </c>
      <c r="N226" s="16">
        <v>28.5</v>
      </c>
      <c r="O226" s="16">
        <v>3</v>
      </c>
      <c r="P226" s="16">
        <v>9</v>
      </c>
      <c r="Q226" s="16">
        <v>4</v>
      </c>
      <c r="R226" s="39">
        <f t="shared" si="3"/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75</v>
      </c>
      <c r="X226" s="16">
        <v>125</v>
      </c>
      <c r="Y226" s="16">
        <v>2.8</v>
      </c>
      <c r="Z226" s="16">
        <v>5</v>
      </c>
      <c r="AA226" s="16">
        <v>105901</v>
      </c>
      <c r="AB226" s="16">
        <v>115902</v>
      </c>
    </row>
    <row r="227" spans="1:28">
      <c r="A227" s="27">
        <v>11602</v>
      </c>
      <c r="B227" s="16" t="s">
        <v>420</v>
      </c>
      <c r="C227" s="16" t="s">
        <v>200</v>
      </c>
      <c r="D227" s="16" t="s">
        <v>34</v>
      </c>
      <c r="E227" s="16">
        <v>76</v>
      </c>
      <c r="F227" s="16">
        <v>81</v>
      </c>
      <c r="G227" s="16">
        <v>0</v>
      </c>
      <c r="H227" s="16">
        <v>100</v>
      </c>
      <c r="I227" s="16">
        <v>94</v>
      </c>
      <c r="J227" s="16">
        <v>0</v>
      </c>
      <c r="K227" s="26">
        <v>105</v>
      </c>
      <c r="L227" s="16">
        <v>44</v>
      </c>
      <c r="M227" s="16">
        <v>45</v>
      </c>
      <c r="N227" s="16">
        <v>21</v>
      </c>
      <c r="O227" s="16">
        <v>3</v>
      </c>
      <c r="P227" s="16">
        <v>20</v>
      </c>
      <c r="Q227" s="16">
        <v>4</v>
      </c>
      <c r="R227" s="39">
        <f t="shared" si="3"/>
        <v>48</v>
      </c>
      <c r="S227" s="16">
        <v>12</v>
      </c>
      <c r="T227" s="16">
        <v>12</v>
      </c>
      <c r="U227" s="16">
        <v>12</v>
      </c>
      <c r="V227" s="16">
        <v>12</v>
      </c>
      <c r="W227" s="16">
        <v>145</v>
      </c>
      <c r="X227" s="16">
        <v>95</v>
      </c>
      <c r="Y227" s="16">
        <v>2.5</v>
      </c>
      <c r="Z227" s="16">
        <v>5.1</v>
      </c>
      <c r="AA227" s="16">
        <v>106021</v>
      </c>
      <c r="AB227" s="16">
        <v>116022</v>
      </c>
    </row>
    <row r="228" spans="1:27">
      <c r="A228" s="27">
        <v>11606</v>
      </c>
      <c r="B228" s="16" t="s">
        <v>105</v>
      </c>
      <c r="C228" s="16" t="s">
        <v>421</v>
      </c>
      <c r="D228" s="16" t="s">
        <v>47</v>
      </c>
      <c r="E228" s="16">
        <v>43</v>
      </c>
      <c r="F228" s="16">
        <v>45</v>
      </c>
      <c r="G228" s="16">
        <v>0</v>
      </c>
      <c r="H228" s="16">
        <v>43</v>
      </c>
      <c r="I228" s="16">
        <v>97</v>
      </c>
      <c r="J228" s="16">
        <v>0</v>
      </c>
      <c r="K228" s="26">
        <v>100</v>
      </c>
      <c r="L228" s="16">
        <v>97</v>
      </c>
      <c r="M228" s="16">
        <v>42</v>
      </c>
      <c r="N228" s="16">
        <v>35</v>
      </c>
      <c r="O228" s="16">
        <v>1</v>
      </c>
      <c r="P228" s="16">
        <v>15</v>
      </c>
      <c r="Q228" s="16">
        <v>3</v>
      </c>
      <c r="R228" s="39">
        <f t="shared" si="3"/>
        <v>24</v>
      </c>
      <c r="S228" s="16">
        <v>8</v>
      </c>
      <c r="T228" s="16">
        <v>8</v>
      </c>
      <c r="U228" s="16">
        <v>8</v>
      </c>
      <c r="V228" s="16">
        <v>0</v>
      </c>
      <c r="W228" s="16">
        <v>30</v>
      </c>
      <c r="X228" s="16">
        <v>60</v>
      </c>
      <c r="Y228" s="16">
        <v>0.6</v>
      </c>
      <c r="Z228" s="16">
        <v>1</v>
      </c>
      <c r="AA228" s="16">
        <v>116061</v>
      </c>
    </row>
    <row r="229" spans="1:27">
      <c r="A229" s="27">
        <v>11618</v>
      </c>
      <c r="B229" s="16" t="s">
        <v>92</v>
      </c>
      <c r="C229" s="16" t="s">
        <v>422</v>
      </c>
      <c r="D229" s="16" t="s">
        <v>34</v>
      </c>
      <c r="E229" s="16">
        <v>44</v>
      </c>
      <c r="F229" s="16">
        <v>45</v>
      </c>
      <c r="G229" s="16">
        <v>0</v>
      </c>
      <c r="H229" s="16">
        <v>47</v>
      </c>
      <c r="I229" s="16">
        <v>99</v>
      </c>
      <c r="J229" s="16">
        <v>124</v>
      </c>
      <c r="K229" s="26">
        <v>105</v>
      </c>
      <c r="L229" s="16">
        <v>95</v>
      </c>
      <c r="M229" s="16">
        <v>42</v>
      </c>
      <c r="N229" s="16">
        <v>34</v>
      </c>
      <c r="O229" s="16">
        <v>1</v>
      </c>
      <c r="P229" s="16">
        <v>16</v>
      </c>
      <c r="Q229" s="16">
        <v>3</v>
      </c>
      <c r="R229" s="39">
        <f t="shared" si="3"/>
        <v>60</v>
      </c>
      <c r="S229" s="16">
        <v>20</v>
      </c>
      <c r="T229" s="16">
        <v>20</v>
      </c>
      <c r="U229" s="16">
        <v>20</v>
      </c>
      <c r="V229" s="16">
        <v>0</v>
      </c>
      <c r="W229" s="16">
        <v>30</v>
      </c>
      <c r="X229" s="16">
        <v>40</v>
      </c>
      <c r="Y229" s="16">
        <v>0.7</v>
      </c>
      <c r="Z229" s="16">
        <v>1.2</v>
      </c>
      <c r="AA229" s="16">
        <v>116181</v>
      </c>
    </row>
  </sheetData>
  <autoFilter ref="A1:AC229">
    <sortState ref="A1:AC229">
      <sortCondition ref="A1:A226"/>
    </sortState>
    <extLst/>
  </autoFilter>
  <conditionalFormatting sqref="C85">
    <cfRule type="expression" dxfId="6" priority="42">
      <formula>F86=1</formula>
    </cfRule>
    <cfRule type="expression" dxfId="7" priority="41">
      <formula>F86=2</formula>
    </cfRule>
    <cfRule type="expression" dxfId="3" priority="40">
      <formula>F86=3</formula>
    </cfRule>
    <cfRule type="expression" dxfId="8" priority="39">
      <formula>F86=4</formula>
    </cfRule>
    <cfRule type="expression" dxfId="9" priority="38">
      <formula>F86=5</formula>
    </cfRule>
    <cfRule type="expression" dxfId="5" priority="37">
      <formula>F86=6</formula>
    </cfRule>
  </conditionalFormatting>
  <conditionalFormatting sqref="C192">
    <cfRule type="expression" dxfId="0" priority="12">
      <formula>F192=5</formula>
    </cfRule>
    <cfRule type="expression" dxfId="1" priority="11">
      <formula>F192=1</formula>
    </cfRule>
    <cfRule type="expression" dxfId="2" priority="10">
      <formula>F192=2</formula>
    </cfRule>
    <cfRule type="expression" dxfId="3" priority="9">
      <formula>F192=3</formula>
    </cfRule>
    <cfRule type="expression" dxfId="4" priority="8">
      <formula>F192=4</formula>
    </cfRule>
    <cfRule type="expression" dxfId="5" priority="7">
      <formula>F192=6</formula>
    </cfRule>
  </conditionalFormatting>
  <conditionalFormatting sqref="C2:C46">
    <cfRule type="expression" dxfId="6" priority="54">
      <formula>F2=1</formula>
    </cfRule>
    <cfRule type="expression" dxfId="7" priority="53">
      <formula>F2=2</formula>
    </cfRule>
    <cfRule type="expression" dxfId="3" priority="52">
      <formula>F2=3</formula>
    </cfRule>
    <cfRule type="expression" dxfId="8" priority="51">
      <formula>F2=4</formula>
    </cfRule>
    <cfRule type="expression" dxfId="9" priority="50">
      <formula>F2=5</formula>
    </cfRule>
    <cfRule type="expression" dxfId="5" priority="49">
      <formula>F2=6</formula>
    </cfRule>
  </conditionalFormatting>
  <conditionalFormatting sqref="C47:C55">
    <cfRule type="expression" dxfId="6" priority="60">
      <formula>E47=1</formula>
    </cfRule>
    <cfRule type="expression" dxfId="7" priority="59">
      <formula>E47=2</formula>
    </cfRule>
    <cfRule type="expression" dxfId="3" priority="58">
      <formula>E47=3</formula>
    </cfRule>
    <cfRule type="expression" dxfId="8" priority="57">
      <formula>E47=4</formula>
    </cfRule>
    <cfRule type="expression" dxfId="9" priority="56">
      <formula>E47=5</formula>
    </cfRule>
    <cfRule type="expression" dxfId="5" priority="55">
      <formula>E47=6</formula>
    </cfRule>
  </conditionalFormatting>
  <conditionalFormatting sqref="C60:C69">
    <cfRule type="expression" dxfId="6" priority="48">
      <formula>F60=1</formula>
    </cfRule>
    <cfRule type="expression" dxfId="7" priority="47">
      <formula>F60=2</formula>
    </cfRule>
    <cfRule type="expression" dxfId="3" priority="46">
      <formula>F60=3</formula>
    </cfRule>
    <cfRule type="expression" dxfId="8" priority="45">
      <formula>F60=4</formula>
    </cfRule>
    <cfRule type="expression" dxfId="9" priority="44">
      <formula>F60=5</formula>
    </cfRule>
    <cfRule type="expression" dxfId="5" priority="43">
      <formula>F60=6</formula>
    </cfRule>
  </conditionalFormatting>
  <conditionalFormatting sqref="C92:C117">
    <cfRule type="expression" dxfId="6" priority="30">
      <formula>F92=1</formula>
    </cfRule>
    <cfRule type="expression" dxfId="7" priority="29">
      <formula>F92=2</formula>
    </cfRule>
    <cfRule type="expression" dxfId="3" priority="28">
      <formula>F92=3</formula>
    </cfRule>
    <cfRule type="expression" dxfId="8" priority="27">
      <formula>F92=4</formula>
    </cfRule>
    <cfRule type="expression" dxfId="9" priority="26">
      <formula>F92=5</formula>
    </cfRule>
    <cfRule type="expression" dxfId="5" priority="25">
      <formula>F92=6</formula>
    </cfRule>
  </conditionalFormatting>
  <conditionalFormatting sqref="C118:C119">
    <cfRule type="expression" dxfId="6" priority="24">
      <formula>E118=1</formula>
    </cfRule>
    <cfRule type="expression" dxfId="7" priority="23">
      <formula>E118=2</formula>
    </cfRule>
    <cfRule type="expression" dxfId="3" priority="22">
      <formula>E118=3</formula>
    </cfRule>
    <cfRule type="expression" dxfId="8" priority="21">
      <formula>E118=4</formula>
    </cfRule>
    <cfRule type="expression" dxfId="9" priority="20">
      <formula>E118=5</formula>
    </cfRule>
    <cfRule type="expression" dxfId="5" priority="19">
      <formula>E118=6</formula>
    </cfRule>
  </conditionalFormatting>
  <conditionalFormatting sqref="C151:C153">
    <cfRule type="expression" dxfId="6" priority="18">
      <formula>F151=1</formula>
    </cfRule>
    <cfRule type="expression" dxfId="7" priority="17">
      <formula>F151=2</formula>
    </cfRule>
    <cfRule type="expression" dxfId="3" priority="16">
      <formula>F151=3</formula>
    </cfRule>
    <cfRule type="expression" dxfId="8" priority="15">
      <formula>F151=4</formula>
    </cfRule>
    <cfRule type="expression" dxfId="9" priority="14">
      <formula>F151=5</formula>
    </cfRule>
    <cfRule type="expression" dxfId="5" priority="13">
      <formula>F151=6</formula>
    </cfRule>
  </conditionalFormatting>
  <conditionalFormatting sqref="C222:C229">
    <cfRule type="expression" dxfId="5" priority="1">
      <formula>F222=6</formula>
    </cfRule>
    <cfRule type="expression" dxfId="9" priority="2">
      <formula>F222=5</formula>
    </cfRule>
    <cfRule type="expression" dxfId="8" priority="3">
      <formula>F222=4</formula>
    </cfRule>
    <cfRule type="expression" dxfId="3" priority="4">
      <formula>F222=3</formula>
    </cfRule>
    <cfRule type="expression" dxfId="7" priority="5">
      <formula>F222=2</formula>
    </cfRule>
    <cfRule type="expression" dxfId="6" priority="6">
      <formula>F222=1</formula>
    </cfRule>
  </conditionalFormatting>
  <conditionalFormatting sqref="C83:C84 C86">
    <cfRule type="expression" dxfId="6" priority="36">
      <formula>F83=1</formula>
    </cfRule>
    <cfRule type="expression" dxfId="7" priority="35">
      <formula>F83=2</formula>
    </cfRule>
    <cfRule type="expression" dxfId="3" priority="34">
      <formula>F83=3</formula>
    </cfRule>
    <cfRule type="expression" dxfId="8" priority="33">
      <formula>F83=4</formula>
    </cfRule>
    <cfRule type="expression" dxfId="9" priority="32">
      <formula>F83=5</formula>
    </cfRule>
    <cfRule type="expression" dxfId="5" priority="31">
      <formula>F83=6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5"/>
  <sheetViews>
    <sheetView workbookViewId="0">
      <pane xSplit="4" ySplit="1" topLeftCell="J415" activePane="bottomRight" state="frozen"/>
      <selection/>
      <selection pane="topRight"/>
      <selection pane="bottomLeft"/>
      <selection pane="bottomRight" activeCell="C425" sqref="C425"/>
    </sheetView>
  </sheetViews>
  <sheetFormatPr defaultColWidth="9" defaultRowHeight="14.25"/>
  <cols>
    <col min="1" max="1" width="9" style="1" customWidth="1"/>
    <col min="3" max="3" width="38" customWidth="1"/>
    <col min="4" max="4" width="15" customWidth="1"/>
    <col min="22" max="22" width="9" style="1" hidden="1" customWidth="1"/>
    <col min="23" max="23" width="9" hidden="1" customWidth="1"/>
    <col min="24" max="24" width="9" style="13" hidden="1" customWidth="1"/>
    <col min="25" max="25" width="9" hidden="1" customWidth="1"/>
    <col min="26" max="26" width="20" customWidth="1"/>
    <col min="27" max="27" width="60" customWidth="1"/>
  </cols>
  <sheetData>
    <row r="1" spans="1:27">
      <c r="A1" s="1" t="s">
        <v>423</v>
      </c>
      <c r="B1" t="s">
        <v>424</v>
      </c>
      <c r="C1" t="s">
        <v>2</v>
      </c>
      <c r="D1" t="s">
        <v>425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12</v>
      </c>
      <c r="K1" t="s">
        <v>10</v>
      </c>
      <c r="L1" t="s">
        <v>14</v>
      </c>
      <c r="M1" t="s">
        <v>426</v>
      </c>
      <c r="N1" t="s">
        <v>15</v>
      </c>
      <c r="O1" t="s">
        <v>427</v>
      </c>
      <c r="P1" t="s">
        <v>8</v>
      </c>
      <c r="Q1" t="s">
        <v>428</v>
      </c>
      <c r="R1" t="s">
        <v>429</v>
      </c>
      <c r="S1" t="s">
        <v>430</v>
      </c>
      <c r="T1" t="s">
        <v>431</v>
      </c>
      <c r="U1" t="s">
        <v>432</v>
      </c>
      <c r="V1" s="1" t="s">
        <v>433</v>
      </c>
      <c r="W1" t="s">
        <v>434</v>
      </c>
      <c r="X1" s="13" t="s">
        <v>435</v>
      </c>
      <c r="Y1" t="s">
        <v>436</v>
      </c>
      <c r="Z1" t="s">
        <v>437</v>
      </c>
      <c r="AA1" t="s">
        <v>438</v>
      </c>
    </row>
    <row r="2" spans="1:26">
      <c r="A2" s="1" t="s">
        <v>439</v>
      </c>
      <c r="B2" t="s">
        <v>440</v>
      </c>
      <c r="C2" t="s">
        <v>441</v>
      </c>
      <c r="D2" s="12" t="s">
        <v>442</v>
      </c>
      <c r="F2">
        <v>30</v>
      </c>
      <c r="L2">
        <v>4</v>
      </c>
      <c r="P2">
        <v>8</v>
      </c>
      <c r="Q2">
        <v>1</v>
      </c>
      <c r="R2">
        <v>0.25</v>
      </c>
      <c r="Z2" t="s">
        <v>443</v>
      </c>
    </row>
    <row r="3" spans="1:17">
      <c r="A3" s="1" t="s">
        <v>444</v>
      </c>
      <c r="B3" t="s">
        <v>440</v>
      </c>
      <c r="C3" t="s">
        <v>445</v>
      </c>
      <c r="D3" s="12" t="s">
        <v>442</v>
      </c>
      <c r="F3">
        <v>24</v>
      </c>
      <c r="K3">
        <v>2</v>
      </c>
      <c r="L3">
        <v>3</v>
      </c>
      <c r="Q3">
        <v>1</v>
      </c>
    </row>
    <row r="4" spans="1:17">
      <c r="A4" s="1" t="s">
        <v>446</v>
      </c>
      <c r="B4" t="s">
        <v>440</v>
      </c>
      <c r="C4" t="s">
        <v>447</v>
      </c>
      <c r="D4" s="12" t="s">
        <v>442</v>
      </c>
      <c r="F4">
        <v>27</v>
      </c>
      <c r="K4">
        <v>3</v>
      </c>
      <c r="L4">
        <v>4</v>
      </c>
      <c r="Q4">
        <v>1</v>
      </c>
    </row>
    <row r="5" spans="1:26">
      <c r="A5" s="1" t="s">
        <v>448</v>
      </c>
      <c r="B5" t="s">
        <v>449</v>
      </c>
      <c r="C5" t="s">
        <v>450</v>
      </c>
      <c r="D5" s="12" t="s">
        <v>451</v>
      </c>
      <c r="F5">
        <v>2</v>
      </c>
      <c r="K5">
        <v>2</v>
      </c>
      <c r="L5">
        <v>1</v>
      </c>
      <c r="P5">
        <v>12</v>
      </c>
      <c r="Q5">
        <v>3.1</v>
      </c>
      <c r="R5">
        <v>0.35</v>
      </c>
      <c r="Z5" t="s">
        <v>452</v>
      </c>
    </row>
    <row r="6" spans="1:26">
      <c r="A6" s="1" t="s">
        <v>453</v>
      </c>
      <c r="B6" t="s">
        <v>454</v>
      </c>
      <c r="C6" t="s">
        <v>455</v>
      </c>
      <c r="D6" s="12" t="s">
        <v>456</v>
      </c>
      <c r="I6">
        <v>3</v>
      </c>
      <c r="O6">
        <v>10</v>
      </c>
      <c r="P6">
        <v>1</v>
      </c>
      <c r="Q6">
        <v>1</v>
      </c>
      <c r="U6">
        <v>5</v>
      </c>
      <c r="Z6" t="s">
        <v>457</v>
      </c>
    </row>
    <row r="7" spans="1:17">
      <c r="A7" s="1" t="s">
        <v>458</v>
      </c>
      <c r="B7" t="s">
        <v>459</v>
      </c>
      <c r="C7" t="s">
        <v>460</v>
      </c>
      <c r="D7" s="12" t="s">
        <v>461</v>
      </c>
      <c r="J7">
        <v>7</v>
      </c>
      <c r="K7">
        <v>5</v>
      </c>
      <c r="Q7">
        <v>1</v>
      </c>
    </row>
    <row r="8" spans="1:17">
      <c r="A8" s="1" t="s">
        <v>462</v>
      </c>
      <c r="B8" t="s">
        <v>463</v>
      </c>
      <c r="C8" t="s">
        <v>464</v>
      </c>
      <c r="D8" s="12" t="s">
        <v>465</v>
      </c>
      <c r="I8">
        <v>10</v>
      </c>
      <c r="K8">
        <v>2</v>
      </c>
      <c r="Q8">
        <v>1</v>
      </c>
    </row>
    <row r="9" spans="1:17">
      <c r="A9" s="1" t="s">
        <v>466</v>
      </c>
      <c r="B9" t="s">
        <v>467</v>
      </c>
      <c r="C9" t="s">
        <v>468</v>
      </c>
      <c r="D9" s="12" t="s">
        <v>469</v>
      </c>
      <c r="M9">
        <v>10</v>
      </c>
      <c r="Q9">
        <v>1</v>
      </c>
    </row>
    <row r="10" spans="1:17">
      <c r="A10" s="1" t="s">
        <v>470</v>
      </c>
      <c r="B10" t="s">
        <v>467</v>
      </c>
      <c r="C10" t="s">
        <v>471</v>
      </c>
      <c r="D10" s="12" t="s">
        <v>469</v>
      </c>
      <c r="H10">
        <v>7</v>
      </c>
      <c r="M10">
        <v>-2</v>
      </c>
      <c r="Q10">
        <v>1</v>
      </c>
    </row>
    <row r="11" spans="1:17">
      <c r="A11" s="1" t="s">
        <v>472</v>
      </c>
      <c r="B11" t="s">
        <v>467</v>
      </c>
      <c r="C11" t="s">
        <v>473</v>
      </c>
      <c r="D11" s="12" t="s">
        <v>469</v>
      </c>
      <c r="H11">
        <v>9</v>
      </c>
      <c r="M11">
        <v>-3</v>
      </c>
      <c r="Q11">
        <v>1</v>
      </c>
    </row>
    <row r="12" spans="1:17">
      <c r="A12" s="1" t="s">
        <v>474</v>
      </c>
      <c r="B12" t="s">
        <v>440</v>
      </c>
      <c r="C12" t="s">
        <v>475</v>
      </c>
      <c r="D12" s="12" t="s">
        <v>442</v>
      </c>
      <c r="F12">
        <v>25</v>
      </c>
      <c r="K12">
        <v>1</v>
      </c>
      <c r="L12">
        <v>4</v>
      </c>
      <c r="Q12">
        <v>1</v>
      </c>
    </row>
    <row r="13" spans="1:26">
      <c r="A13" s="1" t="s">
        <v>476</v>
      </c>
      <c r="B13" t="s">
        <v>459</v>
      </c>
      <c r="C13" t="s">
        <v>477</v>
      </c>
      <c r="D13" s="12" t="s">
        <v>461</v>
      </c>
      <c r="J13">
        <v>7</v>
      </c>
      <c r="K13">
        <v>3</v>
      </c>
      <c r="P13">
        <v>6</v>
      </c>
      <c r="Q13">
        <v>3.3</v>
      </c>
      <c r="R13">
        <v>0.4</v>
      </c>
      <c r="Z13" t="s">
        <v>478</v>
      </c>
    </row>
    <row r="14" spans="1:17">
      <c r="A14" s="1" t="s">
        <v>479</v>
      </c>
      <c r="B14" t="s">
        <v>459</v>
      </c>
      <c r="C14" t="s">
        <v>480</v>
      </c>
      <c r="D14" s="12" t="s">
        <v>461</v>
      </c>
      <c r="J14">
        <v>10</v>
      </c>
      <c r="K14">
        <v>6</v>
      </c>
      <c r="M14">
        <v>3</v>
      </c>
      <c r="Q14">
        <v>1</v>
      </c>
    </row>
    <row r="15" spans="1:17">
      <c r="A15" s="1" t="s">
        <v>481</v>
      </c>
      <c r="B15" t="s">
        <v>463</v>
      </c>
      <c r="C15" t="s">
        <v>482</v>
      </c>
      <c r="D15" s="12" t="s">
        <v>465</v>
      </c>
      <c r="I15">
        <v>12</v>
      </c>
      <c r="K15">
        <v>3</v>
      </c>
      <c r="Q15">
        <v>1</v>
      </c>
    </row>
    <row r="16" spans="1:17">
      <c r="A16" s="1" t="s">
        <v>483</v>
      </c>
      <c r="B16" t="s">
        <v>484</v>
      </c>
      <c r="C16" t="s">
        <v>485</v>
      </c>
      <c r="D16" s="12" t="s">
        <v>486</v>
      </c>
      <c r="I16">
        <v>10</v>
      </c>
      <c r="L16">
        <v>1</v>
      </c>
      <c r="Q16">
        <v>1</v>
      </c>
    </row>
    <row r="17" spans="1:17">
      <c r="A17" s="1" t="s">
        <v>487</v>
      </c>
      <c r="B17" t="s">
        <v>484</v>
      </c>
      <c r="C17" t="s">
        <v>488</v>
      </c>
      <c r="D17" s="12" t="s">
        <v>486</v>
      </c>
      <c r="I17">
        <v>9</v>
      </c>
      <c r="K17">
        <v>2</v>
      </c>
      <c r="L17">
        <v>1</v>
      </c>
      <c r="Q17">
        <v>1</v>
      </c>
    </row>
    <row r="18" spans="1:17">
      <c r="A18" s="1" t="s">
        <v>489</v>
      </c>
      <c r="B18" t="s">
        <v>484</v>
      </c>
      <c r="C18" t="s">
        <v>490</v>
      </c>
      <c r="D18" s="12" t="s">
        <v>486</v>
      </c>
      <c r="I18">
        <v>15</v>
      </c>
      <c r="K18">
        <v>5</v>
      </c>
      <c r="L18">
        <v>1</v>
      </c>
      <c r="Q18">
        <v>1</v>
      </c>
    </row>
    <row r="19" spans="1:17">
      <c r="A19" s="1" t="s">
        <v>491</v>
      </c>
      <c r="B19" t="s">
        <v>467</v>
      </c>
      <c r="C19" t="s">
        <v>492</v>
      </c>
      <c r="D19" s="12" t="s">
        <v>469</v>
      </c>
      <c r="H19">
        <v>5</v>
      </c>
      <c r="M19">
        <v>-1</v>
      </c>
      <c r="Q19">
        <v>1</v>
      </c>
    </row>
    <row r="20" spans="1:17">
      <c r="A20" s="1" t="s">
        <v>493</v>
      </c>
      <c r="B20" t="s">
        <v>467</v>
      </c>
      <c r="C20" t="s">
        <v>494</v>
      </c>
      <c r="D20" s="12" t="s">
        <v>469</v>
      </c>
      <c r="M20">
        <v>12</v>
      </c>
      <c r="Q20">
        <v>1</v>
      </c>
    </row>
    <row r="21" spans="1:26">
      <c r="A21" s="1" t="s">
        <v>495</v>
      </c>
      <c r="B21" t="s">
        <v>467</v>
      </c>
      <c r="C21" t="s">
        <v>496</v>
      </c>
      <c r="D21" s="12" t="s">
        <v>469</v>
      </c>
      <c r="K21">
        <v>-5</v>
      </c>
      <c r="M21">
        <v>15</v>
      </c>
      <c r="Q21">
        <v>1</v>
      </c>
      <c r="Z21" t="s">
        <v>497</v>
      </c>
    </row>
    <row r="22" spans="1:26">
      <c r="A22" s="1" t="s">
        <v>498</v>
      </c>
      <c r="B22" t="s">
        <v>454</v>
      </c>
      <c r="C22" t="s">
        <v>499</v>
      </c>
      <c r="D22" s="12" t="s">
        <v>456</v>
      </c>
      <c r="O22">
        <v>20</v>
      </c>
      <c r="Q22">
        <v>1</v>
      </c>
      <c r="U22">
        <v>15</v>
      </c>
      <c r="Z22" t="s">
        <v>500</v>
      </c>
    </row>
    <row r="23" spans="1:27">
      <c r="A23" s="1" t="s">
        <v>501</v>
      </c>
      <c r="B23" t="s">
        <v>502</v>
      </c>
      <c r="C23" t="s">
        <v>503</v>
      </c>
      <c r="D23" s="12" t="s">
        <v>504</v>
      </c>
      <c r="F23">
        <v>5</v>
      </c>
      <c r="Q23">
        <v>1</v>
      </c>
      <c r="V23" s="1" t="s">
        <v>505</v>
      </c>
      <c r="W23">
        <v>4</v>
      </c>
      <c r="X23" s="13">
        <v>0.25</v>
      </c>
      <c r="Y23" t="s">
        <v>506</v>
      </c>
      <c r="Z23" t="s">
        <v>507</v>
      </c>
      <c r="AA23" t="s">
        <v>508</v>
      </c>
    </row>
    <row r="24" spans="1:27">
      <c r="A24" s="1" t="s">
        <v>509</v>
      </c>
      <c r="B24" t="s">
        <v>502</v>
      </c>
      <c r="C24" t="s">
        <v>510</v>
      </c>
      <c r="D24" s="12" t="s">
        <v>504</v>
      </c>
      <c r="F24">
        <v>6</v>
      </c>
      <c r="K24">
        <v>1</v>
      </c>
      <c r="Q24">
        <v>1</v>
      </c>
      <c r="V24" s="1" t="s">
        <v>511</v>
      </c>
      <c r="W24">
        <v>3</v>
      </c>
      <c r="X24" s="13">
        <v>0.2</v>
      </c>
      <c r="Y24" t="s">
        <v>512</v>
      </c>
      <c r="Z24" t="s">
        <v>513</v>
      </c>
      <c r="AA24" t="s">
        <v>514</v>
      </c>
    </row>
    <row r="25" spans="1:26">
      <c r="A25" s="1" t="s">
        <v>515</v>
      </c>
      <c r="B25" t="s">
        <v>516</v>
      </c>
      <c r="C25" t="s">
        <v>517</v>
      </c>
      <c r="D25" s="12" t="s">
        <v>518</v>
      </c>
      <c r="G25">
        <v>16</v>
      </c>
      <c r="I25">
        <v>3</v>
      </c>
      <c r="Q25">
        <v>1</v>
      </c>
      <c r="U25">
        <v>9</v>
      </c>
      <c r="Z25" t="s">
        <v>519</v>
      </c>
    </row>
    <row r="26" spans="1:26">
      <c r="A26" s="1" t="s">
        <v>520</v>
      </c>
      <c r="B26" t="s">
        <v>454</v>
      </c>
      <c r="C26" t="s">
        <v>521</v>
      </c>
      <c r="D26" s="12" t="s">
        <v>456</v>
      </c>
      <c r="I26">
        <v>2</v>
      </c>
      <c r="O26">
        <v>5</v>
      </c>
      <c r="P26">
        <v>2</v>
      </c>
      <c r="Q26">
        <v>1</v>
      </c>
      <c r="U26">
        <v>4</v>
      </c>
      <c r="Z26" t="s">
        <v>522</v>
      </c>
    </row>
    <row r="27" spans="1:26">
      <c r="A27" s="1" t="s">
        <v>523</v>
      </c>
      <c r="B27" t="s">
        <v>454</v>
      </c>
      <c r="C27" t="s">
        <v>524</v>
      </c>
      <c r="D27" s="12" t="s">
        <v>456</v>
      </c>
      <c r="O27">
        <v>8</v>
      </c>
      <c r="Q27">
        <v>1</v>
      </c>
      <c r="U27">
        <v>4</v>
      </c>
      <c r="Z27" t="s">
        <v>522</v>
      </c>
    </row>
    <row r="28" spans="1:17">
      <c r="A28" s="1" t="s">
        <v>525</v>
      </c>
      <c r="B28" t="s">
        <v>440</v>
      </c>
      <c r="C28" t="s">
        <v>526</v>
      </c>
      <c r="D28" s="12" t="s">
        <v>442</v>
      </c>
      <c r="F28">
        <v>26</v>
      </c>
      <c r="L28">
        <v>3</v>
      </c>
      <c r="Q28">
        <v>1</v>
      </c>
    </row>
    <row r="29" spans="1:17">
      <c r="A29" s="1" t="s">
        <v>527</v>
      </c>
      <c r="B29" t="s">
        <v>528</v>
      </c>
      <c r="C29" t="s">
        <v>529</v>
      </c>
      <c r="D29" s="12" t="s">
        <v>6</v>
      </c>
      <c r="G29">
        <v>12</v>
      </c>
      <c r="K29">
        <v>1</v>
      </c>
      <c r="Q29">
        <v>1</v>
      </c>
    </row>
    <row r="30" spans="1:17">
      <c r="A30" s="1" t="s">
        <v>530</v>
      </c>
      <c r="B30" t="s">
        <v>528</v>
      </c>
      <c r="C30" t="s">
        <v>531</v>
      </c>
      <c r="D30" s="12" t="s">
        <v>6</v>
      </c>
      <c r="G30">
        <v>15</v>
      </c>
      <c r="K30">
        <v>2</v>
      </c>
      <c r="Q30">
        <v>1</v>
      </c>
    </row>
    <row r="31" spans="1:17">
      <c r="A31" s="1" t="s">
        <v>532</v>
      </c>
      <c r="B31" t="s">
        <v>528</v>
      </c>
      <c r="C31" t="s">
        <v>533</v>
      </c>
      <c r="D31" s="12" t="s">
        <v>6</v>
      </c>
      <c r="G31">
        <v>12</v>
      </c>
      <c r="K31">
        <v>4</v>
      </c>
      <c r="Q31">
        <v>1</v>
      </c>
    </row>
    <row r="32" spans="1:17">
      <c r="A32" s="1" t="s">
        <v>534</v>
      </c>
      <c r="B32" t="s">
        <v>528</v>
      </c>
      <c r="C32" t="s">
        <v>535</v>
      </c>
      <c r="D32" s="12" t="s">
        <v>6</v>
      </c>
      <c r="G32">
        <v>12</v>
      </c>
      <c r="K32">
        <v>1</v>
      </c>
      <c r="Q32">
        <v>1</v>
      </c>
    </row>
    <row r="33" spans="1:26">
      <c r="A33" s="1" t="s">
        <v>536</v>
      </c>
      <c r="B33" t="s">
        <v>449</v>
      </c>
      <c r="C33" t="s">
        <v>537</v>
      </c>
      <c r="D33" s="12" t="s">
        <v>451</v>
      </c>
      <c r="F33">
        <v>3</v>
      </c>
      <c r="K33">
        <v>1</v>
      </c>
      <c r="L33">
        <v>1</v>
      </c>
      <c r="P33">
        <v>11</v>
      </c>
      <c r="Q33">
        <v>3.1</v>
      </c>
      <c r="R33">
        <v>0.35</v>
      </c>
      <c r="Z33" t="s">
        <v>452</v>
      </c>
    </row>
    <row r="34" spans="1:17">
      <c r="A34" s="1" t="s">
        <v>538</v>
      </c>
      <c r="B34" t="s">
        <v>459</v>
      </c>
      <c r="C34" t="s">
        <v>539</v>
      </c>
      <c r="D34" s="12" t="s">
        <v>461</v>
      </c>
      <c r="J34">
        <v>6</v>
      </c>
      <c r="K34">
        <v>8</v>
      </c>
      <c r="Q34">
        <v>1</v>
      </c>
    </row>
    <row r="35" spans="1:17">
      <c r="A35" s="1" t="s">
        <v>540</v>
      </c>
      <c r="B35" t="s">
        <v>467</v>
      </c>
      <c r="C35" t="s">
        <v>541</v>
      </c>
      <c r="D35" s="12" t="s">
        <v>469</v>
      </c>
      <c r="H35">
        <v>8</v>
      </c>
      <c r="M35">
        <v>1</v>
      </c>
      <c r="Q35">
        <v>1</v>
      </c>
    </row>
    <row r="36" spans="1:17">
      <c r="A36" s="1" t="s">
        <v>542</v>
      </c>
      <c r="B36" t="s">
        <v>467</v>
      </c>
      <c r="C36" t="s">
        <v>543</v>
      </c>
      <c r="D36" s="12" t="s">
        <v>469</v>
      </c>
      <c r="J36">
        <v>-3</v>
      </c>
      <c r="K36">
        <v>3</v>
      </c>
      <c r="N36">
        <v>3</v>
      </c>
      <c r="Q36">
        <v>1</v>
      </c>
    </row>
    <row r="37" spans="1:17">
      <c r="A37" s="1" t="s">
        <v>544</v>
      </c>
      <c r="B37" t="s">
        <v>528</v>
      </c>
      <c r="C37" t="s">
        <v>545</v>
      </c>
      <c r="D37" s="12" t="s">
        <v>6</v>
      </c>
      <c r="G37">
        <v>5</v>
      </c>
      <c r="M37">
        <v>3</v>
      </c>
      <c r="Q37">
        <v>1</v>
      </c>
    </row>
    <row r="38" spans="1:17">
      <c r="A38" s="1" t="s">
        <v>546</v>
      </c>
      <c r="B38" t="s">
        <v>440</v>
      </c>
      <c r="C38" t="s">
        <v>547</v>
      </c>
      <c r="D38" s="12" t="s">
        <v>442</v>
      </c>
      <c r="F38">
        <v>8</v>
      </c>
      <c r="L38">
        <v>3</v>
      </c>
      <c r="Q38">
        <v>1</v>
      </c>
    </row>
    <row r="39" spans="1:17">
      <c r="A39" s="1" t="s">
        <v>548</v>
      </c>
      <c r="B39" t="s">
        <v>440</v>
      </c>
      <c r="C39" t="s">
        <v>549</v>
      </c>
      <c r="D39" s="12" t="s">
        <v>442</v>
      </c>
      <c r="F39">
        <v>10</v>
      </c>
      <c r="K39">
        <v>2</v>
      </c>
      <c r="L39">
        <v>2</v>
      </c>
      <c r="Q39">
        <v>1</v>
      </c>
    </row>
    <row r="40" spans="1:17">
      <c r="A40" s="1" t="s">
        <v>550</v>
      </c>
      <c r="B40" t="s">
        <v>528</v>
      </c>
      <c r="C40" t="s">
        <v>551</v>
      </c>
      <c r="D40" s="12" t="s">
        <v>6</v>
      </c>
      <c r="G40">
        <v>15</v>
      </c>
      <c r="K40">
        <v>3</v>
      </c>
      <c r="Q40">
        <v>1</v>
      </c>
    </row>
    <row r="41" spans="1:26">
      <c r="A41" s="1" t="s">
        <v>552</v>
      </c>
      <c r="B41" t="s">
        <v>467</v>
      </c>
      <c r="C41" t="s">
        <v>553</v>
      </c>
      <c r="D41" s="12" t="s">
        <v>469</v>
      </c>
      <c r="E41">
        <v>1</v>
      </c>
      <c r="N41">
        <v>-3</v>
      </c>
      <c r="Q41">
        <v>1</v>
      </c>
      <c r="W41">
        <v>6</v>
      </c>
      <c r="Z41" t="s">
        <v>554</v>
      </c>
    </row>
    <row r="42" spans="1:26">
      <c r="A42" s="1" t="s">
        <v>555</v>
      </c>
      <c r="B42" t="s">
        <v>467</v>
      </c>
      <c r="C42" t="s">
        <v>556</v>
      </c>
      <c r="D42" s="12" t="s">
        <v>469</v>
      </c>
      <c r="E42">
        <v>-1</v>
      </c>
      <c r="N42">
        <v>3</v>
      </c>
      <c r="Q42">
        <v>1</v>
      </c>
      <c r="W42">
        <v>6</v>
      </c>
      <c r="Z42" t="s">
        <v>557</v>
      </c>
    </row>
    <row r="43" spans="1:26">
      <c r="A43" s="1" t="s">
        <v>558</v>
      </c>
      <c r="B43" t="s">
        <v>559</v>
      </c>
      <c r="C43" t="s">
        <v>560</v>
      </c>
      <c r="D43" s="12" t="s">
        <v>561</v>
      </c>
      <c r="F43">
        <v>2</v>
      </c>
      <c r="K43">
        <v>5</v>
      </c>
      <c r="P43">
        <v>13</v>
      </c>
      <c r="Q43">
        <v>1</v>
      </c>
      <c r="U43">
        <v>5</v>
      </c>
      <c r="Z43" t="s">
        <v>457</v>
      </c>
    </row>
    <row r="44" spans="1:26">
      <c r="A44" s="1" t="s">
        <v>562</v>
      </c>
      <c r="B44" t="s">
        <v>559</v>
      </c>
      <c r="C44" t="s">
        <v>563</v>
      </c>
      <c r="D44" s="12" t="s">
        <v>561</v>
      </c>
      <c r="K44">
        <v>3</v>
      </c>
      <c r="M44">
        <v>3</v>
      </c>
      <c r="P44">
        <v>12</v>
      </c>
      <c r="Q44">
        <v>1</v>
      </c>
      <c r="U44">
        <v>5</v>
      </c>
      <c r="Z44" t="s">
        <v>457</v>
      </c>
    </row>
    <row r="45" spans="1:26">
      <c r="A45" s="1" t="s">
        <v>564</v>
      </c>
      <c r="B45" t="s">
        <v>559</v>
      </c>
      <c r="C45" t="s">
        <v>565</v>
      </c>
      <c r="D45" s="12" t="s">
        <v>561</v>
      </c>
      <c r="K45">
        <v>3</v>
      </c>
      <c r="N45">
        <v>3</v>
      </c>
      <c r="P45">
        <v>12</v>
      </c>
      <c r="Q45">
        <v>1</v>
      </c>
      <c r="U45">
        <v>5</v>
      </c>
      <c r="Z45" t="s">
        <v>457</v>
      </c>
    </row>
    <row r="46" spans="1:26">
      <c r="A46" s="1" t="s">
        <v>566</v>
      </c>
      <c r="B46" t="s">
        <v>559</v>
      </c>
      <c r="C46" t="s">
        <v>567</v>
      </c>
      <c r="D46" s="12" t="s">
        <v>561</v>
      </c>
      <c r="M46">
        <v>2</v>
      </c>
      <c r="N46">
        <v>3</v>
      </c>
      <c r="P46">
        <v>13</v>
      </c>
      <c r="Q46">
        <v>1</v>
      </c>
      <c r="U46">
        <v>5</v>
      </c>
      <c r="Z46" t="s">
        <v>457</v>
      </c>
    </row>
    <row r="47" spans="1:17">
      <c r="A47" s="1" t="s">
        <v>568</v>
      </c>
      <c r="B47" t="s">
        <v>440</v>
      </c>
      <c r="C47" t="s">
        <v>569</v>
      </c>
      <c r="D47" s="12" t="s">
        <v>442</v>
      </c>
      <c r="F47">
        <v>32</v>
      </c>
      <c r="L47">
        <v>4</v>
      </c>
      <c r="M47">
        <v>-3</v>
      </c>
      <c r="Q47">
        <v>1</v>
      </c>
    </row>
    <row r="48" spans="1:17">
      <c r="A48" s="1" t="s">
        <v>570</v>
      </c>
      <c r="B48" t="s">
        <v>440</v>
      </c>
      <c r="C48" t="s">
        <v>571</v>
      </c>
      <c r="D48" s="12" t="s">
        <v>442</v>
      </c>
      <c r="F48">
        <v>28</v>
      </c>
      <c r="K48">
        <v>1</v>
      </c>
      <c r="L48">
        <v>4</v>
      </c>
      <c r="Q48">
        <v>1</v>
      </c>
    </row>
    <row r="49" spans="1:17">
      <c r="A49" s="1" t="s">
        <v>572</v>
      </c>
      <c r="B49" t="s">
        <v>528</v>
      </c>
      <c r="C49" t="s">
        <v>573</v>
      </c>
      <c r="D49" s="12" t="s">
        <v>6</v>
      </c>
      <c r="G49">
        <v>15</v>
      </c>
      <c r="Q49">
        <v>1</v>
      </c>
    </row>
    <row r="50" spans="1:26">
      <c r="A50" s="1" t="s">
        <v>574</v>
      </c>
      <c r="B50" t="s">
        <v>440</v>
      </c>
      <c r="C50" t="s">
        <v>575</v>
      </c>
      <c r="D50" s="12" t="s">
        <v>442</v>
      </c>
      <c r="F50">
        <v>27</v>
      </c>
      <c r="L50">
        <v>4</v>
      </c>
      <c r="P50">
        <v>5</v>
      </c>
      <c r="Q50">
        <v>1</v>
      </c>
      <c r="R50">
        <v>0.25</v>
      </c>
      <c r="Z50" t="s">
        <v>443</v>
      </c>
    </row>
    <row r="51" spans="1:17">
      <c r="A51" s="1" t="s">
        <v>576</v>
      </c>
      <c r="B51" t="s">
        <v>528</v>
      </c>
      <c r="C51" t="s">
        <v>577</v>
      </c>
      <c r="D51" s="12" t="s">
        <v>6</v>
      </c>
      <c r="G51">
        <v>12</v>
      </c>
      <c r="K51">
        <v>6</v>
      </c>
      <c r="M51">
        <v>3</v>
      </c>
      <c r="Q51">
        <v>1</v>
      </c>
    </row>
    <row r="52" spans="1:26">
      <c r="A52" s="1" t="s">
        <v>578</v>
      </c>
      <c r="B52" t="s">
        <v>454</v>
      </c>
      <c r="C52" t="s">
        <v>579</v>
      </c>
      <c r="D52" s="12" t="s">
        <v>456</v>
      </c>
      <c r="I52">
        <v>5</v>
      </c>
      <c r="L52">
        <v>0</v>
      </c>
      <c r="O52">
        <v>21</v>
      </c>
      <c r="Q52">
        <v>1</v>
      </c>
      <c r="U52">
        <v>15</v>
      </c>
      <c r="Z52" t="s">
        <v>500</v>
      </c>
    </row>
    <row r="53" spans="1:26">
      <c r="A53" s="1" t="s">
        <v>580</v>
      </c>
      <c r="B53" t="s">
        <v>440</v>
      </c>
      <c r="C53" t="s">
        <v>581</v>
      </c>
      <c r="D53" s="12" t="s">
        <v>442</v>
      </c>
      <c r="F53">
        <v>25</v>
      </c>
      <c r="K53">
        <v>3</v>
      </c>
      <c r="L53">
        <v>4</v>
      </c>
      <c r="Q53">
        <v>1</v>
      </c>
      <c r="Z53" t="s">
        <v>582</v>
      </c>
    </row>
    <row r="54" spans="1:17">
      <c r="A54" s="1" t="s">
        <v>583</v>
      </c>
      <c r="B54" t="s">
        <v>440</v>
      </c>
      <c r="C54" t="s">
        <v>584</v>
      </c>
      <c r="D54" s="12" t="s">
        <v>442</v>
      </c>
      <c r="F54">
        <v>12</v>
      </c>
      <c r="K54">
        <v>2</v>
      </c>
      <c r="L54">
        <v>3</v>
      </c>
      <c r="Q54">
        <v>1</v>
      </c>
    </row>
    <row r="55" spans="1:26">
      <c r="A55" s="1" t="s">
        <v>585</v>
      </c>
      <c r="B55" t="s">
        <v>559</v>
      </c>
      <c r="C55" t="s">
        <v>586</v>
      </c>
      <c r="D55" s="12" t="s">
        <v>561</v>
      </c>
      <c r="P55">
        <v>15</v>
      </c>
      <c r="Q55">
        <v>1</v>
      </c>
      <c r="U55">
        <v>8</v>
      </c>
      <c r="Z55" t="s">
        <v>587</v>
      </c>
    </row>
    <row r="56" spans="1:26">
      <c r="A56" s="1" t="s">
        <v>588</v>
      </c>
      <c r="B56" t="s">
        <v>516</v>
      </c>
      <c r="C56" t="s">
        <v>589</v>
      </c>
      <c r="D56" s="12" t="s">
        <v>518</v>
      </c>
      <c r="G56">
        <v>15</v>
      </c>
      <c r="I56">
        <v>3</v>
      </c>
      <c r="K56">
        <v>2</v>
      </c>
      <c r="Q56">
        <v>1</v>
      </c>
      <c r="U56">
        <v>8</v>
      </c>
      <c r="Z56" t="s">
        <v>587</v>
      </c>
    </row>
    <row r="57" spans="1:17">
      <c r="A57" s="1" t="s">
        <v>590</v>
      </c>
      <c r="B57" t="s">
        <v>591</v>
      </c>
      <c r="C57" t="s">
        <v>592</v>
      </c>
      <c r="D57" s="12" t="s">
        <v>593</v>
      </c>
      <c r="F57">
        <v>2</v>
      </c>
      <c r="K57">
        <v>2</v>
      </c>
      <c r="Q57">
        <v>1</v>
      </c>
    </row>
    <row r="58" spans="1:27">
      <c r="A58" s="1" t="s">
        <v>594</v>
      </c>
      <c r="B58" t="s">
        <v>595</v>
      </c>
      <c r="C58" t="s">
        <v>596</v>
      </c>
      <c r="D58" s="12" t="s">
        <v>597</v>
      </c>
      <c r="F58">
        <v>20</v>
      </c>
      <c r="Q58">
        <v>1</v>
      </c>
      <c r="S58">
        <v>20</v>
      </c>
      <c r="U58">
        <v>10</v>
      </c>
      <c r="V58" s="1" t="s">
        <v>511</v>
      </c>
      <c r="W58">
        <v>3</v>
      </c>
      <c r="X58" s="13">
        <v>0.1</v>
      </c>
      <c r="Y58" t="s">
        <v>598</v>
      </c>
      <c r="Z58" t="s">
        <v>599</v>
      </c>
      <c r="AA58" t="s">
        <v>600</v>
      </c>
    </row>
    <row r="59" spans="1:17">
      <c r="A59" s="1" t="s">
        <v>601</v>
      </c>
      <c r="B59" t="s">
        <v>591</v>
      </c>
      <c r="C59" t="s">
        <v>602</v>
      </c>
      <c r="D59" s="12" t="s">
        <v>603</v>
      </c>
      <c r="K59">
        <v>3</v>
      </c>
      <c r="Q59">
        <v>1</v>
      </c>
    </row>
    <row r="60" spans="1:26">
      <c r="A60" s="1" t="s">
        <v>604</v>
      </c>
      <c r="B60" t="s">
        <v>605</v>
      </c>
      <c r="C60" t="s">
        <v>606</v>
      </c>
      <c r="D60" s="12" t="s">
        <v>607</v>
      </c>
      <c r="F60">
        <v>15</v>
      </c>
      <c r="P60">
        <v>17</v>
      </c>
      <c r="Q60">
        <v>3.7</v>
      </c>
      <c r="R60">
        <v>0.73</v>
      </c>
      <c r="T60">
        <v>25</v>
      </c>
      <c r="U60">
        <v>9</v>
      </c>
      <c r="W60">
        <v>6</v>
      </c>
      <c r="Z60" t="s">
        <v>608</v>
      </c>
    </row>
    <row r="61" spans="1:23">
      <c r="A61" s="1" t="s">
        <v>609</v>
      </c>
      <c r="B61" t="s">
        <v>467</v>
      </c>
      <c r="C61" t="s">
        <v>610</v>
      </c>
      <c r="D61" s="12" t="s">
        <v>469</v>
      </c>
      <c r="E61">
        <v>2</v>
      </c>
      <c r="N61">
        <v>6</v>
      </c>
      <c r="Q61">
        <v>1</v>
      </c>
      <c r="W61">
        <v>6</v>
      </c>
    </row>
    <row r="62" spans="1:17">
      <c r="A62" s="1" t="s">
        <v>611</v>
      </c>
      <c r="B62" t="s">
        <v>440</v>
      </c>
      <c r="C62" t="s">
        <v>612</v>
      </c>
      <c r="D62" s="12" t="s">
        <v>442</v>
      </c>
      <c r="F62">
        <v>10</v>
      </c>
      <c r="L62">
        <v>3</v>
      </c>
      <c r="Q62">
        <v>1</v>
      </c>
    </row>
    <row r="63" spans="1:26">
      <c r="A63" s="1" t="s">
        <v>613</v>
      </c>
      <c r="B63" t="s">
        <v>516</v>
      </c>
      <c r="C63" t="s">
        <v>614</v>
      </c>
      <c r="D63" s="12" t="s">
        <v>518</v>
      </c>
      <c r="G63">
        <v>10</v>
      </c>
      <c r="I63">
        <v>5</v>
      </c>
      <c r="P63">
        <v>6</v>
      </c>
      <c r="Q63">
        <v>1</v>
      </c>
      <c r="U63">
        <v>5</v>
      </c>
      <c r="Z63" t="s">
        <v>457</v>
      </c>
    </row>
    <row r="64" spans="1:17">
      <c r="A64" s="1" t="s">
        <v>615</v>
      </c>
      <c r="B64" t="s">
        <v>467</v>
      </c>
      <c r="C64" t="s">
        <v>616</v>
      </c>
      <c r="D64" s="12" t="s">
        <v>469</v>
      </c>
      <c r="K64">
        <v>2</v>
      </c>
      <c r="M64">
        <v>10</v>
      </c>
      <c r="N64">
        <v>2</v>
      </c>
      <c r="Q64">
        <v>1</v>
      </c>
    </row>
    <row r="65" spans="1:27">
      <c r="A65" s="1" t="s">
        <v>617</v>
      </c>
      <c r="B65" t="s">
        <v>595</v>
      </c>
      <c r="C65" t="s">
        <v>618</v>
      </c>
      <c r="D65" s="12" t="s">
        <v>597</v>
      </c>
      <c r="F65">
        <v>27</v>
      </c>
      <c r="Q65">
        <v>1</v>
      </c>
      <c r="S65">
        <v>23</v>
      </c>
      <c r="U65">
        <v>13</v>
      </c>
      <c r="V65" s="1" t="s">
        <v>511</v>
      </c>
      <c r="W65">
        <v>3</v>
      </c>
      <c r="X65" s="13">
        <v>0.15</v>
      </c>
      <c r="Y65" t="s">
        <v>619</v>
      </c>
      <c r="Z65" t="s">
        <v>620</v>
      </c>
      <c r="AA65" t="s">
        <v>621</v>
      </c>
    </row>
    <row r="66" spans="1:26">
      <c r="A66" s="1" t="s">
        <v>622</v>
      </c>
      <c r="B66" t="s">
        <v>559</v>
      </c>
      <c r="C66" t="s">
        <v>623</v>
      </c>
      <c r="D66" s="12" t="s">
        <v>561</v>
      </c>
      <c r="P66">
        <v>11</v>
      </c>
      <c r="Q66">
        <v>1</v>
      </c>
      <c r="U66">
        <v>5</v>
      </c>
      <c r="Z66" t="s">
        <v>457</v>
      </c>
    </row>
    <row r="67" spans="1:27">
      <c r="A67" s="1" t="s">
        <v>624</v>
      </c>
      <c r="B67" t="s">
        <v>595</v>
      </c>
      <c r="C67" t="s">
        <v>625</v>
      </c>
      <c r="D67" s="12" t="s">
        <v>597</v>
      </c>
      <c r="F67">
        <v>10</v>
      </c>
      <c r="Q67">
        <v>1</v>
      </c>
      <c r="S67">
        <v>27</v>
      </c>
      <c r="U67">
        <v>4</v>
      </c>
      <c r="V67" s="1" t="s">
        <v>511</v>
      </c>
      <c r="W67">
        <v>3</v>
      </c>
      <c r="X67" s="13">
        <v>0.05</v>
      </c>
      <c r="Y67" t="s">
        <v>626</v>
      </c>
      <c r="Z67" t="s">
        <v>627</v>
      </c>
      <c r="AA67" t="s">
        <v>628</v>
      </c>
    </row>
    <row r="68" spans="1:26">
      <c r="A68" s="1" t="s">
        <v>629</v>
      </c>
      <c r="B68" t="s">
        <v>440</v>
      </c>
      <c r="C68" t="s">
        <v>630</v>
      </c>
      <c r="D68" s="12" t="s">
        <v>442</v>
      </c>
      <c r="F68">
        <v>27</v>
      </c>
      <c r="K68">
        <v>-2</v>
      </c>
      <c r="L68">
        <v>4</v>
      </c>
      <c r="P68">
        <v>2</v>
      </c>
      <c r="Q68">
        <v>1.1</v>
      </c>
      <c r="Z68" t="s">
        <v>631</v>
      </c>
    </row>
    <row r="69" spans="1:17">
      <c r="A69" s="1" t="s">
        <v>632</v>
      </c>
      <c r="B69" t="s">
        <v>440</v>
      </c>
      <c r="C69" t="s">
        <v>633</v>
      </c>
      <c r="D69" s="12" t="s">
        <v>442</v>
      </c>
      <c r="F69">
        <v>13</v>
      </c>
      <c r="L69">
        <v>3</v>
      </c>
      <c r="Q69">
        <v>1</v>
      </c>
    </row>
    <row r="70" spans="1:26">
      <c r="A70" s="1" t="s">
        <v>634</v>
      </c>
      <c r="B70" t="s">
        <v>516</v>
      </c>
      <c r="C70" t="s">
        <v>635</v>
      </c>
      <c r="D70" s="12" t="s">
        <v>518</v>
      </c>
      <c r="G70">
        <v>6</v>
      </c>
      <c r="I70">
        <v>2</v>
      </c>
      <c r="P70">
        <v>9</v>
      </c>
      <c r="Q70">
        <v>1</v>
      </c>
      <c r="U70">
        <v>5</v>
      </c>
      <c r="Z70" t="s">
        <v>457</v>
      </c>
    </row>
    <row r="71" spans="1:26">
      <c r="A71" s="1" t="s">
        <v>636</v>
      </c>
      <c r="B71" t="s">
        <v>559</v>
      </c>
      <c r="C71" t="s">
        <v>637</v>
      </c>
      <c r="D71" s="12" t="s">
        <v>561</v>
      </c>
      <c r="M71">
        <v>1</v>
      </c>
      <c r="P71">
        <v>14</v>
      </c>
      <c r="Q71">
        <v>1</v>
      </c>
      <c r="U71">
        <v>7</v>
      </c>
      <c r="Z71" t="s">
        <v>638</v>
      </c>
    </row>
    <row r="72" spans="1:26">
      <c r="A72" s="1" t="s">
        <v>639</v>
      </c>
      <c r="B72" t="s">
        <v>440</v>
      </c>
      <c r="C72" t="s">
        <v>640</v>
      </c>
      <c r="D72" s="12" t="s">
        <v>442</v>
      </c>
      <c r="F72">
        <v>27</v>
      </c>
      <c r="L72">
        <v>4</v>
      </c>
      <c r="Q72">
        <v>1</v>
      </c>
      <c r="R72">
        <v>0.35</v>
      </c>
      <c r="Z72" t="s">
        <v>641</v>
      </c>
    </row>
    <row r="73" s="16" customFormat="1" spans="1:27">
      <c r="A73" s="24" t="s">
        <v>642</v>
      </c>
      <c r="B73" s="16" t="s">
        <v>467</v>
      </c>
      <c r="C73" s="16" t="s">
        <v>643</v>
      </c>
      <c r="D73" s="30" t="s">
        <v>469</v>
      </c>
      <c r="E73" s="16">
        <v>-1</v>
      </c>
      <c r="F73" s="16" t="s">
        <v>644</v>
      </c>
      <c r="G73" s="16">
        <v>3</v>
      </c>
      <c r="H73" s="16" t="s">
        <v>644</v>
      </c>
      <c r="I73" s="16" t="s">
        <v>644</v>
      </c>
      <c r="J73" s="16" t="s">
        <v>644</v>
      </c>
      <c r="K73" s="16" t="s">
        <v>644</v>
      </c>
      <c r="M73" s="16" t="s">
        <v>644</v>
      </c>
      <c r="N73" s="16" t="s">
        <v>644</v>
      </c>
      <c r="O73" s="16" t="s">
        <v>644</v>
      </c>
      <c r="P73" s="16" t="s">
        <v>644</v>
      </c>
      <c r="Q73" s="16">
        <v>1</v>
      </c>
      <c r="R73" s="16" t="s">
        <v>644</v>
      </c>
      <c r="S73" s="16" t="s">
        <v>644</v>
      </c>
      <c r="T73" s="16" t="s">
        <v>644</v>
      </c>
      <c r="V73" s="16" t="s">
        <v>644</v>
      </c>
      <c r="W73" s="24"/>
      <c r="X73" s="16">
        <v>6</v>
      </c>
      <c r="Y73" s="31"/>
      <c r="Z73" s="16" t="s">
        <v>644</v>
      </c>
      <c r="AA73" s="16" t="s">
        <v>644</v>
      </c>
    </row>
    <row r="74" spans="1:26">
      <c r="A74" s="1" t="s">
        <v>645</v>
      </c>
      <c r="B74" t="s">
        <v>449</v>
      </c>
      <c r="C74" t="s">
        <v>646</v>
      </c>
      <c r="D74" s="12" t="s">
        <v>451</v>
      </c>
      <c r="F74">
        <v>2</v>
      </c>
      <c r="L74">
        <v>1</v>
      </c>
      <c r="M74">
        <v>1</v>
      </c>
      <c r="P74">
        <v>10</v>
      </c>
      <c r="Q74">
        <v>3</v>
      </c>
      <c r="R74">
        <v>0.4</v>
      </c>
      <c r="Z74" t="s">
        <v>647</v>
      </c>
    </row>
    <row r="75" spans="1:26">
      <c r="A75" s="1" t="s">
        <v>648</v>
      </c>
      <c r="B75" t="s">
        <v>449</v>
      </c>
      <c r="C75" t="s">
        <v>649</v>
      </c>
      <c r="D75" s="12" t="s">
        <v>451</v>
      </c>
      <c r="F75">
        <v>1</v>
      </c>
      <c r="L75">
        <v>1</v>
      </c>
      <c r="M75">
        <v>3</v>
      </c>
      <c r="P75">
        <v>9</v>
      </c>
      <c r="Q75">
        <v>3.1</v>
      </c>
      <c r="R75">
        <v>0.45</v>
      </c>
      <c r="Z75" t="s">
        <v>650</v>
      </c>
    </row>
    <row r="76" spans="1:17">
      <c r="A76" s="1" t="s">
        <v>651</v>
      </c>
      <c r="B76" t="s">
        <v>528</v>
      </c>
      <c r="C76" t="s">
        <v>652</v>
      </c>
      <c r="D76" s="12" t="s">
        <v>6</v>
      </c>
      <c r="G76">
        <v>12</v>
      </c>
      <c r="K76">
        <v>1</v>
      </c>
      <c r="M76">
        <v>2</v>
      </c>
      <c r="Q76">
        <v>1</v>
      </c>
    </row>
    <row r="77" spans="1:17">
      <c r="A77" s="1" t="s">
        <v>653</v>
      </c>
      <c r="B77" t="s">
        <v>440</v>
      </c>
      <c r="C77" t="s">
        <v>654</v>
      </c>
      <c r="D77" s="12" t="s">
        <v>442</v>
      </c>
      <c r="F77">
        <v>9</v>
      </c>
      <c r="K77">
        <v>2</v>
      </c>
      <c r="L77">
        <v>3</v>
      </c>
      <c r="Q77">
        <v>1</v>
      </c>
    </row>
    <row r="78" spans="1:17">
      <c r="A78" s="1" t="s">
        <v>655</v>
      </c>
      <c r="B78" t="s">
        <v>440</v>
      </c>
      <c r="C78" t="s">
        <v>656</v>
      </c>
      <c r="D78" s="12" t="s">
        <v>442</v>
      </c>
      <c r="F78">
        <v>9</v>
      </c>
      <c r="K78">
        <v>2</v>
      </c>
      <c r="L78">
        <v>3</v>
      </c>
      <c r="Q78">
        <v>1</v>
      </c>
    </row>
    <row r="79" spans="1:17">
      <c r="A79" s="1" t="s">
        <v>657</v>
      </c>
      <c r="B79" t="s">
        <v>440</v>
      </c>
      <c r="C79" t="s">
        <v>658</v>
      </c>
      <c r="D79" s="12" t="s">
        <v>442</v>
      </c>
      <c r="F79">
        <v>28</v>
      </c>
      <c r="L79">
        <v>3</v>
      </c>
      <c r="Q79">
        <v>1</v>
      </c>
    </row>
    <row r="80" spans="1:26">
      <c r="A80" s="1" t="s">
        <v>659</v>
      </c>
      <c r="B80" t="s">
        <v>449</v>
      </c>
      <c r="C80" t="s">
        <v>660</v>
      </c>
      <c r="D80" s="12" t="s">
        <v>451</v>
      </c>
      <c r="L80">
        <v>1</v>
      </c>
      <c r="M80">
        <v>2</v>
      </c>
      <c r="P80">
        <v>13</v>
      </c>
      <c r="Q80">
        <v>3.3</v>
      </c>
      <c r="R80">
        <v>0.5</v>
      </c>
      <c r="Z80" t="s">
        <v>661</v>
      </c>
    </row>
    <row r="81" spans="1:26">
      <c r="A81" s="1" t="s">
        <v>662</v>
      </c>
      <c r="B81" t="s">
        <v>454</v>
      </c>
      <c r="C81" t="s">
        <v>663</v>
      </c>
      <c r="D81" s="12" t="s">
        <v>456</v>
      </c>
      <c r="I81">
        <v>8</v>
      </c>
      <c r="O81">
        <v>8</v>
      </c>
      <c r="P81">
        <v>5</v>
      </c>
      <c r="Q81">
        <v>1</v>
      </c>
      <c r="U81">
        <v>6</v>
      </c>
      <c r="Z81" t="s">
        <v>664</v>
      </c>
    </row>
    <row r="82" spans="1:26">
      <c r="A82" s="1" t="s">
        <v>665</v>
      </c>
      <c r="B82" t="s">
        <v>440</v>
      </c>
      <c r="C82" t="s">
        <v>666</v>
      </c>
      <c r="D82" s="12" t="s">
        <v>442</v>
      </c>
      <c r="F82">
        <v>24</v>
      </c>
      <c r="L82">
        <v>3</v>
      </c>
      <c r="P82">
        <v>5</v>
      </c>
      <c r="Q82">
        <v>1</v>
      </c>
      <c r="R82">
        <v>0.25</v>
      </c>
      <c r="Z82" t="s">
        <v>443</v>
      </c>
    </row>
    <row r="83" spans="1:17">
      <c r="A83" s="1" t="s">
        <v>667</v>
      </c>
      <c r="B83" t="s">
        <v>440</v>
      </c>
      <c r="C83" t="s">
        <v>668</v>
      </c>
      <c r="D83" s="12" t="s">
        <v>442</v>
      </c>
      <c r="F83">
        <v>10</v>
      </c>
      <c r="L83">
        <v>3</v>
      </c>
      <c r="Q83">
        <v>1</v>
      </c>
    </row>
    <row r="84" spans="1:17">
      <c r="A84" s="1" t="s">
        <v>669</v>
      </c>
      <c r="B84" t="s">
        <v>528</v>
      </c>
      <c r="C84" t="s">
        <v>670</v>
      </c>
      <c r="D84" s="12" t="s">
        <v>6</v>
      </c>
      <c r="G84">
        <v>12</v>
      </c>
      <c r="K84">
        <v>3</v>
      </c>
      <c r="M84">
        <v>6</v>
      </c>
      <c r="Q84">
        <v>1</v>
      </c>
    </row>
    <row r="85" spans="1:26">
      <c r="A85" s="1" t="s">
        <v>671</v>
      </c>
      <c r="B85" t="s">
        <v>595</v>
      </c>
      <c r="C85" t="s">
        <v>672</v>
      </c>
      <c r="D85" s="12" t="s">
        <v>597</v>
      </c>
      <c r="F85">
        <v>20</v>
      </c>
      <c r="Q85">
        <v>1</v>
      </c>
      <c r="S85">
        <v>20</v>
      </c>
      <c r="U85">
        <v>9</v>
      </c>
      <c r="Z85" t="s">
        <v>519</v>
      </c>
    </row>
    <row r="86" spans="1:17">
      <c r="A86" s="1" t="s">
        <v>673</v>
      </c>
      <c r="B86" t="s">
        <v>440</v>
      </c>
      <c r="C86" t="s">
        <v>674</v>
      </c>
      <c r="D86" s="12" t="s">
        <v>442</v>
      </c>
      <c r="F86">
        <v>27</v>
      </c>
      <c r="L86">
        <v>3</v>
      </c>
      <c r="M86">
        <v>2</v>
      </c>
      <c r="Q86">
        <v>1</v>
      </c>
    </row>
    <row r="87" spans="1:17">
      <c r="A87" s="1" t="s">
        <v>675</v>
      </c>
      <c r="B87" t="s">
        <v>440</v>
      </c>
      <c r="C87" t="s">
        <v>676</v>
      </c>
      <c r="D87" s="12" t="s">
        <v>442</v>
      </c>
      <c r="F87">
        <v>9</v>
      </c>
      <c r="K87">
        <v>1</v>
      </c>
      <c r="L87">
        <v>2</v>
      </c>
      <c r="N87">
        <v>1</v>
      </c>
      <c r="Q87">
        <v>1</v>
      </c>
    </row>
    <row r="88" spans="1:26">
      <c r="A88" s="1" t="s">
        <v>677</v>
      </c>
      <c r="B88" t="s">
        <v>559</v>
      </c>
      <c r="C88" t="s">
        <v>678</v>
      </c>
      <c r="D88" s="12" t="s">
        <v>561</v>
      </c>
      <c r="N88">
        <v>3</v>
      </c>
      <c r="P88">
        <v>13</v>
      </c>
      <c r="Q88">
        <v>1</v>
      </c>
      <c r="U88">
        <v>5</v>
      </c>
      <c r="Z88" t="s">
        <v>457</v>
      </c>
    </row>
    <row r="89" spans="1:26">
      <c r="A89" s="1" t="s">
        <v>679</v>
      </c>
      <c r="B89" t="s">
        <v>595</v>
      </c>
      <c r="C89" t="s">
        <v>680</v>
      </c>
      <c r="D89" s="12" t="s">
        <v>597</v>
      </c>
      <c r="F89">
        <v>18</v>
      </c>
      <c r="Q89">
        <v>1</v>
      </c>
      <c r="S89">
        <v>18</v>
      </c>
      <c r="U89">
        <v>8</v>
      </c>
      <c r="Z89" t="s">
        <v>587</v>
      </c>
    </row>
    <row r="90" spans="1:26">
      <c r="A90" s="1" t="s">
        <v>681</v>
      </c>
      <c r="B90" t="s">
        <v>449</v>
      </c>
      <c r="C90" t="s">
        <v>682</v>
      </c>
      <c r="D90" s="12" t="s">
        <v>451</v>
      </c>
      <c r="F90">
        <v>2</v>
      </c>
      <c r="L90">
        <v>1</v>
      </c>
      <c r="M90">
        <v>2</v>
      </c>
      <c r="P90">
        <v>11</v>
      </c>
      <c r="Q90">
        <v>3.2</v>
      </c>
      <c r="Z90" t="s">
        <v>683</v>
      </c>
    </row>
    <row r="91" spans="1:26">
      <c r="A91" s="1" t="s">
        <v>684</v>
      </c>
      <c r="B91" t="s">
        <v>440</v>
      </c>
      <c r="C91" t="s">
        <v>685</v>
      </c>
      <c r="D91" s="12" t="s">
        <v>442</v>
      </c>
      <c r="F91">
        <v>10</v>
      </c>
      <c r="L91">
        <v>2</v>
      </c>
      <c r="P91">
        <v>8</v>
      </c>
      <c r="Q91">
        <v>2.8</v>
      </c>
      <c r="R91">
        <v>0.3</v>
      </c>
      <c r="Z91" t="s">
        <v>686</v>
      </c>
    </row>
    <row r="92" spans="1:17">
      <c r="A92" s="1" t="s">
        <v>687</v>
      </c>
      <c r="B92" t="s">
        <v>591</v>
      </c>
      <c r="C92" t="s">
        <v>688</v>
      </c>
      <c r="D92" s="12" t="s">
        <v>593</v>
      </c>
      <c r="F92">
        <v>2</v>
      </c>
      <c r="M92">
        <v>2</v>
      </c>
      <c r="Q92">
        <v>1</v>
      </c>
    </row>
    <row r="93" spans="1:26">
      <c r="A93" s="1" t="s">
        <v>689</v>
      </c>
      <c r="B93" t="s">
        <v>440</v>
      </c>
      <c r="C93" t="s">
        <v>690</v>
      </c>
      <c r="D93" s="12" t="s">
        <v>442</v>
      </c>
      <c r="F93">
        <v>27</v>
      </c>
      <c r="L93">
        <v>3</v>
      </c>
      <c r="P93">
        <v>6</v>
      </c>
      <c r="Q93">
        <v>1</v>
      </c>
      <c r="R93">
        <v>0.3</v>
      </c>
      <c r="Z93" t="s">
        <v>691</v>
      </c>
    </row>
    <row r="94" spans="1:26">
      <c r="A94" s="1" t="s">
        <v>692</v>
      </c>
      <c r="B94" t="s">
        <v>516</v>
      </c>
      <c r="C94" t="s">
        <v>693</v>
      </c>
      <c r="D94" s="12" t="s">
        <v>518</v>
      </c>
      <c r="G94">
        <v>12</v>
      </c>
      <c r="I94">
        <v>5</v>
      </c>
      <c r="Q94">
        <v>1</v>
      </c>
      <c r="U94">
        <v>6</v>
      </c>
      <c r="Z94" t="s">
        <v>664</v>
      </c>
    </row>
    <row r="95" spans="1:17">
      <c r="A95" s="1" t="s">
        <v>694</v>
      </c>
      <c r="B95" t="s">
        <v>528</v>
      </c>
      <c r="C95" t="s">
        <v>695</v>
      </c>
      <c r="D95" s="12" t="s">
        <v>6</v>
      </c>
      <c r="G95">
        <v>17</v>
      </c>
      <c r="K95">
        <v>2</v>
      </c>
      <c r="Q95">
        <v>1</v>
      </c>
    </row>
    <row r="96" spans="1:17">
      <c r="A96" s="1" t="s">
        <v>696</v>
      </c>
      <c r="B96" t="s">
        <v>484</v>
      </c>
      <c r="C96" t="s">
        <v>697</v>
      </c>
      <c r="D96" s="12" t="s">
        <v>486</v>
      </c>
      <c r="F96">
        <v>3</v>
      </c>
      <c r="I96">
        <v>15</v>
      </c>
      <c r="K96">
        <v>3</v>
      </c>
      <c r="L96">
        <v>1</v>
      </c>
      <c r="Q96">
        <v>1</v>
      </c>
    </row>
    <row r="97" spans="1:17">
      <c r="A97" s="1" t="s">
        <v>698</v>
      </c>
      <c r="B97" t="s">
        <v>528</v>
      </c>
      <c r="C97" t="s">
        <v>699</v>
      </c>
      <c r="D97" s="12" t="s">
        <v>6</v>
      </c>
      <c r="G97">
        <v>14</v>
      </c>
      <c r="K97">
        <v>1</v>
      </c>
      <c r="Q97">
        <v>1</v>
      </c>
    </row>
    <row r="98" spans="1:26">
      <c r="A98" s="1" t="s">
        <v>700</v>
      </c>
      <c r="B98" t="s">
        <v>559</v>
      </c>
      <c r="C98" t="s">
        <v>701</v>
      </c>
      <c r="D98" s="12" t="s">
        <v>561</v>
      </c>
      <c r="O98">
        <v>4</v>
      </c>
      <c r="P98">
        <v>15</v>
      </c>
      <c r="Q98">
        <v>1</v>
      </c>
      <c r="U98">
        <v>9</v>
      </c>
      <c r="Z98" t="s">
        <v>519</v>
      </c>
    </row>
    <row r="99" spans="1:17">
      <c r="A99" s="1" t="s">
        <v>702</v>
      </c>
      <c r="B99" t="s">
        <v>440</v>
      </c>
      <c r="C99" t="s">
        <v>703</v>
      </c>
      <c r="D99" s="12" t="s">
        <v>442</v>
      </c>
      <c r="F99">
        <v>29</v>
      </c>
      <c r="L99">
        <v>3</v>
      </c>
      <c r="M99">
        <v>-2</v>
      </c>
      <c r="Q99">
        <v>1</v>
      </c>
    </row>
    <row r="100" spans="1:17">
      <c r="A100" s="1" t="s">
        <v>704</v>
      </c>
      <c r="B100" t="s">
        <v>440</v>
      </c>
      <c r="C100" t="s">
        <v>705</v>
      </c>
      <c r="D100" s="12" t="s">
        <v>442</v>
      </c>
      <c r="F100">
        <v>15</v>
      </c>
      <c r="L100">
        <v>2</v>
      </c>
      <c r="Q100">
        <v>1</v>
      </c>
    </row>
    <row r="101" spans="1:27">
      <c r="A101" s="1" t="s">
        <v>706</v>
      </c>
      <c r="B101" t="s">
        <v>459</v>
      </c>
      <c r="C101" t="s">
        <v>707</v>
      </c>
      <c r="D101" s="12" t="s">
        <v>461</v>
      </c>
      <c r="G101">
        <v>4</v>
      </c>
      <c r="K101">
        <v>4</v>
      </c>
      <c r="Q101">
        <v>1</v>
      </c>
      <c r="V101" s="1" t="s">
        <v>708</v>
      </c>
      <c r="W101">
        <v>11</v>
      </c>
      <c r="X101" s="13">
        <v>0.1</v>
      </c>
      <c r="Y101" t="s">
        <v>709</v>
      </c>
      <c r="Z101" t="s">
        <v>710</v>
      </c>
      <c r="AA101" t="s">
        <v>711</v>
      </c>
    </row>
    <row r="102" spans="1:26">
      <c r="A102" s="1" t="s">
        <v>712</v>
      </c>
      <c r="B102" t="s">
        <v>440</v>
      </c>
      <c r="C102" t="s">
        <v>713</v>
      </c>
      <c r="D102" s="12" t="s">
        <v>442</v>
      </c>
      <c r="F102">
        <v>11</v>
      </c>
      <c r="L102">
        <v>2</v>
      </c>
      <c r="P102">
        <v>7</v>
      </c>
      <c r="Q102">
        <v>2.7</v>
      </c>
      <c r="R102">
        <v>0.3</v>
      </c>
      <c r="Z102" t="s">
        <v>714</v>
      </c>
    </row>
    <row r="103" spans="1:17">
      <c r="A103" s="1" t="s">
        <v>715</v>
      </c>
      <c r="B103" t="s">
        <v>440</v>
      </c>
      <c r="C103" t="s">
        <v>716</v>
      </c>
      <c r="D103" s="12" t="s">
        <v>442</v>
      </c>
      <c r="F103">
        <v>25</v>
      </c>
      <c r="K103">
        <v>4</v>
      </c>
      <c r="L103">
        <v>4</v>
      </c>
      <c r="Q103">
        <v>1</v>
      </c>
    </row>
    <row r="104" spans="1:27">
      <c r="A104" s="1" t="s">
        <v>717</v>
      </c>
      <c r="B104" t="s">
        <v>449</v>
      </c>
      <c r="C104" t="s">
        <v>718</v>
      </c>
      <c r="D104" s="12" t="s">
        <v>451</v>
      </c>
      <c r="M104">
        <v>2</v>
      </c>
      <c r="P104">
        <v>4</v>
      </c>
      <c r="Q104">
        <v>1</v>
      </c>
      <c r="V104" s="1" t="s">
        <v>719</v>
      </c>
      <c r="W104">
        <v>12</v>
      </c>
      <c r="X104" s="13">
        <v>-0.1</v>
      </c>
      <c r="Y104" t="s">
        <v>720</v>
      </c>
      <c r="Z104" t="s">
        <v>721</v>
      </c>
      <c r="AA104" t="s">
        <v>722</v>
      </c>
    </row>
    <row r="105" spans="1:23">
      <c r="A105" s="1" t="s">
        <v>723</v>
      </c>
      <c r="B105" t="s">
        <v>467</v>
      </c>
      <c r="C105" t="s">
        <v>724</v>
      </c>
      <c r="D105" s="12" t="s">
        <v>469</v>
      </c>
      <c r="E105">
        <v>-1</v>
      </c>
      <c r="F105">
        <v>3</v>
      </c>
      <c r="K105">
        <v>3</v>
      </c>
      <c r="N105">
        <v>1</v>
      </c>
      <c r="Q105">
        <v>1</v>
      </c>
      <c r="W105">
        <v>6</v>
      </c>
    </row>
    <row r="106" spans="1:23">
      <c r="A106" s="1" t="s">
        <v>725</v>
      </c>
      <c r="B106" t="s">
        <v>467</v>
      </c>
      <c r="C106" t="s">
        <v>726</v>
      </c>
      <c r="D106" s="12" t="s">
        <v>469</v>
      </c>
      <c r="E106">
        <v>1</v>
      </c>
      <c r="F106">
        <v>3</v>
      </c>
      <c r="K106">
        <v>3</v>
      </c>
      <c r="N106">
        <v>1</v>
      </c>
      <c r="Q106">
        <v>1</v>
      </c>
      <c r="W106">
        <v>6</v>
      </c>
    </row>
    <row r="107" spans="1:17">
      <c r="A107" s="1" t="s">
        <v>727</v>
      </c>
      <c r="B107" t="s">
        <v>528</v>
      </c>
      <c r="C107" t="s">
        <v>728</v>
      </c>
      <c r="D107" s="12" t="s">
        <v>6</v>
      </c>
      <c r="G107">
        <v>12</v>
      </c>
      <c r="Q107">
        <v>1</v>
      </c>
    </row>
    <row r="108" spans="1:26">
      <c r="A108" s="1" t="s">
        <v>729</v>
      </c>
      <c r="B108" t="s">
        <v>440</v>
      </c>
      <c r="C108" t="s">
        <v>730</v>
      </c>
      <c r="D108" s="12" t="s">
        <v>442</v>
      </c>
      <c r="F108">
        <v>11</v>
      </c>
      <c r="L108">
        <v>2</v>
      </c>
      <c r="M108">
        <v>-2</v>
      </c>
      <c r="P108">
        <v>8</v>
      </c>
      <c r="Q108">
        <v>2.8</v>
      </c>
      <c r="R108">
        <v>0.35</v>
      </c>
      <c r="Z108" t="s">
        <v>731</v>
      </c>
    </row>
    <row r="109" spans="1:26">
      <c r="A109" s="1" t="s">
        <v>732</v>
      </c>
      <c r="B109" t="s">
        <v>559</v>
      </c>
      <c r="C109" t="s">
        <v>733</v>
      </c>
      <c r="D109" s="12" t="s">
        <v>561</v>
      </c>
      <c r="M109">
        <v>6</v>
      </c>
      <c r="P109">
        <v>13</v>
      </c>
      <c r="Q109">
        <v>1</v>
      </c>
      <c r="U109">
        <v>5</v>
      </c>
      <c r="Z109" t="s">
        <v>457</v>
      </c>
    </row>
    <row r="110" spans="1:26">
      <c r="A110" s="1" t="s">
        <v>734</v>
      </c>
      <c r="B110" t="s">
        <v>735</v>
      </c>
      <c r="C110" t="s">
        <v>736</v>
      </c>
      <c r="D110" s="12" t="s">
        <v>737</v>
      </c>
      <c r="I110">
        <v>12</v>
      </c>
      <c r="J110">
        <v>3</v>
      </c>
      <c r="K110">
        <v>3</v>
      </c>
      <c r="Q110">
        <v>1</v>
      </c>
      <c r="U110">
        <v>4</v>
      </c>
      <c r="Z110" t="s">
        <v>522</v>
      </c>
    </row>
    <row r="111" spans="1:17">
      <c r="A111" s="1" t="s">
        <v>738</v>
      </c>
      <c r="B111" t="s">
        <v>440</v>
      </c>
      <c r="C111" t="s">
        <v>739</v>
      </c>
      <c r="D111" s="12" t="s">
        <v>442</v>
      </c>
      <c r="F111">
        <v>28</v>
      </c>
      <c r="K111">
        <v>2</v>
      </c>
      <c r="L111">
        <v>3</v>
      </c>
      <c r="Q111">
        <v>1</v>
      </c>
    </row>
    <row r="112" spans="1:27">
      <c r="A112" s="1" t="s">
        <v>740</v>
      </c>
      <c r="B112" t="s">
        <v>502</v>
      </c>
      <c r="C112" t="s">
        <v>741</v>
      </c>
      <c r="D112" s="12" t="s">
        <v>504</v>
      </c>
      <c r="F112">
        <v>7</v>
      </c>
      <c r="K112">
        <v>1</v>
      </c>
      <c r="Q112">
        <v>1</v>
      </c>
      <c r="V112" s="1" t="s">
        <v>511</v>
      </c>
      <c r="W112">
        <v>3</v>
      </c>
      <c r="X112" s="13">
        <v>0.25</v>
      </c>
      <c r="Y112" t="s">
        <v>742</v>
      </c>
      <c r="Z112" t="s">
        <v>743</v>
      </c>
      <c r="AA112" t="s">
        <v>744</v>
      </c>
    </row>
    <row r="113" spans="1:26">
      <c r="A113" s="1" t="s">
        <v>745</v>
      </c>
      <c r="B113" t="s">
        <v>454</v>
      </c>
      <c r="C113" t="s">
        <v>746</v>
      </c>
      <c r="D113" s="12" t="s">
        <v>456</v>
      </c>
      <c r="I113">
        <v>2</v>
      </c>
      <c r="O113">
        <v>9</v>
      </c>
      <c r="P113">
        <v>2</v>
      </c>
      <c r="Q113">
        <v>1</v>
      </c>
      <c r="U113">
        <v>5</v>
      </c>
      <c r="Z113" t="s">
        <v>457</v>
      </c>
    </row>
    <row r="114" spans="1:17">
      <c r="A114" s="1" t="s">
        <v>747</v>
      </c>
      <c r="B114" t="s">
        <v>440</v>
      </c>
      <c r="C114" t="s">
        <v>748</v>
      </c>
      <c r="D114" s="12" t="s">
        <v>442</v>
      </c>
      <c r="F114">
        <v>13</v>
      </c>
      <c r="L114">
        <v>3</v>
      </c>
      <c r="P114">
        <v>2</v>
      </c>
      <c r="Q114">
        <v>1</v>
      </c>
    </row>
    <row r="115" spans="1:27">
      <c r="A115" s="1" t="s">
        <v>749</v>
      </c>
      <c r="B115" t="s">
        <v>595</v>
      </c>
      <c r="C115" t="s">
        <v>750</v>
      </c>
      <c r="D115" s="12" t="s">
        <v>597</v>
      </c>
      <c r="F115">
        <v>22</v>
      </c>
      <c r="Q115">
        <v>1</v>
      </c>
      <c r="S115">
        <v>26</v>
      </c>
      <c r="U115">
        <v>10</v>
      </c>
      <c r="V115" s="1" t="s">
        <v>511</v>
      </c>
      <c r="W115">
        <v>3</v>
      </c>
      <c r="X115" s="13">
        <v>0.1</v>
      </c>
      <c r="Y115" t="s">
        <v>598</v>
      </c>
      <c r="Z115" t="s">
        <v>751</v>
      </c>
      <c r="AA115" t="s">
        <v>600</v>
      </c>
    </row>
    <row r="116" spans="1:26">
      <c r="A116" s="1" t="s">
        <v>752</v>
      </c>
      <c r="B116" t="s">
        <v>440</v>
      </c>
      <c r="C116" t="s">
        <v>753</v>
      </c>
      <c r="D116" s="12" t="s">
        <v>442</v>
      </c>
      <c r="F116">
        <v>28</v>
      </c>
      <c r="K116">
        <v>-1</v>
      </c>
      <c r="L116">
        <v>3</v>
      </c>
      <c r="M116">
        <v>-1</v>
      </c>
      <c r="P116">
        <v>7</v>
      </c>
      <c r="Q116">
        <v>1</v>
      </c>
      <c r="R116">
        <v>0.25</v>
      </c>
      <c r="Z116" t="s">
        <v>443</v>
      </c>
    </row>
    <row r="117" spans="1:17">
      <c r="A117" s="1" t="s">
        <v>754</v>
      </c>
      <c r="B117" t="s">
        <v>467</v>
      </c>
      <c r="C117" t="s">
        <v>755</v>
      </c>
      <c r="D117" s="12" t="s">
        <v>469</v>
      </c>
      <c r="G117">
        <v>3</v>
      </c>
      <c r="J117">
        <v>7</v>
      </c>
      <c r="K117">
        <v>3</v>
      </c>
      <c r="M117">
        <v>2</v>
      </c>
      <c r="Q117">
        <v>1</v>
      </c>
    </row>
    <row r="118" spans="1:26">
      <c r="A118" s="1" t="s">
        <v>756</v>
      </c>
      <c r="B118" t="s">
        <v>516</v>
      </c>
      <c r="C118" t="s">
        <v>757</v>
      </c>
      <c r="D118" s="12" t="s">
        <v>518</v>
      </c>
      <c r="G118">
        <v>15</v>
      </c>
      <c r="I118">
        <v>5</v>
      </c>
      <c r="Q118">
        <v>1</v>
      </c>
      <c r="U118">
        <v>6</v>
      </c>
      <c r="Z118" t="s">
        <v>664</v>
      </c>
    </row>
    <row r="119" spans="1:26">
      <c r="A119" s="1" t="s">
        <v>758</v>
      </c>
      <c r="B119" t="s">
        <v>449</v>
      </c>
      <c r="C119" t="s">
        <v>759</v>
      </c>
      <c r="D119" s="12" t="s">
        <v>451</v>
      </c>
      <c r="M119">
        <v>2</v>
      </c>
      <c r="P119">
        <v>10</v>
      </c>
      <c r="Q119">
        <v>3</v>
      </c>
      <c r="R119">
        <v>0.25</v>
      </c>
      <c r="Z119" t="s">
        <v>760</v>
      </c>
    </row>
    <row r="120" spans="1:17">
      <c r="A120" s="1" t="s">
        <v>761</v>
      </c>
      <c r="B120" t="s">
        <v>528</v>
      </c>
      <c r="C120" t="s">
        <v>762</v>
      </c>
      <c r="D120" s="12" t="s">
        <v>6</v>
      </c>
      <c r="G120">
        <v>12</v>
      </c>
      <c r="K120">
        <v>2</v>
      </c>
      <c r="M120">
        <v>2</v>
      </c>
      <c r="Q120">
        <v>1</v>
      </c>
    </row>
    <row r="121" spans="1:17">
      <c r="A121" s="1" t="s">
        <v>763</v>
      </c>
      <c r="B121" t="s">
        <v>467</v>
      </c>
      <c r="C121" t="s">
        <v>764</v>
      </c>
      <c r="D121" s="12" t="s">
        <v>469</v>
      </c>
      <c r="H121">
        <v>9</v>
      </c>
      <c r="Q121">
        <v>1</v>
      </c>
    </row>
    <row r="122" spans="1:26">
      <c r="A122" s="1" t="s">
        <v>765</v>
      </c>
      <c r="B122" t="s">
        <v>440</v>
      </c>
      <c r="C122" t="s">
        <v>766</v>
      </c>
      <c r="D122" s="12" t="s">
        <v>442</v>
      </c>
      <c r="F122">
        <v>28</v>
      </c>
      <c r="K122">
        <v>2</v>
      </c>
      <c r="L122">
        <v>3</v>
      </c>
      <c r="Q122">
        <v>1</v>
      </c>
      <c r="Z122" t="s">
        <v>767</v>
      </c>
    </row>
    <row r="123" spans="1:17">
      <c r="A123" s="1" t="s">
        <v>768</v>
      </c>
      <c r="B123" t="s">
        <v>484</v>
      </c>
      <c r="C123" t="s">
        <v>769</v>
      </c>
      <c r="D123" s="12" t="s">
        <v>486</v>
      </c>
      <c r="I123">
        <v>12</v>
      </c>
      <c r="J123">
        <v>3</v>
      </c>
      <c r="M123">
        <v>3</v>
      </c>
      <c r="Q123">
        <v>1</v>
      </c>
    </row>
    <row r="124" spans="1:26">
      <c r="A124" s="1" t="s">
        <v>770</v>
      </c>
      <c r="B124" t="s">
        <v>605</v>
      </c>
      <c r="C124" t="s">
        <v>771</v>
      </c>
      <c r="D124" s="12" t="s">
        <v>607</v>
      </c>
      <c r="F124">
        <v>11</v>
      </c>
      <c r="P124">
        <v>16</v>
      </c>
      <c r="Q124">
        <v>3.9</v>
      </c>
      <c r="R124">
        <v>0.7</v>
      </c>
      <c r="T124">
        <v>27</v>
      </c>
      <c r="U124">
        <v>8</v>
      </c>
      <c r="Z124" t="s">
        <v>772</v>
      </c>
    </row>
    <row r="125" spans="1:17">
      <c r="A125" s="1" t="s">
        <v>773</v>
      </c>
      <c r="B125" t="s">
        <v>440</v>
      </c>
      <c r="C125" t="s">
        <v>774</v>
      </c>
      <c r="D125" s="12" t="s">
        <v>442</v>
      </c>
      <c r="F125">
        <v>10</v>
      </c>
      <c r="L125">
        <v>3</v>
      </c>
      <c r="Q125">
        <v>1</v>
      </c>
    </row>
    <row r="126" spans="1:17">
      <c r="A126" s="1" t="s">
        <v>775</v>
      </c>
      <c r="B126" t="s">
        <v>440</v>
      </c>
      <c r="C126" t="s">
        <v>776</v>
      </c>
      <c r="D126" s="12" t="s">
        <v>442</v>
      </c>
      <c r="F126">
        <v>9</v>
      </c>
      <c r="K126">
        <v>1</v>
      </c>
      <c r="L126">
        <v>3</v>
      </c>
      <c r="M126">
        <v>1</v>
      </c>
      <c r="Q126">
        <v>1</v>
      </c>
    </row>
    <row r="127" spans="1:26">
      <c r="A127" s="1" t="s">
        <v>777</v>
      </c>
      <c r="B127" t="s">
        <v>516</v>
      </c>
      <c r="C127" t="s">
        <v>778</v>
      </c>
      <c r="D127" s="12" t="s">
        <v>518</v>
      </c>
      <c r="G127">
        <v>8</v>
      </c>
      <c r="I127">
        <v>3</v>
      </c>
      <c r="P127">
        <v>9</v>
      </c>
      <c r="Q127">
        <v>1</v>
      </c>
      <c r="U127">
        <v>5</v>
      </c>
      <c r="Z127" t="s">
        <v>457</v>
      </c>
    </row>
    <row r="128" spans="1:17">
      <c r="A128" s="1" t="s">
        <v>779</v>
      </c>
      <c r="B128" t="s">
        <v>440</v>
      </c>
      <c r="C128" t="s">
        <v>780</v>
      </c>
      <c r="D128" s="12" t="s">
        <v>442</v>
      </c>
      <c r="F128">
        <v>30</v>
      </c>
      <c r="L128">
        <v>4</v>
      </c>
      <c r="M128">
        <v>-2</v>
      </c>
      <c r="Q128">
        <v>1</v>
      </c>
    </row>
    <row r="129" spans="1:17">
      <c r="A129" s="1" t="s">
        <v>781</v>
      </c>
      <c r="B129" t="s">
        <v>459</v>
      </c>
      <c r="C129" t="s">
        <v>782</v>
      </c>
      <c r="D129" s="12" t="s">
        <v>461</v>
      </c>
      <c r="J129">
        <v>12</v>
      </c>
      <c r="K129">
        <v>6</v>
      </c>
      <c r="M129">
        <v>3</v>
      </c>
      <c r="N129">
        <v>3</v>
      </c>
      <c r="Q129">
        <v>1</v>
      </c>
    </row>
    <row r="130" spans="1:26">
      <c r="A130" s="1" t="s">
        <v>783</v>
      </c>
      <c r="B130" t="s">
        <v>449</v>
      </c>
      <c r="C130" t="s">
        <v>784</v>
      </c>
      <c r="D130" s="12" t="s">
        <v>451</v>
      </c>
      <c r="F130">
        <v>3</v>
      </c>
      <c r="K130">
        <v>2</v>
      </c>
      <c r="M130">
        <v>2</v>
      </c>
      <c r="P130">
        <v>9</v>
      </c>
      <c r="Q130">
        <v>3.1</v>
      </c>
      <c r="R130">
        <v>0.35</v>
      </c>
      <c r="Z130" t="s">
        <v>452</v>
      </c>
    </row>
    <row r="131" spans="1:26">
      <c r="A131" s="1" t="s">
        <v>785</v>
      </c>
      <c r="B131" t="s">
        <v>440</v>
      </c>
      <c r="C131" t="s">
        <v>786</v>
      </c>
      <c r="D131" s="12" t="s">
        <v>442</v>
      </c>
      <c r="F131">
        <v>22</v>
      </c>
      <c r="J131">
        <v>3</v>
      </c>
      <c r="K131">
        <v>7</v>
      </c>
      <c r="L131">
        <v>3</v>
      </c>
      <c r="N131">
        <v>3</v>
      </c>
      <c r="P131">
        <v>4</v>
      </c>
      <c r="Q131">
        <v>1</v>
      </c>
      <c r="R131">
        <v>0.25</v>
      </c>
      <c r="Z131" t="s">
        <v>443</v>
      </c>
    </row>
    <row r="132" spans="1:26">
      <c r="A132" s="1" t="s">
        <v>787</v>
      </c>
      <c r="B132" t="s">
        <v>605</v>
      </c>
      <c r="C132" t="s">
        <v>788</v>
      </c>
      <c r="D132" s="12" t="s">
        <v>607</v>
      </c>
      <c r="F132">
        <v>15</v>
      </c>
      <c r="P132">
        <v>15</v>
      </c>
      <c r="Q132">
        <v>3.7</v>
      </c>
      <c r="R132">
        <v>0.65</v>
      </c>
      <c r="T132">
        <v>20</v>
      </c>
      <c r="U132">
        <v>9</v>
      </c>
      <c r="Z132" t="s">
        <v>789</v>
      </c>
    </row>
    <row r="133" spans="1:13">
      <c r="A133" s="1" t="s">
        <v>790</v>
      </c>
      <c r="B133" t="s">
        <v>591</v>
      </c>
      <c r="C133" t="s">
        <v>791</v>
      </c>
      <c r="D133" s="12" t="s">
        <v>603</v>
      </c>
      <c r="K133">
        <v>2</v>
      </c>
      <c r="M133">
        <v>2</v>
      </c>
    </row>
    <row r="134" spans="1:26">
      <c r="A134" s="1" t="s">
        <v>792</v>
      </c>
      <c r="B134" t="s">
        <v>605</v>
      </c>
      <c r="C134" t="s">
        <v>793</v>
      </c>
      <c r="D134" s="12" t="s">
        <v>607</v>
      </c>
      <c r="F134">
        <v>20</v>
      </c>
      <c r="P134">
        <v>18</v>
      </c>
      <c r="Q134">
        <v>3.8</v>
      </c>
      <c r="R134">
        <v>0.78</v>
      </c>
      <c r="T134">
        <v>24</v>
      </c>
      <c r="U134">
        <v>10</v>
      </c>
      <c r="Z134" t="s">
        <v>794</v>
      </c>
    </row>
    <row r="135" spans="1:13">
      <c r="A135" s="1" t="s">
        <v>795</v>
      </c>
      <c r="B135" t="s">
        <v>591</v>
      </c>
      <c r="C135" t="s">
        <v>796</v>
      </c>
      <c r="D135" s="12" t="s">
        <v>603</v>
      </c>
      <c r="K135">
        <v>3</v>
      </c>
      <c r="M135">
        <v>-2</v>
      </c>
    </row>
    <row r="136" spans="1:26">
      <c r="A136" s="1" t="s">
        <v>797</v>
      </c>
      <c r="B136" t="s">
        <v>449</v>
      </c>
      <c r="C136" t="s">
        <v>798</v>
      </c>
      <c r="D136" s="12" t="s">
        <v>451</v>
      </c>
      <c r="F136">
        <v>2</v>
      </c>
      <c r="L136">
        <v>1</v>
      </c>
      <c r="M136">
        <v>1</v>
      </c>
      <c r="P136">
        <v>9</v>
      </c>
      <c r="Q136">
        <v>3</v>
      </c>
      <c r="R136">
        <v>0.38</v>
      </c>
      <c r="Z136" t="s">
        <v>799</v>
      </c>
    </row>
    <row r="137" spans="1:26">
      <c r="A137" s="1" t="s">
        <v>800</v>
      </c>
      <c r="B137" t="s">
        <v>605</v>
      </c>
      <c r="C137" t="s">
        <v>801</v>
      </c>
      <c r="D137" s="12" t="s">
        <v>607</v>
      </c>
      <c r="F137">
        <v>26</v>
      </c>
      <c r="P137">
        <v>8</v>
      </c>
      <c r="Q137">
        <v>3</v>
      </c>
      <c r="R137">
        <v>0.6</v>
      </c>
      <c r="T137">
        <v>20</v>
      </c>
      <c r="U137">
        <v>9</v>
      </c>
      <c r="Z137" t="s">
        <v>802</v>
      </c>
    </row>
    <row r="138" spans="1:27">
      <c r="A138" s="1" t="s">
        <v>803</v>
      </c>
      <c r="B138" t="s">
        <v>440</v>
      </c>
      <c r="C138" t="s">
        <v>804</v>
      </c>
      <c r="D138" s="12" t="s">
        <v>442</v>
      </c>
      <c r="F138">
        <v>10</v>
      </c>
      <c r="K138">
        <v>5</v>
      </c>
      <c r="L138">
        <v>2</v>
      </c>
      <c r="P138">
        <v>3</v>
      </c>
      <c r="Q138">
        <v>1.2</v>
      </c>
      <c r="V138" s="1" t="s">
        <v>505</v>
      </c>
      <c r="W138">
        <v>4</v>
      </c>
      <c r="X138" s="13">
        <v>0.1</v>
      </c>
      <c r="Y138" t="s">
        <v>805</v>
      </c>
      <c r="Z138" t="s">
        <v>806</v>
      </c>
      <c r="AA138" t="s">
        <v>807</v>
      </c>
    </row>
    <row r="139" spans="1:27">
      <c r="A139" s="1" t="s">
        <v>808</v>
      </c>
      <c r="B139" t="s">
        <v>595</v>
      </c>
      <c r="C139" t="s">
        <v>809</v>
      </c>
      <c r="D139" s="12" t="s">
        <v>597</v>
      </c>
      <c r="F139">
        <v>21</v>
      </c>
      <c r="Q139">
        <v>1</v>
      </c>
      <c r="S139">
        <v>25</v>
      </c>
      <c r="U139">
        <v>10</v>
      </c>
      <c r="V139" s="1" t="s">
        <v>511</v>
      </c>
      <c r="W139">
        <v>3</v>
      </c>
      <c r="X139" s="13">
        <v>0.1</v>
      </c>
      <c r="Y139" t="s">
        <v>598</v>
      </c>
      <c r="Z139" t="s">
        <v>599</v>
      </c>
      <c r="AA139" t="s">
        <v>600</v>
      </c>
    </row>
    <row r="140" spans="1:17">
      <c r="A140" s="1" t="s">
        <v>810</v>
      </c>
      <c r="B140" t="s">
        <v>591</v>
      </c>
      <c r="C140" t="s">
        <v>811</v>
      </c>
      <c r="D140" s="12" t="s">
        <v>593</v>
      </c>
      <c r="M140">
        <v>2</v>
      </c>
      <c r="Q140">
        <v>1</v>
      </c>
    </row>
    <row r="141" spans="1:17">
      <c r="A141" s="1" t="s">
        <v>812</v>
      </c>
      <c r="B141" t="s">
        <v>528</v>
      </c>
      <c r="C141" t="s">
        <v>813</v>
      </c>
      <c r="D141" s="12" t="s">
        <v>6</v>
      </c>
      <c r="G141">
        <v>11</v>
      </c>
      <c r="I141">
        <v>10</v>
      </c>
      <c r="Q141">
        <v>1</v>
      </c>
    </row>
    <row r="142" spans="1:17">
      <c r="A142" s="1" t="s">
        <v>814</v>
      </c>
      <c r="B142" t="s">
        <v>440</v>
      </c>
      <c r="C142" t="s">
        <v>815</v>
      </c>
      <c r="D142" s="12" t="s">
        <v>442</v>
      </c>
      <c r="F142">
        <v>27</v>
      </c>
      <c r="K142">
        <v>3</v>
      </c>
      <c r="L142">
        <v>3</v>
      </c>
      <c r="Q142">
        <v>1</v>
      </c>
    </row>
    <row r="143" spans="1:26">
      <c r="A143" s="1" t="s">
        <v>816</v>
      </c>
      <c r="B143" t="s">
        <v>516</v>
      </c>
      <c r="C143" t="s">
        <v>817</v>
      </c>
      <c r="D143" s="12" t="s">
        <v>518</v>
      </c>
      <c r="G143">
        <v>15</v>
      </c>
      <c r="I143">
        <v>2</v>
      </c>
      <c r="Q143">
        <v>1</v>
      </c>
      <c r="U143">
        <v>6</v>
      </c>
      <c r="Z143" t="s">
        <v>664</v>
      </c>
    </row>
    <row r="144" spans="1:26">
      <c r="A144" s="1" t="s">
        <v>818</v>
      </c>
      <c r="B144" t="s">
        <v>605</v>
      </c>
      <c r="C144" t="s">
        <v>819</v>
      </c>
      <c r="D144" s="12" t="s">
        <v>607</v>
      </c>
      <c r="F144">
        <v>10</v>
      </c>
      <c r="P144">
        <v>17</v>
      </c>
      <c r="Q144">
        <v>4</v>
      </c>
      <c r="R144">
        <v>0.7</v>
      </c>
      <c r="T144">
        <v>28</v>
      </c>
      <c r="U144">
        <v>8</v>
      </c>
      <c r="Z144" t="s">
        <v>820</v>
      </c>
    </row>
    <row r="145" spans="1:17">
      <c r="A145" s="1" t="s">
        <v>821</v>
      </c>
      <c r="B145" t="s">
        <v>591</v>
      </c>
      <c r="C145" t="s">
        <v>822</v>
      </c>
      <c r="D145" s="12" t="s">
        <v>603</v>
      </c>
      <c r="F145">
        <v>3</v>
      </c>
      <c r="K145">
        <v>1</v>
      </c>
      <c r="Q145">
        <v>1</v>
      </c>
    </row>
    <row r="146" spans="1:17">
      <c r="A146" s="1" t="s">
        <v>823</v>
      </c>
      <c r="B146" t="s">
        <v>440</v>
      </c>
      <c r="C146" t="s">
        <v>824</v>
      </c>
      <c r="D146" s="12" t="s">
        <v>442</v>
      </c>
      <c r="F146">
        <v>9</v>
      </c>
      <c r="K146">
        <v>2</v>
      </c>
      <c r="L146">
        <v>3</v>
      </c>
      <c r="Q146">
        <v>1</v>
      </c>
    </row>
    <row r="147" spans="1:26">
      <c r="A147" s="1" t="s">
        <v>825</v>
      </c>
      <c r="B147" t="s">
        <v>516</v>
      </c>
      <c r="C147" t="s">
        <v>826</v>
      </c>
      <c r="D147" s="12" t="s">
        <v>518</v>
      </c>
      <c r="G147">
        <v>13</v>
      </c>
      <c r="P147">
        <v>10</v>
      </c>
      <c r="Q147">
        <v>1</v>
      </c>
      <c r="U147">
        <v>7</v>
      </c>
      <c r="Z147" t="s">
        <v>638</v>
      </c>
    </row>
    <row r="148" spans="1:17">
      <c r="A148" s="1" t="s">
        <v>827</v>
      </c>
      <c r="B148" t="s">
        <v>440</v>
      </c>
      <c r="C148" t="s">
        <v>828</v>
      </c>
      <c r="D148" s="12" t="s">
        <v>442</v>
      </c>
      <c r="F148">
        <v>26</v>
      </c>
      <c r="H148">
        <v>3</v>
      </c>
      <c r="K148">
        <v>2</v>
      </c>
      <c r="L148">
        <v>3</v>
      </c>
      <c r="Q148">
        <v>1</v>
      </c>
    </row>
    <row r="149" spans="1:17">
      <c r="A149" s="1" t="s">
        <v>829</v>
      </c>
      <c r="B149" t="s">
        <v>467</v>
      </c>
      <c r="C149" t="s">
        <v>830</v>
      </c>
      <c r="D149" s="12" t="s">
        <v>469</v>
      </c>
      <c r="G149">
        <v>8</v>
      </c>
      <c r="K149">
        <v>6</v>
      </c>
      <c r="M149">
        <v>6</v>
      </c>
      <c r="Q149">
        <v>1</v>
      </c>
    </row>
    <row r="150" spans="1:26">
      <c r="A150" s="1" t="s">
        <v>831</v>
      </c>
      <c r="B150" t="s">
        <v>605</v>
      </c>
      <c r="C150" t="s">
        <v>832</v>
      </c>
      <c r="D150" s="12" t="s">
        <v>607</v>
      </c>
      <c r="F150">
        <v>13</v>
      </c>
      <c r="P150">
        <v>12</v>
      </c>
      <c r="Q150">
        <v>4</v>
      </c>
      <c r="R150">
        <v>0.7</v>
      </c>
      <c r="T150">
        <v>25</v>
      </c>
      <c r="U150">
        <v>7</v>
      </c>
      <c r="Z150" t="s">
        <v>833</v>
      </c>
    </row>
    <row r="151" spans="1:17">
      <c r="A151" s="1" t="s">
        <v>834</v>
      </c>
      <c r="B151" t="s">
        <v>484</v>
      </c>
      <c r="C151" t="s">
        <v>835</v>
      </c>
      <c r="D151" s="12" t="s">
        <v>486</v>
      </c>
      <c r="F151">
        <v>2</v>
      </c>
      <c r="I151">
        <v>16</v>
      </c>
      <c r="Q151">
        <v>1</v>
      </c>
    </row>
    <row r="152" spans="1:17">
      <c r="A152" s="1" t="s">
        <v>836</v>
      </c>
      <c r="B152" t="s">
        <v>440</v>
      </c>
      <c r="C152" t="s">
        <v>837</v>
      </c>
      <c r="D152" s="12" t="s">
        <v>442</v>
      </c>
      <c r="F152">
        <v>25</v>
      </c>
      <c r="K152">
        <v>5</v>
      </c>
      <c r="L152">
        <v>3</v>
      </c>
      <c r="Q152">
        <v>1</v>
      </c>
    </row>
    <row r="153" spans="1:17">
      <c r="A153" s="1" t="s">
        <v>838</v>
      </c>
      <c r="B153" t="s">
        <v>467</v>
      </c>
      <c r="C153" t="s">
        <v>839</v>
      </c>
      <c r="D153" s="12" t="s">
        <v>469</v>
      </c>
      <c r="J153">
        <v>9</v>
      </c>
      <c r="K153">
        <v>2</v>
      </c>
      <c r="M153">
        <v>3</v>
      </c>
      <c r="Q153">
        <v>1</v>
      </c>
    </row>
    <row r="154" spans="1:26">
      <c r="A154" s="1" t="s">
        <v>840</v>
      </c>
      <c r="B154" t="s">
        <v>454</v>
      </c>
      <c r="C154" t="s">
        <v>841</v>
      </c>
      <c r="D154" s="12" t="s">
        <v>456</v>
      </c>
      <c r="I154">
        <v>10</v>
      </c>
      <c r="J154">
        <v>9</v>
      </c>
      <c r="O154">
        <v>4</v>
      </c>
      <c r="Q154">
        <v>1</v>
      </c>
      <c r="U154">
        <v>5</v>
      </c>
      <c r="Z154" t="s">
        <v>457</v>
      </c>
    </row>
    <row r="155" spans="1:17">
      <c r="A155" s="1" t="s">
        <v>842</v>
      </c>
      <c r="B155" t="s">
        <v>459</v>
      </c>
      <c r="C155" t="s">
        <v>843</v>
      </c>
      <c r="D155" s="12" t="s">
        <v>461</v>
      </c>
      <c r="F155">
        <v>2</v>
      </c>
      <c r="I155">
        <v>7</v>
      </c>
      <c r="J155">
        <v>8</v>
      </c>
      <c r="K155">
        <v>3</v>
      </c>
      <c r="M155">
        <v>3</v>
      </c>
      <c r="Q155">
        <v>1</v>
      </c>
    </row>
    <row r="156" spans="1:17">
      <c r="A156" s="1" t="s">
        <v>844</v>
      </c>
      <c r="B156" t="s">
        <v>440</v>
      </c>
      <c r="C156" t="s">
        <v>845</v>
      </c>
      <c r="D156" s="12" t="s">
        <v>442</v>
      </c>
      <c r="F156">
        <v>24</v>
      </c>
      <c r="J156">
        <v>2</v>
      </c>
      <c r="K156">
        <v>7</v>
      </c>
      <c r="L156">
        <v>3</v>
      </c>
      <c r="P156">
        <v>2</v>
      </c>
      <c r="Q156">
        <v>1</v>
      </c>
    </row>
    <row r="157" spans="1:17">
      <c r="A157" s="1" t="s">
        <v>846</v>
      </c>
      <c r="B157" t="s">
        <v>528</v>
      </c>
      <c r="C157" t="s">
        <v>847</v>
      </c>
      <c r="D157" s="12" t="s">
        <v>6</v>
      </c>
      <c r="G157">
        <v>13</v>
      </c>
      <c r="K157">
        <v>3</v>
      </c>
      <c r="M157">
        <v>4</v>
      </c>
      <c r="Q157">
        <v>1</v>
      </c>
    </row>
    <row r="158" spans="1:26">
      <c r="A158" s="1" t="s">
        <v>848</v>
      </c>
      <c r="B158" t="s">
        <v>440</v>
      </c>
      <c r="C158" t="s">
        <v>849</v>
      </c>
      <c r="D158" s="12" t="s">
        <v>442</v>
      </c>
      <c r="F158">
        <v>24</v>
      </c>
      <c r="J158">
        <v>5</v>
      </c>
      <c r="K158">
        <v>4</v>
      </c>
      <c r="L158">
        <v>3</v>
      </c>
      <c r="N158">
        <v>2</v>
      </c>
      <c r="P158">
        <v>3</v>
      </c>
      <c r="Q158">
        <v>1</v>
      </c>
      <c r="R158">
        <v>0.25</v>
      </c>
      <c r="Z158" t="s">
        <v>443</v>
      </c>
    </row>
    <row r="159" spans="1:17">
      <c r="A159" s="1" t="s">
        <v>850</v>
      </c>
      <c r="B159" t="s">
        <v>528</v>
      </c>
      <c r="C159" t="s">
        <v>851</v>
      </c>
      <c r="D159" s="12" t="s">
        <v>6</v>
      </c>
      <c r="G159">
        <v>18</v>
      </c>
      <c r="K159">
        <v>-1</v>
      </c>
      <c r="M159">
        <v>-2</v>
      </c>
      <c r="Q159">
        <v>1</v>
      </c>
    </row>
    <row r="160" spans="1:17">
      <c r="A160" s="1" t="s">
        <v>852</v>
      </c>
      <c r="B160" t="s">
        <v>528</v>
      </c>
      <c r="C160" t="s">
        <v>853</v>
      </c>
      <c r="D160" s="12" t="s">
        <v>6</v>
      </c>
      <c r="G160">
        <v>12</v>
      </c>
      <c r="K160">
        <v>5</v>
      </c>
      <c r="M160">
        <v>4</v>
      </c>
      <c r="Q160">
        <v>1</v>
      </c>
    </row>
    <row r="161" spans="1:26">
      <c r="A161" s="1" t="s">
        <v>854</v>
      </c>
      <c r="B161" t="s">
        <v>454</v>
      </c>
      <c r="C161" t="s">
        <v>855</v>
      </c>
      <c r="D161" s="12" t="s">
        <v>456</v>
      </c>
      <c r="L161">
        <v>0</v>
      </c>
      <c r="O161">
        <v>23</v>
      </c>
      <c r="Q161">
        <v>1</v>
      </c>
      <c r="U161">
        <v>15</v>
      </c>
      <c r="Z161" t="s">
        <v>500</v>
      </c>
    </row>
    <row r="162" spans="1:26">
      <c r="A162" s="1" t="s">
        <v>856</v>
      </c>
      <c r="B162" t="s">
        <v>559</v>
      </c>
      <c r="C162" t="s">
        <v>857</v>
      </c>
      <c r="D162" s="12" t="s">
        <v>561</v>
      </c>
      <c r="P162">
        <v>14</v>
      </c>
      <c r="Q162">
        <v>1</v>
      </c>
      <c r="U162">
        <v>6</v>
      </c>
      <c r="Z162" t="s">
        <v>664</v>
      </c>
    </row>
    <row r="163" spans="1:26">
      <c r="A163" s="1" t="s">
        <v>858</v>
      </c>
      <c r="B163" t="s">
        <v>605</v>
      </c>
      <c r="C163" t="s">
        <v>859</v>
      </c>
      <c r="D163" s="12" t="s">
        <v>607</v>
      </c>
      <c r="F163">
        <v>18</v>
      </c>
      <c r="P163">
        <v>17</v>
      </c>
      <c r="Q163">
        <v>3.8</v>
      </c>
      <c r="R163">
        <v>0.75</v>
      </c>
      <c r="T163">
        <v>24</v>
      </c>
      <c r="U163">
        <v>8</v>
      </c>
      <c r="Z163" t="s">
        <v>860</v>
      </c>
    </row>
    <row r="164" spans="1:17">
      <c r="A164" s="1" t="s">
        <v>861</v>
      </c>
      <c r="B164" t="s">
        <v>440</v>
      </c>
      <c r="C164" t="s">
        <v>862</v>
      </c>
      <c r="D164" s="12" t="s">
        <v>442</v>
      </c>
      <c r="F164">
        <v>28</v>
      </c>
      <c r="K164">
        <v>2</v>
      </c>
      <c r="L164">
        <v>3</v>
      </c>
      <c r="N164">
        <v>2</v>
      </c>
      <c r="Q164">
        <v>1</v>
      </c>
    </row>
    <row r="165" spans="1:26">
      <c r="A165" s="1" t="s">
        <v>863</v>
      </c>
      <c r="B165" t="s">
        <v>454</v>
      </c>
      <c r="C165" t="s">
        <v>864</v>
      </c>
      <c r="D165" s="12" t="s">
        <v>456</v>
      </c>
      <c r="I165">
        <v>6</v>
      </c>
      <c r="J165">
        <v>2</v>
      </c>
      <c r="O165">
        <v>13</v>
      </c>
      <c r="Q165">
        <v>1</v>
      </c>
      <c r="U165">
        <v>5</v>
      </c>
      <c r="Z165" t="s">
        <v>457</v>
      </c>
    </row>
    <row r="166" spans="1:17">
      <c r="A166" s="1" t="s">
        <v>865</v>
      </c>
      <c r="B166" t="s">
        <v>528</v>
      </c>
      <c r="C166" t="s">
        <v>866</v>
      </c>
      <c r="D166" s="12" t="s">
        <v>6</v>
      </c>
      <c r="G166">
        <v>12</v>
      </c>
      <c r="K166">
        <v>4</v>
      </c>
      <c r="M166">
        <v>2</v>
      </c>
      <c r="Q166">
        <v>1</v>
      </c>
    </row>
    <row r="167" spans="1:26">
      <c r="A167" s="1" t="s">
        <v>867</v>
      </c>
      <c r="B167" t="s">
        <v>440</v>
      </c>
      <c r="C167" t="s">
        <v>868</v>
      </c>
      <c r="D167" s="12" t="s">
        <v>442</v>
      </c>
      <c r="F167">
        <v>13</v>
      </c>
      <c r="L167">
        <v>2</v>
      </c>
      <c r="M167">
        <v>-2</v>
      </c>
      <c r="P167">
        <v>8</v>
      </c>
      <c r="Q167">
        <v>2.8</v>
      </c>
      <c r="R167">
        <v>0.35</v>
      </c>
      <c r="Z167" t="s">
        <v>731</v>
      </c>
    </row>
    <row r="168" spans="1:26">
      <c r="A168" s="1" t="s">
        <v>869</v>
      </c>
      <c r="B168" t="s">
        <v>440</v>
      </c>
      <c r="C168" t="s">
        <v>870</v>
      </c>
      <c r="D168" s="12" t="s">
        <v>442</v>
      </c>
      <c r="F168">
        <v>30</v>
      </c>
      <c r="L168">
        <v>4</v>
      </c>
      <c r="M168">
        <v>-2</v>
      </c>
      <c r="P168">
        <v>3</v>
      </c>
      <c r="Q168">
        <v>1</v>
      </c>
      <c r="R168">
        <v>0.25</v>
      </c>
      <c r="Z168" t="s">
        <v>443</v>
      </c>
    </row>
    <row r="169" spans="1:17">
      <c r="A169" s="1" t="s">
        <v>871</v>
      </c>
      <c r="B169" t="s">
        <v>440</v>
      </c>
      <c r="C169" t="s">
        <v>872</v>
      </c>
      <c r="D169" s="12" t="s">
        <v>442</v>
      </c>
      <c r="F169">
        <v>5</v>
      </c>
      <c r="L169">
        <v>3</v>
      </c>
      <c r="Q169">
        <v>1</v>
      </c>
    </row>
    <row r="170" spans="1:17">
      <c r="A170" s="1" t="s">
        <v>873</v>
      </c>
      <c r="B170" t="s">
        <v>484</v>
      </c>
      <c r="C170" t="s">
        <v>874</v>
      </c>
      <c r="D170" s="12" t="s">
        <v>486</v>
      </c>
      <c r="F170">
        <v>4</v>
      </c>
      <c r="I170">
        <v>15</v>
      </c>
      <c r="Q170">
        <v>1</v>
      </c>
    </row>
    <row r="171" spans="1:17">
      <c r="A171" s="1" t="s">
        <v>875</v>
      </c>
      <c r="B171" t="s">
        <v>459</v>
      </c>
      <c r="C171" t="s">
        <v>876</v>
      </c>
      <c r="D171" s="12" t="s">
        <v>461</v>
      </c>
      <c r="G171">
        <v>4</v>
      </c>
      <c r="J171">
        <v>6</v>
      </c>
      <c r="K171">
        <v>1</v>
      </c>
      <c r="M171">
        <v>2</v>
      </c>
      <c r="Q171">
        <v>1</v>
      </c>
    </row>
    <row r="172" spans="1:17">
      <c r="A172" s="1" t="s">
        <v>877</v>
      </c>
      <c r="B172" t="s">
        <v>440</v>
      </c>
      <c r="C172" t="s">
        <v>878</v>
      </c>
      <c r="D172" s="12" t="s">
        <v>442</v>
      </c>
      <c r="F172">
        <v>14</v>
      </c>
      <c r="L172">
        <v>3</v>
      </c>
      <c r="Q172">
        <v>1</v>
      </c>
    </row>
    <row r="173" spans="1:26">
      <c r="A173" s="1" t="s">
        <v>879</v>
      </c>
      <c r="B173" t="s">
        <v>440</v>
      </c>
      <c r="C173" t="s">
        <v>880</v>
      </c>
      <c r="D173" s="12" t="s">
        <v>442</v>
      </c>
      <c r="F173">
        <v>28</v>
      </c>
      <c r="L173">
        <v>4</v>
      </c>
      <c r="P173">
        <v>3</v>
      </c>
      <c r="Q173">
        <v>1</v>
      </c>
      <c r="R173">
        <v>0.25</v>
      </c>
      <c r="Z173" t="s">
        <v>443</v>
      </c>
    </row>
    <row r="174" spans="1:26">
      <c r="A174" s="1" t="s">
        <v>881</v>
      </c>
      <c r="B174" t="s">
        <v>440</v>
      </c>
      <c r="C174" t="s">
        <v>882</v>
      </c>
      <c r="D174" s="12" t="s">
        <v>442</v>
      </c>
      <c r="F174">
        <v>25</v>
      </c>
      <c r="L174">
        <v>4</v>
      </c>
      <c r="P174">
        <v>2</v>
      </c>
      <c r="Q174">
        <v>1</v>
      </c>
      <c r="R174">
        <v>0.25</v>
      </c>
      <c r="Z174" t="s">
        <v>443</v>
      </c>
    </row>
    <row r="175" spans="1:17">
      <c r="A175" s="1" t="s">
        <v>883</v>
      </c>
      <c r="B175" t="s">
        <v>440</v>
      </c>
      <c r="C175" t="s">
        <v>884</v>
      </c>
      <c r="D175" s="12" t="s">
        <v>442</v>
      </c>
      <c r="F175">
        <v>13</v>
      </c>
      <c r="K175">
        <v>2</v>
      </c>
      <c r="L175">
        <v>3</v>
      </c>
      <c r="Q175">
        <v>1</v>
      </c>
    </row>
    <row r="176" spans="1:17">
      <c r="A176" s="1" t="s">
        <v>885</v>
      </c>
      <c r="B176" t="s">
        <v>440</v>
      </c>
      <c r="C176" t="s">
        <v>886</v>
      </c>
      <c r="D176" s="12" t="s">
        <v>442</v>
      </c>
      <c r="F176">
        <v>10</v>
      </c>
      <c r="L176">
        <v>1</v>
      </c>
      <c r="Q176">
        <v>1</v>
      </c>
    </row>
    <row r="177" spans="1:26">
      <c r="A177" s="1" t="s">
        <v>887</v>
      </c>
      <c r="B177" t="s">
        <v>449</v>
      </c>
      <c r="C177" t="s">
        <v>888</v>
      </c>
      <c r="D177" s="12" t="s">
        <v>451</v>
      </c>
      <c r="F177">
        <v>2</v>
      </c>
      <c r="M177">
        <v>2</v>
      </c>
      <c r="P177">
        <v>14</v>
      </c>
      <c r="Q177">
        <v>3.3</v>
      </c>
      <c r="R177">
        <v>0.55</v>
      </c>
      <c r="Z177" t="s">
        <v>889</v>
      </c>
    </row>
    <row r="178" spans="1:26">
      <c r="A178" s="1" t="s">
        <v>890</v>
      </c>
      <c r="B178" t="s">
        <v>605</v>
      </c>
      <c r="C178" t="s">
        <v>891</v>
      </c>
      <c r="D178" s="12" t="s">
        <v>607</v>
      </c>
      <c r="F178">
        <v>14</v>
      </c>
      <c r="P178">
        <v>16</v>
      </c>
      <c r="Q178">
        <v>3.5</v>
      </c>
      <c r="R178">
        <v>0.72</v>
      </c>
      <c r="T178">
        <v>25</v>
      </c>
      <c r="U178">
        <v>8</v>
      </c>
      <c r="Z178" t="s">
        <v>892</v>
      </c>
    </row>
    <row r="179" spans="1:17">
      <c r="A179" s="1" t="s">
        <v>893</v>
      </c>
      <c r="B179" t="s">
        <v>440</v>
      </c>
      <c r="C179" t="s">
        <v>894</v>
      </c>
      <c r="D179" s="12" t="s">
        <v>442</v>
      </c>
      <c r="F179">
        <v>8</v>
      </c>
      <c r="L179">
        <v>2</v>
      </c>
      <c r="Q179">
        <v>1</v>
      </c>
    </row>
    <row r="180" spans="1:17">
      <c r="A180" s="1" t="s">
        <v>895</v>
      </c>
      <c r="B180" t="s">
        <v>440</v>
      </c>
      <c r="C180" t="s">
        <v>896</v>
      </c>
      <c r="D180" s="12" t="s">
        <v>442</v>
      </c>
      <c r="F180">
        <v>24</v>
      </c>
      <c r="K180">
        <v>6</v>
      </c>
      <c r="L180">
        <v>3</v>
      </c>
      <c r="N180">
        <v>3</v>
      </c>
      <c r="Q180">
        <v>1</v>
      </c>
    </row>
    <row r="181" spans="1:26">
      <c r="A181" s="1" t="s">
        <v>897</v>
      </c>
      <c r="B181" t="s">
        <v>440</v>
      </c>
      <c r="C181" t="s">
        <v>898</v>
      </c>
      <c r="D181" s="12" t="s">
        <v>442</v>
      </c>
      <c r="F181">
        <v>7</v>
      </c>
      <c r="K181">
        <v>2</v>
      </c>
      <c r="L181">
        <v>2</v>
      </c>
      <c r="P181">
        <v>7</v>
      </c>
      <c r="Q181">
        <v>1</v>
      </c>
      <c r="R181">
        <v>0.25</v>
      </c>
      <c r="Z181" t="s">
        <v>443</v>
      </c>
    </row>
    <row r="182" spans="1:17">
      <c r="A182" s="1" t="s">
        <v>899</v>
      </c>
      <c r="B182" t="s">
        <v>440</v>
      </c>
      <c r="C182" t="s">
        <v>900</v>
      </c>
      <c r="D182" s="12" t="s">
        <v>442</v>
      </c>
      <c r="F182">
        <v>29</v>
      </c>
      <c r="K182">
        <v>3</v>
      </c>
      <c r="L182">
        <v>4</v>
      </c>
      <c r="M182">
        <v>-2</v>
      </c>
      <c r="Q182">
        <v>1</v>
      </c>
    </row>
    <row r="183" spans="1:26">
      <c r="A183" s="1" t="s">
        <v>901</v>
      </c>
      <c r="B183" t="s">
        <v>459</v>
      </c>
      <c r="C183" t="s">
        <v>902</v>
      </c>
      <c r="D183" s="12" t="s">
        <v>461</v>
      </c>
      <c r="J183">
        <v>5</v>
      </c>
      <c r="K183">
        <v>3</v>
      </c>
      <c r="M183">
        <v>2</v>
      </c>
      <c r="P183">
        <v>11</v>
      </c>
      <c r="Q183">
        <v>3.3</v>
      </c>
      <c r="R183">
        <v>0.75</v>
      </c>
      <c r="Z183" t="s">
        <v>903</v>
      </c>
    </row>
    <row r="184" spans="1:17">
      <c r="A184" s="1" t="s">
        <v>904</v>
      </c>
      <c r="B184" t="s">
        <v>463</v>
      </c>
      <c r="C184" t="s">
        <v>905</v>
      </c>
      <c r="D184" s="12" t="s">
        <v>465</v>
      </c>
      <c r="I184">
        <v>12</v>
      </c>
      <c r="K184">
        <v>2</v>
      </c>
      <c r="M184">
        <v>2</v>
      </c>
      <c r="Q184">
        <v>1</v>
      </c>
    </row>
    <row r="185" spans="1:17">
      <c r="A185" s="1" t="s">
        <v>906</v>
      </c>
      <c r="B185" t="s">
        <v>591</v>
      </c>
      <c r="C185" t="s">
        <v>907</v>
      </c>
      <c r="D185" s="12" t="s">
        <v>593</v>
      </c>
      <c r="K185">
        <v>2</v>
      </c>
      <c r="M185">
        <v>2</v>
      </c>
      <c r="Q185">
        <v>1</v>
      </c>
    </row>
    <row r="186" spans="1:26">
      <c r="A186" s="1" t="s">
        <v>908</v>
      </c>
      <c r="B186" t="s">
        <v>595</v>
      </c>
      <c r="C186" t="s">
        <v>909</v>
      </c>
      <c r="D186" s="12" t="s">
        <v>597</v>
      </c>
      <c r="F186">
        <v>21</v>
      </c>
      <c r="Q186">
        <v>1</v>
      </c>
      <c r="S186">
        <v>24</v>
      </c>
      <c r="U186">
        <v>8</v>
      </c>
      <c r="Z186" t="s">
        <v>587</v>
      </c>
    </row>
    <row r="187" spans="1:26">
      <c r="A187" s="1" t="s">
        <v>910</v>
      </c>
      <c r="B187" t="s">
        <v>516</v>
      </c>
      <c r="C187" t="s">
        <v>911</v>
      </c>
      <c r="D187" s="12" t="s">
        <v>518</v>
      </c>
      <c r="G187">
        <v>12</v>
      </c>
      <c r="I187">
        <v>4</v>
      </c>
      <c r="Q187">
        <v>1</v>
      </c>
      <c r="U187">
        <v>5</v>
      </c>
      <c r="Z187" t="s">
        <v>457</v>
      </c>
    </row>
    <row r="188" spans="1:26">
      <c r="A188" s="1" t="s">
        <v>912</v>
      </c>
      <c r="B188" t="s">
        <v>459</v>
      </c>
      <c r="C188" t="s">
        <v>913</v>
      </c>
      <c r="D188" s="12" t="s">
        <v>461</v>
      </c>
      <c r="F188">
        <v>2</v>
      </c>
      <c r="J188">
        <v>5</v>
      </c>
      <c r="K188">
        <v>9</v>
      </c>
      <c r="P188">
        <v>4</v>
      </c>
      <c r="Q188">
        <v>2.2</v>
      </c>
      <c r="R188">
        <v>0.35</v>
      </c>
      <c r="Z188" t="s">
        <v>914</v>
      </c>
    </row>
    <row r="189" spans="1:17">
      <c r="A189" s="1" t="s">
        <v>915</v>
      </c>
      <c r="B189" t="s">
        <v>484</v>
      </c>
      <c r="C189" t="s">
        <v>916</v>
      </c>
      <c r="D189" s="12" t="s">
        <v>486</v>
      </c>
      <c r="I189">
        <v>15</v>
      </c>
      <c r="K189">
        <v>6</v>
      </c>
      <c r="Q189">
        <v>1</v>
      </c>
    </row>
    <row r="190" spans="1:26">
      <c r="A190" s="1" t="s">
        <v>917</v>
      </c>
      <c r="B190" t="s">
        <v>449</v>
      </c>
      <c r="C190" t="s">
        <v>918</v>
      </c>
      <c r="D190" s="12" t="s">
        <v>451</v>
      </c>
      <c r="L190">
        <v>1</v>
      </c>
      <c r="M190">
        <v>1</v>
      </c>
      <c r="P190">
        <v>15</v>
      </c>
      <c r="Q190">
        <v>3.4</v>
      </c>
      <c r="R190">
        <v>0.5</v>
      </c>
      <c r="Z190" t="s">
        <v>919</v>
      </c>
    </row>
    <row r="191" spans="1:26">
      <c r="A191" s="1" t="s">
        <v>920</v>
      </c>
      <c r="B191" t="s">
        <v>559</v>
      </c>
      <c r="C191" t="s">
        <v>921</v>
      </c>
      <c r="D191" s="12" t="s">
        <v>561</v>
      </c>
      <c r="M191">
        <v>4</v>
      </c>
      <c r="P191">
        <v>13</v>
      </c>
      <c r="Q191">
        <v>1</v>
      </c>
      <c r="U191">
        <v>8</v>
      </c>
      <c r="Z191" t="s">
        <v>587</v>
      </c>
    </row>
    <row r="192" spans="1:17">
      <c r="A192" s="1" t="s">
        <v>922</v>
      </c>
      <c r="B192" t="s">
        <v>440</v>
      </c>
      <c r="C192" t="s">
        <v>923</v>
      </c>
      <c r="D192" s="12" t="s">
        <v>442</v>
      </c>
      <c r="F192">
        <v>29</v>
      </c>
      <c r="K192">
        <v>2</v>
      </c>
      <c r="L192">
        <v>4</v>
      </c>
      <c r="Q192">
        <v>1</v>
      </c>
    </row>
    <row r="193" spans="1:26">
      <c r="A193" s="1" t="s">
        <v>924</v>
      </c>
      <c r="B193" t="s">
        <v>440</v>
      </c>
      <c r="C193" t="s">
        <v>925</v>
      </c>
      <c r="D193" s="12" t="s">
        <v>442</v>
      </c>
      <c r="F193">
        <v>30</v>
      </c>
      <c r="K193">
        <v>-1</v>
      </c>
      <c r="L193">
        <v>4</v>
      </c>
      <c r="P193">
        <v>10</v>
      </c>
      <c r="Q193">
        <v>1</v>
      </c>
      <c r="R193">
        <v>0.25</v>
      </c>
      <c r="Z193" t="s">
        <v>443</v>
      </c>
    </row>
    <row r="194" spans="1:27">
      <c r="A194" s="1" t="s">
        <v>926</v>
      </c>
      <c r="B194" t="s">
        <v>467</v>
      </c>
      <c r="C194" t="s">
        <v>927</v>
      </c>
      <c r="D194" s="12" t="s">
        <v>469</v>
      </c>
      <c r="F194">
        <v>6</v>
      </c>
      <c r="K194">
        <v>3</v>
      </c>
      <c r="N194">
        <v>3</v>
      </c>
      <c r="Q194">
        <v>1</v>
      </c>
      <c r="V194" s="1" t="s">
        <v>511</v>
      </c>
      <c r="W194">
        <v>3</v>
      </c>
      <c r="X194" s="13">
        <v>0.25</v>
      </c>
      <c r="Y194" t="s">
        <v>742</v>
      </c>
      <c r="Z194" t="s">
        <v>743</v>
      </c>
      <c r="AA194" t="s">
        <v>744</v>
      </c>
    </row>
    <row r="195" spans="1:17">
      <c r="A195" s="1" t="s">
        <v>928</v>
      </c>
      <c r="B195" t="s">
        <v>484</v>
      </c>
      <c r="C195" t="s">
        <v>929</v>
      </c>
      <c r="D195" s="12" t="s">
        <v>486</v>
      </c>
      <c r="G195">
        <v>4</v>
      </c>
      <c r="I195">
        <v>13</v>
      </c>
      <c r="Q195">
        <v>1</v>
      </c>
    </row>
    <row r="196" spans="1:17">
      <c r="A196" s="1" t="s">
        <v>930</v>
      </c>
      <c r="B196" t="s">
        <v>528</v>
      </c>
      <c r="C196" t="s">
        <v>931</v>
      </c>
      <c r="D196" s="12" t="s">
        <v>6</v>
      </c>
      <c r="G196">
        <v>14</v>
      </c>
      <c r="K196">
        <v>3</v>
      </c>
      <c r="Q196">
        <v>1</v>
      </c>
    </row>
    <row r="197" spans="1:26">
      <c r="A197" s="1" t="s">
        <v>932</v>
      </c>
      <c r="B197" t="s">
        <v>559</v>
      </c>
      <c r="C197" t="s">
        <v>933</v>
      </c>
      <c r="D197" s="12" t="s">
        <v>561</v>
      </c>
      <c r="P197">
        <v>14</v>
      </c>
      <c r="Q197">
        <v>1</v>
      </c>
      <c r="U197">
        <v>7</v>
      </c>
      <c r="Z197" t="s">
        <v>638</v>
      </c>
    </row>
    <row r="198" spans="1:17">
      <c r="A198" s="1" t="s">
        <v>934</v>
      </c>
      <c r="B198" t="s">
        <v>528</v>
      </c>
      <c r="C198" t="s">
        <v>935</v>
      </c>
      <c r="D198" s="12" t="s">
        <v>6</v>
      </c>
      <c r="G198">
        <v>13</v>
      </c>
      <c r="K198">
        <v>3</v>
      </c>
      <c r="M198">
        <v>6</v>
      </c>
      <c r="Q198">
        <v>1</v>
      </c>
    </row>
    <row r="199" spans="1:26">
      <c r="A199" s="1" t="s">
        <v>936</v>
      </c>
      <c r="B199" t="s">
        <v>440</v>
      </c>
      <c r="C199" t="s">
        <v>937</v>
      </c>
      <c r="D199" s="12" t="s">
        <v>442</v>
      </c>
      <c r="F199">
        <v>6</v>
      </c>
      <c r="K199">
        <v>1</v>
      </c>
      <c r="L199">
        <v>2</v>
      </c>
      <c r="M199">
        <v>2</v>
      </c>
      <c r="P199">
        <v>6</v>
      </c>
      <c r="Q199">
        <v>1</v>
      </c>
      <c r="R199">
        <v>0.25</v>
      </c>
      <c r="Z199" t="s">
        <v>443</v>
      </c>
    </row>
    <row r="200" spans="1:26">
      <c r="A200" s="1" t="s">
        <v>938</v>
      </c>
      <c r="B200" t="s">
        <v>449</v>
      </c>
      <c r="C200" t="s">
        <v>939</v>
      </c>
      <c r="D200" s="12" t="s">
        <v>451</v>
      </c>
      <c r="M200">
        <v>4</v>
      </c>
      <c r="P200">
        <v>13</v>
      </c>
      <c r="Q200">
        <v>3.3</v>
      </c>
      <c r="R200">
        <v>0.45</v>
      </c>
      <c r="Z200" t="s">
        <v>940</v>
      </c>
    </row>
    <row r="201" spans="1:26">
      <c r="A201" s="1" t="s">
        <v>941</v>
      </c>
      <c r="B201" t="s">
        <v>459</v>
      </c>
      <c r="C201" t="s">
        <v>942</v>
      </c>
      <c r="D201" s="12" t="s">
        <v>461</v>
      </c>
      <c r="J201">
        <v>12</v>
      </c>
      <c r="K201">
        <v>2</v>
      </c>
      <c r="M201">
        <v>3</v>
      </c>
      <c r="P201">
        <v>5</v>
      </c>
      <c r="Q201">
        <v>3.2</v>
      </c>
      <c r="R201">
        <v>0.4</v>
      </c>
      <c r="Z201" t="s">
        <v>943</v>
      </c>
    </row>
    <row r="202" spans="1:27">
      <c r="A202" s="1" t="s">
        <v>944</v>
      </c>
      <c r="B202" t="s">
        <v>502</v>
      </c>
      <c r="C202" t="s">
        <v>945</v>
      </c>
      <c r="D202" s="12" t="s">
        <v>504</v>
      </c>
      <c r="F202">
        <v>7</v>
      </c>
      <c r="K202">
        <v>1</v>
      </c>
      <c r="Q202">
        <v>1</v>
      </c>
      <c r="V202" s="1" t="s">
        <v>505</v>
      </c>
      <c r="W202">
        <v>4</v>
      </c>
      <c r="X202" s="13">
        <v>0.25</v>
      </c>
      <c r="Y202" t="s">
        <v>506</v>
      </c>
      <c r="Z202" t="s">
        <v>507</v>
      </c>
      <c r="AA202" t="s">
        <v>508</v>
      </c>
    </row>
    <row r="203" spans="1:26">
      <c r="A203" s="1" t="s">
        <v>946</v>
      </c>
      <c r="B203" t="s">
        <v>459</v>
      </c>
      <c r="C203" t="s">
        <v>947</v>
      </c>
      <c r="D203" s="12" t="s">
        <v>461</v>
      </c>
      <c r="F203">
        <v>2</v>
      </c>
      <c r="K203">
        <v>7</v>
      </c>
      <c r="P203">
        <v>8</v>
      </c>
      <c r="Q203">
        <v>3.4</v>
      </c>
      <c r="R203">
        <v>0.65</v>
      </c>
      <c r="Z203" t="s">
        <v>948</v>
      </c>
    </row>
    <row r="204" spans="1:17">
      <c r="A204" s="1" t="s">
        <v>949</v>
      </c>
      <c r="B204" t="s">
        <v>440</v>
      </c>
      <c r="C204" t="s">
        <v>950</v>
      </c>
      <c r="D204" s="12" t="s">
        <v>442</v>
      </c>
      <c r="F204">
        <v>13</v>
      </c>
      <c r="K204">
        <v>1</v>
      </c>
      <c r="L204">
        <v>3</v>
      </c>
      <c r="Q204">
        <v>1</v>
      </c>
    </row>
    <row r="205" spans="1:26">
      <c r="A205" s="1" t="s">
        <v>951</v>
      </c>
      <c r="B205" t="s">
        <v>516</v>
      </c>
      <c r="C205" t="s">
        <v>952</v>
      </c>
      <c r="D205" s="12" t="s">
        <v>518</v>
      </c>
      <c r="G205">
        <v>6</v>
      </c>
      <c r="I205">
        <v>12</v>
      </c>
      <c r="J205">
        <v>5</v>
      </c>
      <c r="Q205">
        <v>1</v>
      </c>
      <c r="U205">
        <v>5</v>
      </c>
      <c r="Z205" t="s">
        <v>457</v>
      </c>
    </row>
    <row r="206" spans="1:26">
      <c r="A206" s="1" t="s">
        <v>953</v>
      </c>
      <c r="B206" t="s">
        <v>516</v>
      </c>
      <c r="C206" t="s">
        <v>954</v>
      </c>
      <c r="D206" s="12" t="s">
        <v>518</v>
      </c>
      <c r="G206">
        <v>14</v>
      </c>
      <c r="I206">
        <v>3</v>
      </c>
      <c r="K206">
        <v>2</v>
      </c>
      <c r="Q206">
        <v>1</v>
      </c>
      <c r="U206">
        <v>6</v>
      </c>
      <c r="Z206" t="s">
        <v>664</v>
      </c>
    </row>
    <row r="207" spans="1:26">
      <c r="A207" s="1" t="s">
        <v>955</v>
      </c>
      <c r="B207" t="s">
        <v>591</v>
      </c>
      <c r="C207" t="s">
        <v>956</v>
      </c>
      <c r="D207" s="12" t="s">
        <v>603</v>
      </c>
      <c r="F207">
        <v>3</v>
      </c>
      <c r="J207">
        <v>5</v>
      </c>
      <c r="K207">
        <v>5</v>
      </c>
      <c r="P207">
        <v>5</v>
      </c>
      <c r="Q207">
        <v>3.5</v>
      </c>
      <c r="R207">
        <v>0.75</v>
      </c>
      <c r="Z207" t="s">
        <v>957</v>
      </c>
    </row>
    <row r="208" spans="1:17">
      <c r="A208" s="1" t="s">
        <v>958</v>
      </c>
      <c r="B208" t="s">
        <v>528</v>
      </c>
      <c r="C208" t="s">
        <v>959</v>
      </c>
      <c r="D208" s="12" t="s">
        <v>6</v>
      </c>
      <c r="F208">
        <v>9</v>
      </c>
      <c r="G208">
        <v>5</v>
      </c>
      <c r="Q208">
        <v>1</v>
      </c>
    </row>
    <row r="209" spans="1:26">
      <c r="A209" s="1" t="s">
        <v>960</v>
      </c>
      <c r="B209" t="s">
        <v>440</v>
      </c>
      <c r="C209" t="s">
        <v>961</v>
      </c>
      <c r="D209" s="12" t="s">
        <v>442</v>
      </c>
      <c r="F209">
        <v>30</v>
      </c>
      <c r="L209">
        <v>4</v>
      </c>
      <c r="P209">
        <v>5</v>
      </c>
      <c r="Q209">
        <v>1</v>
      </c>
      <c r="R209">
        <v>0.25</v>
      </c>
      <c r="Z209" t="s">
        <v>443</v>
      </c>
    </row>
    <row r="210" spans="1:26">
      <c r="A210" s="1" t="s">
        <v>962</v>
      </c>
      <c r="B210" t="s">
        <v>459</v>
      </c>
      <c r="C210" t="s">
        <v>963</v>
      </c>
      <c r="D210" s="12" t="s">
        <v>461</v>
      </c>
      <c r="J210">
        <v>6</v>
      </c>
      <c r="M210">
        <v>5</v>
      </c>
      <c r="P210">
        <v>13</v>
      </c>
      <c r="Q210">
        <v>3.7</v>
      </c>
      <c r="R210">
        <v>0.78</v>
      </c>
      <c r="Z210" t="s">
        <v>964</v>
      </c>
    </row>
    <row r="211" spans="1:17">
      <c r="A211" s="1" t="s">
        <v>965</v>
      </c>
      <c r="B211" t="s">
        <v>591</v>
      </c>
      <c r="C211" t="s">
        <v>966</v>
      </c>
      <c r="D211" s="12" t="s">
        <v>593</v>
      </c>
      <c r="F211">
        <v>7</v>
      </c>
      <c r="K211">
        <v>2</v>
      </c>
      <c r="N211">
        <v>2</v>
      </c>
      <c r="Q211">
        <v>1</v>
      </c>
    </row>
    <row r="212" spans="1:17">
      <c r="A212" s="1" t="s">
        <v>967</v>
      </c>
      <c r="B212" t="s">
        <v>440</v>
      </c>
      <c r="C212" t="s">
        <v>968</v>
      </c>
      <c r="D212" s="12" t="s">
        <v>442</v>
      </c>
      <c r="F212">
        <v>28</v>
      </c>
      <c r="K212">
        <v>4</v>
      </c>
      <c r="L212">
        <v>4</v>
      </c>
      <c r="Q212">
        <v>1</v>
      </c>
    </row>
    <row r="213" spans="1:17">
      <c r="A213" s="1" t="s">
        <v>969</v>
      </c>
      <c r="B213" t="s">
        <v>484</v>
      </c>
      <c r="C213" t="s">
        <v>970</v>
      </c>
      <c r="D213" s="12" t="s">
        <v>486</v>
      </c>
      <c r="G213">
        <v>3</v>
      </c>
      <c r="I213">
        <v>17</v>
      </c>
      <c r="Q213">
        <v>1</v>
      </c>
    </row>
    <row r="214" spans="1:17">
      <c r="A214" s="1" t="s">
        <v>971</v>
      </c>
      <c r="B214" t="s">
        <v>440</v>
      </c>
      <c r="C214" t="s">
        <v>972</v>
      </c>
      <c r="D214" s="12" t="s">
        <v>442</v>
      </c>
      <c r="F214">
        <v>29</v>
      </c>
      <c r="H214">
        <v>1</v>
      </c>
      <c r="L214">
        <v>3</v>
      </c>
      <c r="Q214">
        <v>1</v>
      </c>
    </row>
    <row r="215" spans="1:17">
      <c r="A215" s="1" t="s">
        <v>973</v>
      </c>
      <c r="B215" t="s">
        <v>528</v>
      </c>
      <c r="C215" t="s">
        <v>974</v>
      </c>
      <c r="D215" s="12" t="s">
        <v>6</v>
      </c>
      <c r="G215">
        <v>13</v>
      </c>
      <c r="I215">
        <v>5</v>
      </c>
      <c r="K215">
        <v>2</v>
      </c>
      <c r="Q215">
        <v>1</v>
      </c>
    </row>
    <row r="216" spans="1:17">
      <c r="A216" s="1" t="s">
        <v>975</v>
      </c>
      <c r="B216" t="s">
        <v>440</v>
      </c>
      <c r="C216" t="s">
        <v>976</v>
      </c>
      <c r="D216" s="12" t="s">
        <v>442</v>
      </c>
      <c r="F216">
        <v>12</v>
      </c>
      <c r="K216">
        <v>3</v>
      </c>
      <c r="L216">
        <v>3</v>
      </c>
      <c r="Q216">
        <v>1</v>
      </c>
    </row>
    <row r="217" spans="1:26">
      <c r="A217" s="1" t="s">
        <v>977</v>
      </c>
      <c r="B217" t="s">
        <v>516</v>
      </c>
      <c r="C217" t="s">
        <v>978</v>
      </c>
      <c r="D217" t="s">
        <v>518</v>
      </c>
      <c r="G217">
        <v>15</v>
      </c>
      <c r="I217">
        <v>4</v>
      </c>
      <c r="K217">
        <v>2</v>
      </c>
      <c r="Q217">
        <v>1</v>
      </c>
      <c r="U217">
        <v>6</v>
      </c>
      <c r="Z217" t="s">
        <v>664</v>
      </c>
    </row>
    <row r="218" spans="1:17">
      <c r="A218" s="1" t="s">
        <v>979</v>
      </c>
      <c r="B218" t="s">
        <v>440</v>
      </c>
      <c r="C218" t="s">
        <v>980</v>
      </c>
      <c r="D218" s="12" t="s">
        <v>442</v>
      </c>
      <c r="F218">
        <v>8</v>
      </c>
      <c r="K218">
        <v>2</v>
      </c>
      <c r="L218">
        <v>2</v>
      </c>
      <c r="Q218">
        <v>1</v>
      </c>
    </row>
    <row r="219" spans="1:26">
      <c r="A219" s="1" t="s">
        <v>981</v>
      </c>
      <c r="B219" t="s">
        <v>559</v>
      </c>
      <c r="C219" t="s">
        <v>982</v>
      </c>
      <c r="D219" t="s">
        <v>561</v>
      </c>
      <c r="N219">
        <v>1</v>
      </c>
      <c r="P219">
        <v>14</v>
      </c>
      <c r="Q219">
        <v>1</v>
      </c>
      <c r="U219">
        <v>7</v>
      </c>
      <c r="Z219" t="s">
        <v>638</v>
      </c>
    </row>
    <row r="220" spans="1:26">
      <c r="A220" s="1" t="s">
        <v>983</v>
      </c>
      <c r="B220" t="s">
        <v>559</v>
      </c>
      <c r="C220" t="s">
        <v>984</v>
      </c>
      <c r="D220" t="s">
        <v>561</v>
      </c>
      <c r="M220">
        <v>3</v>
      </c>
      <c r="P220">
        <v>12</v>
      </c>
      <c r="Q220">
        <v>1</v>
      </c>
      <c r="U220">
        <v>6</v>
      </c>
      <c r="Z220" t="s">
        <v>664</v>
      </c>
    </row>
    <row r="221" spans="1:26">
      <c r="A221" s="1" t="s">
        <v>985</v>
      </c>
      <c r="B221" t="s">
        <v>516</v>
      </c>
      <c r="C221" t="s">
        <v>986</v>
      </c>
      <c r="D221" t="s">
        <v>518</v>
      </c>
      <c r="G221">
        <v>12</v>
      </c>
      <c r="I221">
        <v>2</v>
      </c>
      <c r="P221">
        <v>4</v>
      </c>
      <c r="Q221">
        <v>1</v>
      </c>
      <c r="U221">
        <v>6</v>
      </c>
      <c r="Z221" t="s">
        <v>664</v>
      </c>
    </row>
    <row r="222" spans="1:18">
      <c r="A222" s="1" t="s">
        <v>987</v>
      </c>
      <c r="B222" t="s">
        <v>440</v>
      </c>
      <c r="C222" t="s">
        <v>988</v>
      </c>
      <c r="D222" s="12" t="s">
        <v>442</v>
      </c>
      <c r="F222">
        <v>30</v>
      </c>
      <c r="K222">
        <v>3</v>
      </c>
      <c r="L222">
        <v>4</v>
      </c>
      <c r="P222">
        <v>6</v>
      </c>
      <c r="Q222">
        <v>1</v>
      </c>
      <c r="R222">
        <v>0.25</v>
      </c>
    </row>
    <row r="223" spans="1:17">
      <c r="A223" s="1" t="s">
        <v>989</v>
      </c>
      <c r="B223" t="s">
        <v>591</v>
      </c>
      <c r="C223" t="s">
        <v>990</v>
      </c>
      <c r="D223" s="12" t="s">
        <v>603</v>
      </c>
      <c r="F223">
        <v>10</v>
      </c>
      <c r="K223">
        <v>2</v>
      </c>
      <c r="Q223">
        <v>1</v>
      </c>
    </row>
    <row r="224" spans="1:17">
      <c r="A224" s="1" t="s">
        <v>991</v>
      </c>
      <c r="B224" t="s">
        <v>528</v>
      </c>
      <c r="C224" t="s">
        <v>992</v>
      </c>
      <c r="D224" t="s">
        <v>6</v>
      </c>
      <c r="G224">
        <v>6</v>
      </c>
      <c r="I224">
        <v>10</v>
      </c>
      <c r="M224">
        <v>2</v>
      </c>
      <c r="Q224">
        <v>1</v>
      </c>
    </row>
    <row r="225" spans="1:17">
      <c r="A225" s="1" t="s">
        <v>993</v>
      </c>
      <c r="B225" t="s">
        <v>467</v>
      </c>
      <c r="C225" t="s">
        <v>994</v>
      </c>
      <c r="D225" t="s">
        <v>469</v>
      </c>
      <c r="G225">
        <v>3</v>
      </c>
      <c r="J225">
        <v>7</v>
      </c>
      <c r="K225">
        <v>3</v>
      </c>
      <c r="Q225">
        <v>1</v>
      </c>
    </row>
    <row r="226" spans="1:17">
      <c r="A226" s="1" t="s">
        <v>995</v>
      </c>
      <c r="B226" t="s">
        <v>440</v>
      </c>
      <c r="C226" t="s">
        <v>996</v>
      </c>
      <c r="D226" s="12" t="s">
        <v>442</v>
      </c>
      <c r="F226">
        <v>28</v>
      </c>
      <c r="K226">
        <v>4</v>
      </c>
      <c r="L226">
        <v>3</v>
      </c>
      <c r="Q226">
        <v>1</v>
      </c>
    </row>
    <row r="227" spans="1:26">
      <c r="A227" s="1" t="s">
        <v>997</v>
      </c>
      <c r="B227" t="s">
        <v>559</v>
      </c>
      <c r="C227" t="s">
        <v>998</v>
      </c>
      <c r="D227" t="s">
        <v>561</v>
      </c>
      <c r="O227">
        <v>2</v>
      </c>
      <c r="P227">
        <v>13</v>
      </c>
      <c r="Q227">
        <v>1</v>
      </c>
      <c r="U227">
        <v>5</v>
      </c>
      <c r="Z227" t="s">
        <v>457</v>
      </c>
    </row>
    <row r="228" spans="1:26">
      <c r="A228" s="1" t="s">
        <v>999</v>
      </c>
      <c r="B228" t="s">
        <v>559</v>
      </c>
      <c r="C228" t="s">
        <v>1000</v>
      </c>
      <c r="D228" t="s">
        <v>561</v>
      </c>
      <c r="P228">
        <v>14</v>
      </c>
      <c r="Q228">
        <v>1</v>
      </c>
      <c r="U228">
        <v>5</v>
      </c>
      <c r="Z228" t="s">
        <v>457</v>
      </c>
    </row>
    <row r="229" spans="1:17">
      <c r="A229" s="1" t="s">
        <v>1001</v>
      </c>
      <c r="B229" t="s">
        <v>484</v>
      </c>
      <c r="C229" t="s">
        <v>1002</v>
      </c>
      <c r="D229" t="s">
        <v>486</v>
      </c>
      <c r="I229">
        <v>15</v>
      </c>
      <c r="M229">
        <v>3</v>
      </c>
      <c r="Q229">
        <v>1</v>
      </c>
    </row>
    <row r="230" spans="1:26">
      <c r="A230" s="1" t="s">
        <v>1003</v>
      </c>
      <c r="B230" t="s">
        <v>516</v>
      </c>
      <c r="C230" t="s">
        <v>1004</v>
      </c>
      <c r="D230" t="s">
        <v>518</v>
      </c>
      <c r="G230">
        <v>15</v>
      </c>
      <c r="I230">
        <v>2</v>
      </c>
      <c r="J230">
        <v>2</v>
      </c>
      <c r="K230">
        <v>3</v>
      </c>
      <c r="Q230">
        <v>1</v>
      </c>
      <c r="U230">
        <v>7</v>
      </c>
      <c r="Z230" t="s">
        <v>638</v>
      </c>
    </row>
    <row r="231" spans="1:17">
      <c r="A231" s="1" t="s">
        <v>1005</v>
      </c>
      <c r="B231" t="s">
        <v>528</v>
      </c>
      <c r="C231" t="s">
        <v>1006</v>
      </c>
      <c r="D231" s="12" t="s">
        <v>6</v>
      </c>
      <c r="G231">
        <v>19</v>
      </c>
      <c r="K231">
        <v>1</v>
      </c>
      <c r="Q231">
        <v>1</v>
      </c>
    </row>
    <row r="232" spans="1:17">
      <c r="A232" s="1" t="s">
        <v>1007</v>
      </c>
      <c r="B232" t="s">
        <v>440</v>
      </c>
      <c r="C232" t="s">
        <v>1008</v>
      </c>
      <c r="D232" s="12" t="s">
        <v>442</v>
      </c>
      <c r="F232">
        <v>32</v>
      </c>
      <c r="L232">
        <v>4</v>
      </c>
      <c r="Q232">
        <v>1</v>
      </c>
    </row>
    <row r="233" spans="1:21">
      <c r="A233" s="1" t="s">
        <v>1009</v>
      </c>
      <c r="B233" t="s">
        <v>559</v>
      </c>
      <c r="C233" t="s">
        <v>1010</v>
      </c>
      <c r="D233" s="12" t="s">
        <v>561</v>
      </c>
      <c r="O233">
        <v>4</v>
      </c>
      <c r="P233">
        <v>16</v>
      </c>
      <c r="Q233">
        <v>1</v>
      </c>
      <c r="U233">
        <v>9</v>
      </c>
    </row>
    <row r="234" spans="1:17">
      <c r="A234" s="1" t="s">
        <v>1011</v>
      </c>
      <c r="B234" t="s">
        <v>440</v>
      </c>
      <c r="C234" t="s">
        <v>1012</v>
      </c>
      <c r="D234" s="12" t="s">
        <v>442</v>
      </c>
      <c r="F234">
        <v>13</v>
      </c>
      <c r="K234">
        <v>-3</v>
      </c>
      <c r="L234">
        <v>1</v>
      </c>
      <c r="Q234">
        <v>1</v>
      </c>
    </row>
    <row r="235" spans="1:17">
      <c r="A235" s="1" t="s">
        <v>1013</v>
      </c>
      <c r="B235" t="s">
        <v>467</v>
      </c>
      <c r="C235" t="s">
        <v>1014</v>
      </c>
      <c r="D235" t="s">
        <v>469</v>
      </c>
      <c r="M235">
        <v>12</v>
      </c>
      <c r="Q235">
        <v>1</v>
      </c>
    </row>
    <row r="236" spans="1:17">
      <c r="A236" s="1" t="s">
        <v>1015</v>
      </c>
      <c r="B236" t="s">
        <v>440</v>
      </c>
      <c r="C236" t="s">
        <v>1016</v>
      </c>
      <c r="D236" t="s">
        <v>442</v>
      </c>
      <c r="F236">
        <v>10</v>
      </c>
      <c r="L236">
        <v>3</v>
      </c>
      <c r="Q236">
        <v>1</v>
      </c>
    </row>
    <row r="237" spans="1:21">
      <c r="A237" s="1" t="s">
        <v>1017</v>
      </c>
      <c r="B237" t="s">
        <v>605</v>
      </c>
      <c r="C237" t="s">
        <v>1018</v>
      </c>
      <c r="D237" s="12" t="s">
        <v>607</v>
      </c>
      <c r="F237">
        <v>19</v>
      </c>
      <c r="P237">
        <v>17</v>
      </c>
      <c r="Q237">
        <v>3.7</v>
      </c>
      <c r="R237">
        <v>0.8</v>
      </c>
      <c r="T237">
        <v>21</v>
      </c>
      <c r="U237">
        <v>9</v>
      </c>
    </row>
    <row r="238" spans="1:17">
      <c r="A238" s="1" t="s">
        <v>1019</v>
      </c>
      <c r="B238" t="s">
        <v>467</v>
      </c>
      <c r="C238" t="s">
        <v>1020</v>
      </c>
      <c r="D238" t="s">
        <v>469</v>
      </c>
      <c r="J238">
        <v>3</v>
      </c>
      <c r="M238">
        <v>7</v>
      </c>
      <c r="Q238">
        <v>1</v>
      </c>
    </row>
    <row r="239" spans="1:26">
      <c r="A239" s="1" t="s">
        <v>1021</v>
      </c>
      <c r="B239" t="s">
        <v>516</v>
      </c>
      <c r="C239" t="s">
        <v>1022</v>
      </c>
      <c r="D239" t="s">
        <v>518</v>
      </c>
      <c r="G239">
        <v>12</v>
      </c>
      <c r="I239">
        <v>6</v>
      </c>
      <c r="J239">
        <v>2</v>
      </c>
      <c r="Q239">
        <v>1</v>
      </c>
      <c r="U239">
        <v>6</v>
      </c>
      <c r="Z239" t="s">
        <v>664</v>
      </c>
    </row>
    <row r="240" spans="1:26">
      <c r="A240" s="1" t="s">
        <v>1023</v>
      </c>
      <c r="B240" t="s">
        <v>440</v>
      </c>
      <c r="C240" t="s">
        <v>1024</v>
      </c>
      <c r="D240" t="s">
        <v>442</v>
      </c>
      <c r="F240">
        <v>21</v>
      </c>
      <c r="K240">
        <v>5</v>
      </c>
      <c r="L240">
        <v>3</v>
      </c>
      <c r="P240">
        <v>6</v>
      </c>
      <c r="Q240">
        <v>1</v>
      </c>
      <c r="R240">
        <v>0.25</v>
      </c>
      <c r="Z240" t="s">
        <v>443</v>
      </c>
    </row>
    <row r="241" spans="1:27">
      <c r="A241" s="1" t="s">
        <v>1025</v>
      </c>
      <c r="B241" t="s">
        <v>454</v>
      </c>
      <c r="C241" t="s">
        <v>1026</v>
      </c>
      <c r="D241" t="s">
        <v>456</v>
      </c>
      <c r="K241">
        <v>-1</v>
      </c>
      <c r="O241">
        <v>12</v>
      </c>
      <c r="Q241">
        <v>1</v>
      </c>
      <c r="U241">
        <v>5</v>
      </c>
      <c r="V241" s="1" t="s">
        <v>511</v>
      </c>
      <c r="X241">
        <v>0.15</v>
      </c>
      <c r="Z241" t="s">
        <v>1027</v>
      </c>
      <c r="AA241" s="1" t="s">
        <v>621</v>
      </c>
    </row>
    <row r="242" spans="1:17">
      <c r="A242" s="1" t="s">
        <v>1028</v>
      </c>
      <c r="B242" t="s">
        <v>440</v>
      </c>
      <c r="C242" t="s">
        <v>1029</v>
      </c>
      <c r="D242" t="s">
        <v>442</v>
      </c>
      <c r="F242">
        <v>13</v>
      </c>
      <c r="K242">
        <v>1</v>
      </c>
      <c r="L242">
        <v>3</v>
      </c>
      <c r="Q242">
        <v>1</v>
      </c>
    </row>
    <row r="243" spans="1:26">
      <c r="A243" s="1" t="s">
        <v>1030</v>
      </c>
      <c r="B243" t="s">
        <v>516</v>
      </c>
      <c r="C243" t="s">
        <v>1031</v>
      </c>
      <c r="D243" t="s">
        <v>518</v>
      </c>
      <c r="G243">
        <v>2</v>
      </c>
      <c r="I243">
        <v>11</v>
      </c>
      <c r="J243">
        <v>3</v>
      </c>
      <c r="Q243">
        <v>1</v>
      </c>
      <c r="U243">
        <v>4</v>
      </c>
      <c r="Z243" t="s">
        <v>522</v>
      </c>
    </row>
    <row r="244" spans="1:17">
      <c r="A244" s="1" t="s">
        <v>1032</v>
      </c>
      <c r="B244" t="s">
        <v>528</v>
      </c>
      <c r="C244" t="s">
        <v>1033</v>
      </c>
      <c r="D244" t="s">
        <v>6</v>
      </c>
      <c r="G244">
        <v>13</v>
      </c>
      <c r="K244">
        <v>4</v>
      </c>
      <c r="Q244">
        <v>1</v>
      </c>
    </row>
    <row r="245" spans="1:26">
      <c r="A245" s="1" t="s">
        <v>1034</v>
      </c>
      <c r="B245" t="s">
        <v>454</v>
      </c>
      <c r="C245" t="s">
        <v>1035</v>
      </c>
      <c r="D245" t="s">
        <v>456</v>
      </c>
      <c r="K245">
        <v>3</v>
      </c>
      <c r="O245">
        <v>13</v>
      </c>
      <c r="Q245">
        <v>1</v>
      </c>
      <c r="U245">
        <v>5</v>
      </c>
      <c r="Z245" t="s">
        <v>457</v>
      </c>
    </row>
    <row r="246" spans="1:26">
      <c r="A246" s="1" t="s">
        <v>1036</v>
      </c>
      <c r="B246" t="s">
        <v>559</v>
      </c>
      <c r="C246" t="s">
        <v>1037</v>
      </c>
      <c r="D246" t="s">
        <v>561</v>
      </c>
      <c r="O246">
        <v>2</v>
      </c>
      <c r="P246">
        <v>14</v>
      </c>
      <c r="Q246">
        <v>1</v>
      </c>
      <c r="U246">
        <v>7</v>
      </c>
      <c r="Z246" t="s">
        <v>638</v>
      </c>
    </row>
    <row r="247" spans="1:17">
      <c r="A247" s="1" t="s">
        <v>1038</v>
      </c>
      <c r="B247" t="s">
        <v>440</v>
      </c>
      <c r="C247" t="s">
        <v>1039</v>
      </c>
      <c r="D247" s="12" t="s">
        <v>442</v>
      </c>
      <c r="F247">
        <v>32</v>
      </c>
      <c r="K247">
        <v>1</v>
      </c>
      <c r="L247">
        <v>4</v>
      </c>
      <c r="M247">
        <v>-3</v>
      </c>
      <c r="Q247">
        <v>1</v>
      </c>
    </row>
    <row r="248" spans="1:17">
      <c r="A248" s="1" t="s">
        <v>1040</v>
      </c>
      <c r="B248" t="s">
        <v>440</v>
      </c>
      <c r="C248" t="s">
        <v>1041</v>
      </c>
      <c r="D248" t="s">
        <v>442</v>
      </c>
      <c r="F248">
        <v>12</v>
      </c>
      <c r="H248">
        <v>2</v>
      </c>
      <c r="K248">
        <v>1</v>
      </c>
      <c r="L248">
        <v>3</v>
      </c>
      <c r="Q248">
        <v>1</v>
      </c>
    </row>
    <row r="249" spans="1:17">
      <c r="A249" s="1" t="s">
        <v>1042</v>
      </c>
      <c r="B249" t="s">
        <v>591</v>
      </c>
      <c r="C249" t="s">
        <v>1043</v>
      </c>
      <c r="D249" s="12" t="s">
        <v>593</v>
      </c>
      <c r="F249">
        <v>1</v>
      </c>
      <c r="K249">
        <v>2</v>
      </c>
      <c r="M249">
        <v>6</v>
      </c>
      <c r="Q249">
        <v>1</v>
      </c>
    </row>
    <row r="250" spans="1:27">
      <c r="A250" s="1" t="s">
        <v>1044</v>
      </c>
      <c r="B250" t="s">
        <v>454</v>
      </c>
      <c r="C250" t="s">
        <v>1045</v>
      </c>
      <c r="D250" s="12" t="s">
        <v>456</v>
      </c>
      <c r="O250">
        <v>10</v>
      </c>
      <c r="P250">
        <v>9</v>
      </c>
      <c r="Q250">
        <v>1</v>
      </c>
      <c r="U250">
        <v>6</v>
      </c>
      <c r="V250" s="1" t="s">
        <v>511</v>
      </c>
      <c r="X250" s="13">
        <v>0.1</v>
      </c>
      <c r="AA250" t="s">
        <v>600</v>
      </c>
    </row>
    <row r="251" spans="1:27">
      <c r="A251" s="1" t="s">
        <v>1046</v>
      </c>
      <c r="B251" t="s">
        <v>595</v>
      </c>
      <c r="C251" t="s">
        <v>1047</v>
      </c>
      <c r="D251" s="12" t="s">
        <v>597</v>
      </c>
      <c r="F251">
        <v>22</v>
      </c>
      <c r="Q251">
        <v>1</v>
      </c>
      <c r="S251">
        <v>22</v>
      </c>
      <c r="U251">
        <v>10</v>
      </c>
      <c r="V251" s="1" t="s">
        <v>1048</v>
      </c>
      <c r="Z251" t="s">
        <v>1049</v>
      </c>
      <c r="AA251" s="1" t="s">
        <v>1050</v>
      </c>
    </row>
    <row r="252" spans="1:27">
      <c r="A252" s="1" t="s">
        <v>1051</v>
      </c>
      <c r="B252" t="s">
        <v>591</v>
      </c>
      <c r="C252" t="s">
        <v>1052</v>
      </c>
      <c r="D252" s="12" t="s">
        <v>593</v>
      </c>
      <c r="F252">
        <v>3</v>
      </c>
      <c r="K252">
        <v>2</v>
      </c>
      <c r="Q252">
        <v>1</v>
      </c>
      <c r="V252" s="1" t="s">
        <v>1053</v>
      </c>
      <c r="Z252" t="s">
        <v>1054</v>
      </c>
      <c r="AA252" s="1" t="s">
        <v>1055</v>
      </c>
    </row>
    <row r="253" spans="1:21">
      <c r="A253" s="1" t="s">
        <v>1056</v>
      </c>
      <c r="B253" t="s">
        <v>595</v>
      </c>
      <c r="C253" t="s">
        <v>1057</v>
      </c>
      <c r="D253" s="12" t="s">
        <v>597</v>
      </c>
      <c r="F253">
        <v>23</v>
      </c>
      <c r="P253">
        <v>15</v>
      </c>
      <c r="Q253">
        <v>3.7</v>
      </c>
      <c r="R253">
        <v>0.75</v>
      </c>
      <c r="S253">
        <v>26</v>
      </c>
      <c r="U253">
        <v>10</v>
      </c>
    </row>
    <row r="254" spans="1:17">
      <c r="A254" s="1" t="s">
        <v>1058</v>
      </c>
      <c r="B254" t="s">
        <v>591</v>
      </c>
      <c r="C254" t="s">
        <v>1059</v>
      </c>
      <c r="D254" s="12" t="s">
        <v>593</v>
      </c>
      <c r="F254">
        <v>6</v>
      </c>
      <c r="P254">
        <v>6</v>
      </c>
      <c r="Q254">
        <v>1</v>
      </c>
    </row>
    <row r="255" spans="1:27">
      <c r="A255" s="1" t="s">
        <v>1060</v>
      </c>
      <c r="B255" t="s">
        <v>528</v>
      </c>
      <c r="C255" t="s">
        <v>1061</v>
      </c>
      <c r="D255" s="12" t="s">
        <v>6</v>
      </c>
      <c r="G255">
        <v>12</v>
      </c>
      <c r="Q255">
        <v>1</v>
      </c>
      <c r="V255" s="1" t="s">
        <v>1062</v>
      </c>
      <c r="Z255" s="32" t="s">
        <v>1063</v>
      </c>
      <c r="AA255" s="33" t="s">
        <v>1064</v>
      </c>
    </row>
    <row r="256" spans="1:27">
      <c r="A256" s="1" t="s">
        <v>1065</v>
      </c>
      <c r="B256" t="s">
        <v>454</v>
      </c>
      <c r="C256" t="s">
        <v>1066</v>
      </c>
      <c r="D256" s="12" t="s">
        <v>456</v>
      </c>
      <c r="O256">
        <v>12</v>
      </c>
      <c r="Q256">
        <v>1</v>
      </c>
      <c r="U256">
        <v>5</v>
      </c>
      <c r="V256" s="1" t="s">
        <v>511</v>
      </c>
      <c r="X256" s="13">
        <v>0.25</v>
      </c>
      <c r="AA256" t="s">
        <v>744</v>
      </c>
    </row>
    <row r="257" spans="1:27">
      <c r="A257" s="1" t="s">
        <v>1067</v>
      </c>
      <c r="B257" t="s">
        <v>516</v>
      </c>
      <c r="C257" t="s">
        <v>1068</v>
      </c>
      <c r="D257" s="12" t="s">
        <v>518</v>
      </c>
      <c r="G257">
        <v>12</v>
      </c>
      <c r="K257">
        <v>2</v>
      </c>
      <c r="Q257">
        <v>1</v>
      </c>
      <c r="U257">
        <v>5</v>
      </c>
      <c r="V257" s="1" t="s">
        <v>1069</v>
      </c>
      <c r="Z257" t="s">
        <v>1070</v>
      </c>
      <c r="AA257" s="1" t="s">
        <v>1071</v>
      </c>
    </row>
    <row r="258" spans="1:17">
      <c r="A258" s="1" t="s">
        <v>1072</v>
      </c>
      <c r="B258" t="s">
        <v>459</v>
      </c>
      <c r="C258" t="s">
        <v>1073</v>
      </c>
      <c r="D258" s="12" t="s">
        <v>461</v>
      </c>
      <c r="E258">
        <v>1</v>
      </c>
      <c r="J258">
        <v>6</v>
      </c>
      <c r="K258">
        <v>9</v>
      </c>
      <c r="M258">
        <v>3</v>
      </c>
      <c r="Q258">
        <v>1</v>
      </c>
    </row>
    <row r="259" spans="1:26">
      <c r="A259" s="1" t="s">
        <v>1074</v>
      </c>
      <c r="B259" t="s">
        <v>440</v>
      </c>
      <c r="C259" t="s">
        <v>1075</v>
      </c>
      <c r="D259" t="s">
        <v>442</v>
      </c>
      <c r="F259">
        <v>21</v>
      </c>
      <c r="K259">
        <v>6</v>
      </c>
      <c r="L259">
        <v>3</v>
      </c>
      <c r="Q259">
        <v>1</v>
      </c>
      <c r="Z259" t="s">
        <v>1076</v>
      </c>
    </row>
    <row r="260" spans="1:27">
      <c r="A260" s="1" t="s">
        <v>1077</v>
      </c>
      <c r="B260" t="s">
        <v>459</v>
      </c>
      <c r="C260" t="s">
        <v>1078</v>
      </c>
      <c r="D260" s="12" t="s">
        <v>461</v>
      </c>
      <c r="J260">
        <v>5</v>
      </c>
      <c r="K260">
        <v>1</v>
      </c>
      <c r="M260">
        <v>3</v>
      </c>
      <c r="P260">
        <v>10</v>
      </c>
      <c r="Q260">
        <v>3.2</v>
      </c>
      <c r="R260">
        <v>0.75</v>
      </c>
      <c r="V260" s="1" t="s">
        <v>1079</v>
      </c>
      <c r="X260" s="13" t="s">
        <v>1080</v>
      </c>
      <c r="Z260" s="32" t="s">
        <v>1081</v>
      </c>
      <c r="AA260" s="33" t="s">
        <v>1082</v>
      </c>
    </row>
    <row r="261" spans="1:27">
      <c r="A261" s="1" t="s">
        <v>1083</v>
      </c>
      <c r="B261" t="s">
        <v>528</v>
      </c>
      <c r="C261" t="s">
        <v>1084</v>
      </c>
      <c r="D261" s="12" t="s">
        <v>6</v>
      </c>
      <c r="G261">
        <v>6</v>
      </c>
      <c r="M261">
        <v>2</v>
      </c>
      <c r="Q261">
        <v>1</v>
      </c>
      <c r="V261" s="1" t="s">
        <v>1085</v>
      </c>
      <c r="Z261" s="32" t="s">
        <v>1086</v>
      </c>
      <c r="AA261" s="33" t="s">
        <v>1087</v>
      </c>
    </row>
    <row r="262" spans="1:18">
      <c r="A262" s="1" t="s">
        <v>1088</v>
      </c>
      <c r="B262" t="s">
        <v>440</v>
      </c>
      <c r="C262" t="s">
        <v>1089</v>
      </c>
      <c r="D262" s="12" t="s">
        <v>442</v>
      </c>
      <c r="F262">
        <v>27</v>
      </c>
      <c r="K262">
        <v>1</v>
      </c>
      <c r="L262">
        <v>4</v>
      </c>
      <c r="P262">
        <v>1</v>
      </c>
      <c r="Q262">
        <v>1</v>
      </c>
      <c r="R262">
        <v>0.25</v>
      </c>
    </row>
    <row r="263" spans="1:18">
      <c r="A263" s="1" t="s">
        <v>1090</v>
      </c>
      <c r="B263" t="s">
        <v>449</v>
      </c>
      <c r="C263" t="s">
        <v>1091</v>
      </c>
      <c r="D263" s="12" t="s">
        <v>451</v>
      </c>
      <c r="F263">
        <v>3</v>
      </c>
      <c r="P263">
        <v>14</v>
      </c>
      <c r="Q263">
        <v>3.5</v>
      </c>
      <c r="R263">
        <v>0.5</v>
      </c>
    </row>
    <row r="264" spans="1:27">
      <c r="A264" s="1" t="s">
        <v>1092</v>
      </c>
      <c r="B264" t="s">
        <v>454</v>
      </c>
      <c r="C264" t="s">
        <v>1093</v>
      </c>
      <c r="D264" s="12" t="s">
        <v>456</v>
      </c>
      <c r="O264">
        <v>20</v>
      </c>
      <c r="Q264">
        <v>1</v>
      </c>
      <c r="U264">
        <v>14</v>
      </c>
      <c r="V264" s="1" t="s">
        <v>1094</v>
      </c>
      <c r="Z264" s="32" t="s">
        <v>1095</v>
      </c>
      <c r="AA264" s="33" t="s">
        <v>1096</v>
      </c>
    </row>
    <row r="265" spans="1:27">
      <c r="A265" s="1" t="s">
        <v>1097</v>
      </c>
      <c r="B265" t="s">
        <v>467</v>
      </c>
      <c r="C265" t="s">
        <v>1098</v>
      </c>
      <c r="D265" s="12" t="s">
        <v>469</v>
      </c>
      <c r="G265">
        <v>2</v>
      </c>
      <c r="K265">
        <v>3</v>
      </c>
      <c r="M265">
        <v>5</v>
      </c>
      <c r="Q265">
        <v>1</v>
      </c>
      <c r="V265" s="1" t="s">
        <v>1099</v>
      </c>
      <c r="X265" s="13">
        <v>0.25</v>
      </c>
      <c r="Z265" s="32" t="s">
        <v>1100</v>
      </c>
      <c r="AA265" s="33" t="s">
        <v>1101</v>
      </c>
    </row>
    <row r="266" spans="1:27">
      <c r="A266" s="1" t="s">
        <v>1102</v>
      </c>
      <c r="B266" t="s">
        <v>459</v>
      </c>
      <c r="C266" t="s">
        <v>1103</v>
      </c>
      <c r="D266" s="12" t="s">
        <v>461</v>
      </c>
      <c r="J266">
        <v>4</v>
      </c>
      <c r="K266">
        <v>4</v>
      </c>
      <c r="P266">
        <v>11</v>
      </c>
      <c r="Q266">
        <v>3.5</v>
      </c>
      <c r="R266">
        <v>0.7</v>
      </c>
      <c r="V266" s="1" t="s">
        <v>1079</v>
      </c>
      <c r="X266" s="13" t="s">
        <v>1104</v>
      </c>
      <c r="Z266" s="32" t="s">
        <v>1105</v>
      </c>
      <c r="AA266" s="33" t="s">
        <v>1106</v>
      </c>
    </row>
    <row r="267" spans="1:18">
      <c r="A267" s="1" t="s">
        <v>1107</v>
      </c>
      <c r="B267" t="s">
        <v>440</v>
      </c>
      <c r="C267" t="s">
        <v>1108</v>
      </c>
      <c r="D267" s="12" t="s">
        <v>442</v>
      </c>
      <c r="F267">
        <v>27</v>
      </c>
      <c r="K267">
        <v>2</v>
      </c>
      <c r="L267">
        <v>3</v>
      </c>
      <c r="P267">
        <v>2</v>
      </c>
      <c r="Q267">
        <v>1</v>
      </c>
      <c r="R267">
        <v>0.25</v>
      </c>
    </row>
    <row r="268" spans="1:27">
      <c r="A268" s="1" t="s">
        <v>1109</v>
      </c>
      <c r="B268" t="s">
        <v>559</v>
      </c>
      <c r="C268" t="s">
        <v>1110</v>
      </c>
      <c r="D268" s="12" t="s">
        <v>561</v>
      </c>
      <c r="M268">
        <v>4</v>
      </c>
      <c r="P268">
        <v>14</v>
      </c>
      <c r="Q268">
        <v>1</v>
      </c>
      <c r="U268">
        <v>8</v>
      </c>
      <c r="V268" s="1" t="s">
        <v>1111</v>
      </c>
      <c r="Z268" t="s">
        <v>1112</v>
      </c>
      <c r="AA268" s="1" t="s">
        <v>1113</v>
      </c>
    </row>
    <row r="269" spans="1:18">
      <c r="A269" s="1" t="s">
        <v>1114</v>
      </c>
      <c r="B269" t="s">
        <v>440</v>
      </c>
      <c r="C269" t="s">
        <v>1115</v>
      </c>
      <c r="D269" s="12" t="s">
        <v>442</v>
      </c>
      <c r="F269">
        <v>29</v>
      </c>
      <c r="L269">
        <v>3</v>
      </c>
      <c r="P269">
        <v>3</v>
      </c>
      <c r="Q269">
        <v>1</v>
      </c>
      <c r="R269">
        <v>0.25</v>
      </c>
    </row>
    <row r="270" spans="1:27">
      <c r="A270" s="1" t="s">
        <v>1116</v>
      </c>
      <c r="B270" t="s">
        <v>559</v>
      </c>
      <c r="C270" t="s">
        <v>1117</v>
      </c>
      <c r="D270" s="12" t="s">
        <v>561</v>
      </c>
      <c r="M270">
        <v>1</v>
      </c>
      <c r="P270">
        <v>15</v>
      </c>
      <c r="Q270">
        <v>1</v>
      </c>
      <c r="U270">
        <v>5</v>
      </c>
      <c r="V270" s="1" t="s">
        <v>1118</v>
      </c>
      <c r="Z270" s="32" t="s">
        <v>1119</v>
      </c>
      <c r="AA270" s="33" t="s">
        <v>1120</v>
      </c>
    </row>
    <row r="271" spans="1:17">
      <c r="A271" s="1" t="s">
        <v>1121</v>
      </c>
      <c r="B271" t="s">
        <v>440</v>
      </c>
      <c r="C271" t="s">
        <v>1122</v>
      </c>
      <c r="D271" s="12" t="s">
        <v>442</v>
      </c>
      <c r="F271">
        <v>30</v>
      </c>
      <c r="K271">
        <v>2</v>
      </c>
      <c r="L271">
        <v>4</v>
      </c>
      <c r="Q271">
        <v>1</v>
      </c>
    </row>
    <row r="272" spans="1:27">
      <c r="A272" s="1" t="s">
        <v>1123</v>
      </c>
      <c r="B272" t="s">
        <v>440</v>
      </c>
      <c r="C272" t="s">
        <v>1124</v>
      </c>
      <c r="D272" s="12" t="s">
        <v>442</v>
      </c>
      <c r="F272">
        <v>20</v>
      </c>
      <c r="K272">
        <v>4</v>
      </c>
      <c r="L272">
        <v>3</v>
      </c>
      <c r="Q272">
        <v>1</v>
      </c>
      <c r="V272" s="1" t="s">
        <v>1125</v>
      </c>
      <c r="Z272" s="32" t="s">
        <v>1126</v>
      </c>
      <c r="AA272" s="33" t="s">
        <v>1127</v>
      </c>
    </row>
    <row r="273" spans="1:27">
      <c r="A273" s="1" t="s">
        <v>1128</v>
      </c>
      <c r="B273" t="s">
        <v>516</v>
      </c>
      <c r="C273" t="s">
        <v>1129</v>
      </c>
      <c r="D273" s="12" t="s">
        <v>518</v>
      </c>
      <c r="G273">
        <v>18</v>
      </c>
      <c r="I273">
        <v>5</v>
      </c>
      <c r="K273">
        <v>1</v>
      </c>
      <c r="Q273">
        <v>1</v>
      </c>
      <c r="U273">
        <v>8</v>
      </c>
      <c r="V273" s="1" t="s">
        <v>511</v>
      </c>
      <c r="X273" s="13">
        <v>0.25</v>
      </c>
      <c r="AA273" t="s">
        <v>744</v>
      </c>
    </row>
    <row r="274" spans="1:18">
      <c r="A274" s="1" t="s">
        <v>1130</v>
      </c>
      <c r="B274" t="s">
        <v>449</v>
      </c>
      <c r="C274" t="s">
        <v>1131</v>
      </c>
      <c r="D274" s="12" t="s">
        <v>451</v>
      </c>
      <c r="K274">
        <v>1</v>
      </c>
      <c r="P274">
        <v>16</v>
      </c>
      <c r="Q274">
        <v>3.5</v>
      </c>
      <c r="R274">
        <v>0.5</v>
      </c>
    </row>
    <row r="275" spans="1:26">
      <c r="A275" s="1" t="s">
        <v>1132</v>
      </c>
      <c r="B275" t="s">
        <v>559</v>
      </c>
      <c r="C275" t="s">
        <v>1133</v>
      </c>
      <c r="D275" t="s">
        <v>561</v>
      </c>
      <c r="O275">
        <v>3</v>
      </c>
      <c r="P275">
        <v>13</v>
      </c>
      <c r="Q275">
        <v>1</v>
      </c>
      <c r="U275">
        <v>6</v>
      </c>
      <c r="Z275" t="s">
        <v>664</v>
      </c>
    </row>
    <row r="276" spans="1:17">
      <c r="A276" s="1" t="s">
        <v>1134</v>
      </c>
      <c r="B276" t="s">
        <v>440</v>
      </c>
      <c r="C276" t="s">
        <v>1135</v>
      </c>
      <c r="D276" s="12" t="s">
        <v>442</v>
      </c>
      <c r="F276">
        <v>31</v>
      </c>
      <c r="L276">
        <v>3</v>
      </c>
      <c r="Q276">
        <v>1</v>
      </c>
    </row>
    <row r="277" spans="1:17">
      <c r="A277" s="1" t="s">
        <v>1136</v>
      </c>
      <c r="B277" t="s">
        <v>440</v>
      </c>
      <c r="C277" t="s">
        <v>1137</v>
      </c>
      <c r="D277" s="12" t="s">
        <v>442</v>
      </c>
      <c r="F277">
        <v>24</v>
      </c>
      <c r="H277">
        <v>4</v>
      </c>
      <c r="K277">
        <v>2</v>
      </c>
      <c r="L277">
        <v>3</v>
      </c>
      <c r="Q277">
        <v>1</v>
      </c>
    </row>
    <row r="278" spans="1:27">
      <c r="A278" s="1" t="s">
        <v>1138</v>
      </c>
      <c r="B278" t="s">
        <v>1139</v>
      </c>
      <c r="C278" t="s">
        <v>1140</v>
      </c>
      <c r="D278" s="12" t="s">
        <v>1141</v>
      </c>
      <c r="F278">
        <v>25</v>
      </c>
      <c r="Q278">
        <v>1</v>
      </c>
      <c r="S278">
        <v>22</v>
      </c>
      <c r="U278">
        <v>12</v>
      </c>
      <c r="V278" s="1" t="s">
        <v>1142</v>
      </c>
      <c r="Z278" t="s">
        <v>1143</v>
      </c>
      <c r="AA278" s="1" t="s">
        <v>1144</v>
      </c>
    </row>
    <row r="279" spans="1:27">
      <c r="A279" s="1" t="s">
        <v>1145</v>
      </c>
      <c r="B279" t="s">
        <v>591</v>
      </c>
      <c r="C279" t="s">
        <v>1146</v>
      </c>
      <c r="D279" s="12" t="s">
        <v>593</v>
      </c>
      <c r="F279">
        <v>4</v>
      </c>
      <c r="K279">
        <v>2</v>
      </c>
      <c r="Q279">
        <v>1</v>
      </c>
      <c r="V279" s="1" t="s">
        <v>1147</v>
      </c>
      <c r="Z279" t="s">
        <v>1148</v>
      </c>
      <c r="AA279" s="1" t="s">
        <v>1149</v>
      </c>
    </row>
    <row r="280" spans="1:21">
      <c r="A280" s="1" t="s">
        <v>1150</v>
      </c>
      <c r="B280" t="s">
        <v>559</v>
      </c>
      <c r="C280" t="s">
        <v>1151</v>
      </c>
      <c r="D280" s="12" t="s">
        <v>561</v>
      </c>
      <c r="O280">
        <v>6</v>
      </c>
      <c r="P280">
        <v>15</v>
      </c>
      <c r="Q280">
        <v>1</v>
      </c>
      <c r="U280">
        <v>8</v>
      </c>
    </row>
    <row r="281" spans="1:17">
      <c r="A281" s="1" t="s">
        <v>1152</v>
      </c>
      <c r="B281" t="s">
        <v>440</v>
      </c>
      <c r="C281" t="s">
        <v>1153</v>
      </c>
      <c r="D281" s="12" t="s">
        <v>442</v>
      </c>
      <c r="F281">
        <v>28</v>
      </c>
      <c r="L281">
        <v>3</v>
      </c>
      <c r="Q281">
        <v>1</v>
      </c>
    </row>
    <row r="282" spans="1:17">
      <c r="A282" s="1" t="s">
        <v>1154</v>
      </c>
      <c r="B282" t="s">
        <v>440</v>
      </c>
      <c r="C282" t="s">
        <v>1155</v>
      </c>
      <c r="D282" s="12" t="s">
        <v>442</v>
      </c>
      <c r="F282">
        <v>33</v>
      </c>
      <c r="L282">
        <v>4</v>
      </c>
      <c r="Q282">
        <v>1</v>
      </c>
    </row>
    <row r="283" spans="1:27">
      <c r="A283" s="1" t="s">
        <v>1156</v>
      </c>
      <c r="B283" t="s">
        <v>516</v>
      </c>
      <c r="C283" t="s">
        <v>1157</v>
      </c>
      <c r="D283" s="12" t="s">
        <v>518</v>
      </c>
      <c r="G283">
        <v>15</v>
      </c>
      <c r="I283">
        <v>3</v>
      </c>
      <c r="J283">
        <v>2</v>
      </c>
      <c r="K283">
        <v>1</v>
      </c>
      <c r="Q283">
        <v>1</v>
      </c>
      <c r="U283">
        <v>6</v>
      </c>
      <c r="V283" s="1" t="s">
        <v>1158</v>
      </c>
      <c r="Z283" t="s">
        <v>1159</v>
      </c>
      <c r="AA283" s="1" t="s">
        <v>1160</v>
      </c>
    </row>
    <row r="284" spans="1:27">
      <c r="A284" s="1" t="s">
        <v>1161</v>
      </c>
      <c r="B284" t="s">
        <v>605</v>
      </c>
      <c r="C284" t="s">
        <v>1162</v>
      </c>
      <c r="D284" s="12" t="s">
        <v>607</v>
      </c>
      <c r="F284">
        <v>14</v>
      </c>
      <c r="P284">
        <v>17</v>
      </c>
      <c r="Q284">
        <v>3.8</v>
      </c>
      <c r="R284">
        <v>0.8</v>
      </c>
      <c r="T284">
        <v>21</v>
      </c>
      <c r="U284">
        <v>6</v>
      </c>
      <c r="V284" s="1" t="s">
        <v>1163</v>
      </c>
      <c r="X284" s="13">
        <v>0.1</v>
      </c>
      <c r="Z284" t="s">
        <v>1164</v>
      </c>
      <c r="AA284" t="s">
        <v>1165</v>
      </c>
    </row>
    <row r="285" spans="1:17">
      <c r="A285" s="1" t="s">
        <v>1166</v>
      </c>
      <c r="B285" t="s">
        <v>440</v>
      </c>
      <c r="C285" t="s">
        <v>1167</v>
      </c>
      <c r="D285" t="s">
        <v>442</v>
      </c>
      <c r="F285">
        <v>19</v>
      </c>
      <c r="J285">
        <v>6</v>
      </c>
      <c r="K285">
        <v>4</v>
      </c>
      <c r="L285">
        <v>3</v>
      </c>
      <c r="Q285">
        <v>1</v>
      </c>
    </row>
    <row r="286" spans="1:26">
      <c r="A286" s="1" t="s">
        <v>1168</v>
      </c>
      <c r="B286" t="s">
        <v>516</v>
      </c>
      <c r="C286" t="s">
        <v>1169</v>
      </c>
      <c r="D286" t="s">
        <v>518</v>
      </c>
      <c r="G286">
        <v>15</v>
      </c>
      <c r="K286">
        <v>2</v>
      </c>
      <c r="Q286">
        <v>1</v>
      </c>
      <c r="U286">
        <v>6</v>
      </c>
      <c r="Z286" t="s">
        <v>664</v>
      </c>
    </row>
    <row r="287" spans="1:26">
      <c r="A287" s="1" t="s">
        <v>1170</v>
      </c>
      <c r="B287" t="s">
        <v>559</v>
      </c>
      <c r="C287" t="s">
        <v>1171</v>
      </c>
      <c r="D287" t="s">
        <v>561</v>
      </c>
      <c r="P287">
        <v>9</v>
      </c>
      <c r="Q287">
        <v>1</v>
      </c>
      <c r="U287">
        <v>4</v>
      </c>
      <c r="Z287" t="s">
        <v>1172</v>
      </c>
    </row>
    <row r="288" spans="1:17">
      <c r="A288" s="1" t="s">
        <v>1173</v>
      </c>
      <c r="B288" t="s">
        <v>440</v>
      </c>
      <c r="C288" t="s">
        <v>1174</v>
      </c>
      <c r="D288" s="12" t="s">
        <v>442</v>
      </c>
      <c r="F288">
        <v>28</v>
      </c>
      <c r="K288">
        <v>2</v>
      </c>
      <c r="L288">
        <v>3</v>
      </c>
      <c r="Q288">
        <v>1</v>
      </c>
    </row>
    <row r="289" spans="1:27">
      <c r="A289" s="1" t="s">
        <v>1175</v>
      </c>
      <c r="B289" t="s">
        <v>454</v>
      </c>
      <c r="C289" t="s">
        <v>1176</v>
      </c>
      <c r="D289" s="12" t="s">
        <v>456</v>
      </c>
      <c r="K289">
        <v>2</v>
      </c>
      <c r="O289">
        <v>13</v>
      </c>
      <c r="Q289">
        <v>1</v>
      </c>
      <c r="U289">
        <v>5</v>
      </c>
      <c r="V289" s="1" t="s">
        <v>511</v>
      </c>
      <c r="X289" s="13">
        <v>0.25</v>
      </c>
      <c r="AA289" t="s">
        <v>744</v>
      </c>
    </row>
    <row r="290" spans="1:17">
      <c r="A290" s="1" t="s">
        <v>1177</v>
      </c>
      <c r="B290" t="s">
        <v>484</v>
      </c>
      <c r="C290" t="s">
        <v>1178</v>
      </c>
      <c r="D290" t="s">
        <v>486</v>
      </c>
      <c r="G290">
        <v>5</v>
      </c>
      <c r="I290">
        <v>15</v>
      </c>
      <c r="K290">
        <v>2</v>
      </c>
      <c r="Q290">
        <v>1</v>
      </c>
    </row>
    <row r="291" spans="1:27">
      <c r="A291" s="1" t="s">
        <v>1179</v>
      </c>
      <c r="B291" t="s">
        <v>559</v>
      </c>
      <c r="C291" t="s">
        <v>1180</v>
      </c>
      <c r="D291" s="12" t="s">
        <v>561</v>
      </c>
      <c r="O291">
        <v>7</v>
      </c>
      <c r="P291">
        <v>9</v>
      </c>
      <c r="Q291">
        <v>1</v>
      </c>
      <c r="U291">
        <v>5</v>
      </c>
      <c r="V291" s="1" t="s">
        <v>719</v>
      </c>
      <c r="X291" s="13">
        <v>-0.15</v>
      </c>
      <c r="Z291" t="s">
        <v>1181</v>
      </c>
      <c r="AA291" t="s">
        <v>1182</v>
      </c>
    </row>
    <row r="292" spans="1:26">
      <c r="A292" s="1" t="s">
        <v>1183</v>
      </c>
      <c r="B292" t="s">
        <v>559</v>
      </c>
      <c r="C292" t="s">
        <v>1184</v>
      </c>
      <c r="D292" t="s">
        <v>561</v>
      </c>
      <c r="M292">
        <v>3</v>
      </c>
      <c r="P292">
        <v>13</v>
      </c>
      <c r="Q292">
        <v>1</v>
      </c>
      <c r="U292">
        <v>5</v>
      </c>
      <c r="Z292" t="s">
        <v>457</v>
      </c>
    </row>
    <row r="293" spans="1:27">
      <c r="A293" s="1" t="s">
        <v>1185</v>
      </c>
      <c r="B293" t="s">
        <v>454</v>
      </c>
      <c r="C293" t="s">
        <v>1186</v>
      </c>
      <c r="D293" s="12" t="s">
        <v>456</v>
      </c>
      <c r="O293">
        <v>12</v>
      </c>
      <c r="P293">
        <v>9</v>
      </c>
      <c r="Q293">
        <v>1</v>
      </c>
      <c r="U293">
        <v>6</v>
      </c>
      <c r="V293" s="1" t="s">
        <v>1187</v>
      </c>
      <c r="X293" s="13">
        <v>0.15</v>
      </c>
      <c r="Z293" t="s">
        <v>1188</v>
      </c>
      <c r="AA293" t="s">
        <v>1189</v>
      </c>
    </row>
    <row r="294" spans="1:27">
      <c r="A294" s="1" t="s">
        <v>1190</v>
      </c>
      <c r="B294" t="s">
        <v>605</v>
      </c>
      <c r="C294" t="s">
        <v>1191</v>
      </c>
      <c r="D294" s="12" t="s">
        <v>607</v>
      </c>
      <c r="F294">
        <v>20</v>
      </c>
      <c r="P294">
        <v>20</v>
      </c>
      <c r="Q294">
        <v>3.7</v>
      </c>
      <c r="R294">
        <v>0.8</v>
      </c>
      <c r="T294">
        <v>22</v>
      </c>
      <c r="U294">
        <v>9</v>
      </c>
      <c r="V294" s="1" t="s">
        <v>1192</v>
      </c>
      <c r="Z294" t="s">
        <v>1193</v>
      </c>
      <c r="AA294" s="1" t="s">
        <v>1194</v>
      </c>
    </row>
    <row r="295" spans="1:27">
      <c r="A295" s="1" t="s">
        <v>1195</v>
      </c>
      <c r="B295" t="s">
        <v>591</v>
      </c>
      <c r="C295" t="s">
        <v>1196</v>
      </c>
      <c r="D295" s="12" t="s">
        <v>603</v>
      </c>
      <c r="J295">
        <v>10</v>
      </c>
      <c r="K295">
        <v>2</v>
      </c>
      <c r="P295">
        <v>3</v>
      </c>
      <c r="Q295">
        <v>1</v>
      </c>
      <c r="V295" s="1" t="s">
        <v>1197</v>
      </c>
      <c r="Z295" t="s">
        <v>1198</v>
      </c>
      <c r="AA295" s="1" t="s">
        <v>1199</v>
      </c>
    </row>
    <row r="296" spans="1:27">
      <c r="A296" s="1" t="s">
        <v>1200</v>
      </c>
      <c r="B296" t="s">
        <v>454</v>
      </c>
      <c r="C296" t="s">
        <v>1201</v>
      </c>
      <c r="D296" s="12" t="s">
        <v>456</v>
      </c>
      <c r="O296">
        <v>13</v>
      </c>
      <c r="P296">
        <v>8</v>
      </c>
      <c r="Q296">
        <v>1</v>
      </c>
      <c r="U296">
        <v>6</v>
      </c>
      <c r="V296" s="1" t="s">
        <v>1187</v>
      </c>
      <c r="X296" s="13">
        <v>0.1</v>
      </c>
      <c r="Z296" t="s">
        <v>1202</v>
      </c>
      <c r="AA296" t="s">
        <v>1203</v>
      </c>
    </row>
    <row r="297" spans="1:27">
      <c r="A297" s="1" t="s">
        <v>1204</v>
      </c>
      <c r="B297" t="s">
        <v>440</v>
      </c>
      <c r="C297" t="s">
        <v>1205</v>
      </c>
      <c r="D297" s="12" t="s">
        <v>442</v>
      </c>
      <c r="F297">
        <v>12</v>
      </c>
      <c r="L297">
        <v>2</v>
      </c>
      <c r="Q297">
        <v>1</v>
      </c>
      <c r="V297" s="1" t="s">
        <v>1099</v>
      </c>
      <c r="X297" s="13">
        <v>0.05</v>
      </c>
      <c r="Z297" s="32" t="s">
        <v>1206</v>
      </c>
      <c r="AA297" s="33" t="s">
        <v>1207</v>
      </c>
    </row>
    <row r="298" spans="1:21">
      <c r="A298" s="1" t="s">
        <v>1208</v>
      </c>
      <c r="B298" t="s">
        <v>559</v>
      </c>
      <c r="C298" t="s">
        <v>1209</v>
      </c>
      <c r="D298" s="12" t="s">
        <v>561</v>
      </c>
      <c r="P298">
        <v>15</v>
      </c>
      <c r="Q298">
        <v>1</v>
      </c>
      <c r="U298">
        <v>7</v>
      </c>
    </row>
    <row r="299" spans="1:17">
      <c r="A299" s="1" t="s">
        <v>1210</v>
      </c>
      <c r="B299" t="s">
        <v>440</v>
      </c>
      <c r="C299" t="s">
        <v>1211</v>
      </c>
      <c r="D299" s="12" t="s">
        <v>442</v>
      </c>
      <c r="F299">
        <v>28</v>
      </c>
      <c r="J299">
        <v>2</v>
      </c>
      <c r="K299">
        <v>6</v>
      </c>
      <c r="L299">
        <v>4</v>
      </c>
      <c r="Q299">
        <v>1</v>
      </c>
    </row>
    <row r="300" spans="1:27">
      <c r="A300" s="1" t="s">
        <v>1212</v>
      </c>
      <c r="B300" t="s">
        <v>591</v>
      </c>
      <c r="C300" t="s">
        <v>1213</v>
      </c>
      <c r="D300" s="12" t="s">
        <v>593</v>
      </c>
      <c r="F300">
        <v>7</v>
      </c>
      <c r="K300">
        <v>2</v>
      </c>
      <c r="Q300">
        <v>1</v>
      </c>
      <c r="V300" s="1" t="s">
        <v>1099</v>
      </c>
      <c r="X300" s="13">
        <v>0.1</v>
      </c>
      <c r="Z300" s="32" t="s">
        <v>1214</v>
      </c>
      <c r="AA300" s="33" t="s">
        <v>1215</v>
      </c>
    </row>
    <row r="301" spans="1:21">
      <c r="A301" s="1" t="s">
        <v>1216</v>
      </c>
      <c r="B301" t="s">
        <v>605</v>
      </c>
      <c r="C301" t="s">
        <v>1217</v>
      </c>
      <c r="D301" s="12" t="s">
        <v>607</v>
      </c>
      <c r="F301">
        <v>11</v>
      </c>
      <c r="I301">
        <v>14</v>
      </c>
      <c r="P301">
        <v>16</v>
      </c>
      <c r="Q301">
        <v>3.9</v>
      </c>
      <c r="R301">
        <v>0.7</v>
      </c>
      <c r="T301">
        <v>27</v>
      </c>
      <c r="U301">
        <v>9</v>
      </c>
    </row>
    <row r="302" spans="1:17">
      <c r="A302" s="1" t="s">
        <v>1218</v>
      </c>
      <c r="B302" t="s">
        <v>528</v>
      </c>
      <c r="C302" t="s">
        <v>1219</v>
      </c>
      <c r="D302" s="12" t="s">
        <v>6</v>
      </c>
      <c r="G302">
        <v>17</v>
      </c>
      <c r="K302">
        <v>2</v>
      </c>
      <c r="Q302">
        <v>1</v>
      </c>
    </row>
    <row r="303" spans="1:21">
      <c r="A303" s="1" t="s">
        <v>1220</v>
      </c>
      <c r="B303" t="s">
        <v>559</v>
      </c>
      <c r="C303" t="s">
        <v>1221</v>
      </c>
      <c r="D303" s="12" t="s">
        <v>561</v>
      </c>
      <c r="O303">
        <v>6</v>
      </c>
      <c r="P303">
        <v>16</v>
      </c>
      <c r="Q303">
        <v>1</v>
      </c>
      <c r="U303">
        <v>9</v>
      </c>
    </row>
    <row r="304" spans="1:27">
      <c r="A304" s="1" t="s">
        <v>1222</v>
      </c>
      <c r="B304" t="s">
        <v>440</v>
      </c>
      <c r="C304" t="s">
        <v>1223</v>
      </c>
      <c r="D304" s="12" t="s">
        <v>442</v>
      </c>
      <c r="F304">
        <v>10</v>
      </c>
      <c r="L304">
        <v>2</v>
      </c>
      <c r="Q304">
        <v>1</v>
      </c>
      <c r="V304" s="1" t="s">
        <v>511</v>
      </c>
      <c r="X304" s="13">
        <v>0.15</v>
      </c>
      <c r="Z304" t="s">
        <v>1224</v>
      </c>
      <c r="AA304" t="s">
        <v>621</v>
      </c>
    </row>
    <row r="305" spans="1:18">
      <c r="A305" s="1" t="s">
        <v>1225</v>
      </c>
      <c r="B305" t="s">
        <v>440</v>
      </c>
      <c r="C305" t="s">
        <v>1226</v>
      </c>
      <c r="D305" s="12" t="s">
        <v>442</v>
      </c>
      <c r="F305">
        <v>31</v>
      </c>
      <c r="L305">
        <v>4</v>
      </c>
      <c r="M305">
        <v>-1</v>
      </c>
      <c r="P305">
        <v>3</v>
      </c>
      <c r="Q305">
        <v>1</v>
      </c>
      <c r="R305">
        <v>0.25</v>
      </c>
    </row>
    <row r="306" spans="1:18">
      <c r="A306" s="1" t="s">
        <v>1227</v>
      </c>
      <c r="B306" t="s">
        <v>440</v>
      </c>
      <c r="C306" t="s">
        <v>1228</v>
      </c>
      <c r="D306" s="12" t="s">
        <v>442</v>
      </c>
      <c r="F306">
        <v>3</v>
      </c>
      <c r="K306">
        <v>1</v>
      </c>
      <c r="L306">
        <v>1</v>
      </c>
      <c r="M306">
        <v>1</v>
      </c>
      <c r="P306">
        <v>15</v>
      </c>
      <c r="Q306">
        <v>3.4</v>
      </c>
      <c r="R306">
        <v>0.5</v>
      </c>
    </row>
    <row r="307" spans="1:17">
      <c r="A307" s="1" t="s">
        <v>1229</v>
      </c>
      <c r="B307" t="s">
        <v>528</v>
      </c>
      <c r="C307" t="s">
        <v>1230</v>
      </c>
      <c r="D307" s="12" t="s">
        <v>6</v>
      </c>
      <c r="G307">
        <v>13</v>
      </c>
      <c r="K307">
        <v>5</v>
      </c>
      <c r="M307">
        <v>3</v>
      </c>
      <c r="Q307">
        <v>1</v>
      </c>
    </row>
    <row r="308" spans="1:21">
      <c r="A308" s="1" t="s">
        <v>1231</v>
      </c>
      <c r="B308" t="s">
        <v>559</v>
      </c>
      <c r="C308" t="s">
        <v>1232</v>
      </c>
      <c r="D308" s="12" t="s">
        <v>561</v>
      </c>
      <c r="P308">
        <v>15</v>
      </c>
      <c r="Q308">
        <v>1</v>
      </c>
      <c r="U308">
        <v>9</v>
      </c>
    </row>
    <row r="309" spans="1:27">
      <c r="A309" s="1" t="s">
        <v>1233</v>
      </c>
      <c r="B309" t="s">
        <v>459</v>
      </c>
      <c r="C309" t="s">
        <v>1234</v>
      </c>
      <c r="D309" s="12" t="s">
        <v>461</v>
      </c>
      <c r="F309">
        <v>2</v>
      </c>
      <c r="J309">
        <v>5</v>
      </c>
      <c r="K309">
        <v>10</v>
      </c>
      <c r="P309">
        <v>4</v>
      </c>
      <c r="Q309">
        <v>1</v>
      </c>
      <c r="V309" s="1" t="s">
        <v>1235</v>
      </c>
      <c r="Z309" t="s">
        <v>1236</v>
      </c>
      <c r="AA309" s="1" t="s">
        <v>1237</v>
      </c>
    </row>
    <row r="310" spans="1:27">
      <c r="A310" s="1" t="s">
        <v>1238</v>
      </c>
      <c r="B310" t="s">
        <v>454</v>
      </c>
      <c r="C310" t="s">
        <v>1239</v>
      </c>
      <c r="D310" s="12" t="s">
        <v>456</v>
      </c>
      <c r="O310">
        <v>17</v>
      </c>
      <c r="Q310">
        <v>1</v>
      </c>
      <c r="U310">
        <v>10</v>
      </c>
      <c r="V310" s="1" t="s">
        <v>1240</v>
      </c>
      <c r="Z310" t="s">
        <v>1241</v>
      </c>
      <c r="AA310" s="1" t="s">
        <v>1242</v>
      </c>
    </row>
    <row r="311" spans="1:27">
      <c r="A311" s="1" t="s">
        <v>1243</v>
      </c>
      <c r="B311" t="s">
        <v>454</v>
      </c>
      <c r="C311" t="s">
        <v>1244</v>
      </c>
      <c r="D311" s="12" t="s">
        <v>456</v>
      </c>
      <c r="O311">
        <v>19</v>
      </c>
      <c r="P311">
        <v>3</v>
      </c>
      <c r="Q311">
        <v>1</v>
      </c>
      <c r="U311">
        <v>12</v>
      </c>
      <c r="V311" s="1" t="s">
        <v>1245</v>
      </c>
      <c r="Z311" t="s">
        <v>1246</v>
      </c>
      <c r="AA311" s="1" t="s">
        <v>1247</v>
      </c>
    </row>
    <row r="312" spans="1:27">
      <c r="A312" s="1" t="s">
        <v>1248</v>
      </c>
      <c r="B312" t="s">
        <v>605</v>
      </c>
      <c r="C312" t="s">
        <v>1249</v>
      </c>
      <c r="D312" s="12" t="s">
        <v>607</v>
      </c>
      <c r="F312">
        <v>12</v>
      </c>
      <c r="P312">
        <v>17</v>
      </c>
      <c r="Q312">
        <v>3.9</v>
      </c>
      <c r="R312">
        <v>0.7</v>
      </c>
      <c r="T312">
        <v>27</v>
      </c>
      <c r="U312">
        <v>8</v>
      </c>
      <c r="V312" s="1" t="s">
        <v>1250</v>
      </c>
      <c r="Z312" t="s">
        <v>1251</v>
      </c>
      <c r="AA312" s="1" t="s">
        <v>1252</v>
      </c>
    </row>
    <row r="313" spans="1:27">
      <c r="A313" s="1" t="s">
        <v>1253</v>
      </c>
      <c r="B313" t="s">
        <v>591</v>
      </c>
      <c r="C313" t="s">
        <v>1254</v>
      </c>
      <c r="D313" s="12" t="s">
        <v>603</v>
      </c>
      <c r="F313">
        <v>3</v>
      </c>
      <c r="J313">
        <v>6</v>
      </c>
      <c r="K313">
        <v>1</v>
      </c>
      <c r="Q313">
        <v>1</v>
      </c>
      <c r="V313" s="1" t="s">
        <v>1255</v>
      </c>
      <c r="Z313" t="s">
        <v>1256</v>
      </c>
      <c r="AA313" s="1" t="s">
        <v>1257</v>
      </c>
    </row>
    <row r="314" spans="1:18">
      <c r="A314" s="1" t="s">
        <v>1258</v>
      </c>
      <c r="B314" t="s">
        <v>440</v>
      </c>
      <c r="C314" t="s">
        <v>1259</v>
      </c>
      <c r="D314" s="12" t="s">
        <v>442</v>
      </c>
      <c r="F314">
        <v>7</v>
      </c>
      <c r="L314">
        <v>1</v>
      </c>
      <c r="M314">
        <v>1</v>
      </c>
      <c r="P314">
        <v>13</v>
      </c>
      <c r="Q314">
        <v>2.7</v>
      </c>
      <c r="R314">
        <v>0.5</v>
      </c>
    </row>
    <row r="315" spans="1:27">
      <c r="A315" s="1" t="s">
        <v>1260</v>
      </c>
      <c r="B315" t="s">
        <v>454</v>
      </c>
      <c r="C315" t="s">
        <v>1261</v>
      </c>
      <c r="D315" s="12" t="s">
        <v>456</v>
      </c>
      <c r="L315">
        <v>3</v>
      </c>
      <c r="O315">
        <v>14</v>
      </c>
      <c r="Q315">
        <v>1</v>
      </c>
      <c r="U315">
        <v>10</v>
      </c>
      <c r="V315" s="1" t="s">
        <v>1262</v>
      </c>
      <c r="Z315" t="s">
        <v>1263</v>
      </c>
      <c r="AA315" s="1" t="s">
        <v>1264</v>
      </c>
    </row>
    <row r="316" spans="1:21">
      <c r="A316" s="1" t="s">
        <v>1265</v>
      </c>
      <c r="B316" t="s">
        <v>559</v>
      </c>
      <c r="C316" t="s">
        <v>1266</v>
      </c>
      <c r="D316" s="12" t="s">
        <v>561</v>
      </c>
      <c r="O316">
        <v>4</v>
      </c>
      <c r="P316">
        <v>17</v>
      </c>
      <c r="Q316">
        <v>1</v>
      </c>
      <c r="U316">
        <v>12</v>
      </c>
    </row>
    <row r="317" spans="1:17">
      <c r="A317" s="1" t="s">
        <v>1267</v>
      </c>
      <c r="B317" t="s">
        <v>440</v>
      </c>
      <c r="C317" t="s">
        <v>1268</v>
      </c>
      <c r="D317" s="12" t="s">
        <v>442</v>
      </c>
      <c r="F317">
        <v>29</v>
      </c>
      <c r="K317">
        <v>3</v>
      </c>
      <c r="L317">
        <v>3</v>
      </c>
      <c r="Q317">
        <v>1</v>
      </c>
    </row>
    <row r="318" spans="1:27">
      <c r="A318" s="1" t="s">
        <v>1269</v>
      </c>
      <c r="B318" t="s">
        <v>454</v>
      </c>
      <c r="C318" t="s">
        <v>1270</v>
      </c>
      <c r="D318" s="12" t="s">
        <v>456</v>
      </c>
      <c r="I318">
        <v>5</v>
      </c>
      <c r="J318">
        <v>10</v>
      </c>
      <c r="K318">
        <v>3</v>
      </c>
      <c r="M318">
        <v>5</v>
      </c>
      <c r="O318">
        <v>12</v>
      </c>
      <c r="Q318">
        <v>1</v>
      </c>
      <c r="U318">
        <v>8</v>
      </c>
      <c r="V318" s="1" t="s">
        <v>1271</v>
      </c>
      <c r="X318" s="13" t="s">
        <v>1272</v>
      </c>
      <c r="Z318" t="s">
        <v>1273</v>
      </c>
      <c r="AA318" t="s">
        <v>1274</v>
      </c>
    </row>
    <row r="319" spans="1:27">
      <c r="A319" s="1" t="s">
        <v>1275</v>
      </c>
      <c r="B319" t="s">
        <v>449</v>
      </c>
      <c r="C319" t="s">
        <v>1276</v>
      </c>
      <c r="D319" s="12" t="s">
        <v>451</v>
      </c>
      <c r="M319">
        <v>2</v>
      </c>
      <c r="P319">
        <v>16</v>
      </c>
      <c r="Q319">
        <v>3.5</v>
      </c>
      <c r="R319">
        <v>0.5</v>
      </c>
      <c r="V319" s="1" t="s">
        <v>1277</v>
      </c>
      <c r="Z319" t="s">
        <v>1278</v>
      </c>
      <c r="AA319" s="1" t="s">
        <v>1279</v>
      </c>
    </row>
    <row r="320" spans="1:21">
      <c r="A320" s="1" t="s">
        <v>1280</v>
      </c>
      <c r="B320" t="s">
        <v>454</v>
      </c>
      <c r="C320" t="s">
        <v>1281</v>
      </c>
      <c r="D320" s="12" t="s">
        <v>456</v>
      </c>
      <c r="K320">
        <v>2</v>
      </c>
      <c r="O320">
        <v>25</v>
      </c>
      <c r="Q320">
        <v>1</v>
      </c>
      <c r="U320">
        <v>17</v>
      </c>
    </row>
    <row r="321" spans="1:17">
      <c r="A321" s="1" t="s">
        <v>1282</v>
      </c>
      <c r="B321" t="s">
        <v>484</v>
      </c>
      <c r="C321" t="s">
        <v>1283</v>
      </c>
      <c r="D321" t="s">
        <v>486</v>
      </c>
      <c r="I321">
        <v>15</v>
      </c>
      <c r="J321">
        <v>5</v>
      </c>
      <c r="K321">
        <v>2</v>
      </c>
      <c r="M321">
        <v>3</v>
      </c>
      <c r="Q321">
        <v>1</v>
      </c>
    </row>
    <row r="322" spans="1:27">
      <c r="A322" s="1" t="s">
        <v>1284</v>
      </c>
      <c r="B322" t="s">
        <v>516</v>
      </c>
      <c r="C322" t="s">
        <v>1285</v>
      </c>
      <c r="D322" s="12" t="s">
        <v>518</v>
      </c>
      <c r="G322">
        <v>10</v>
      </c>
      <c r="I322">
        <v>12</v>
      </c>
      <c r="J322">
        <v>15</v>
      </c>
      <c r="K322">
        <v>6</v>
      </c>
      <c r="M322">
        <v>6</v>
      </c>
      <c r="Q322">
        <v>1</v>
      </c>
      <c r="U322">
        <v>5</v>
      </c>
      <c r="V322" s="1" t="s">
        <v>1286</v>
      </c>
      <c r="W322" s="13"/>
      <c r="X322">
        <v>0.05</v>
      </c>
      <c r="Z322" t="s">
        <v>1287</v>
      </c>
      <c r="AA322" t="s">
        <v>1288</v>
      </c>
    </row>
    <row r="323" spans="1:27">
      <c r="A323" s="1" t="s">
        <v>1289</v>
      </c>
      <c r="B323" t="s">
        <v>528</v>
      </c>
      <c r="C323" t="s">
        <v>1290</v>
      </c>
      <c r="D323" s="12" t="s">
        <v>6</v>
      </c>
      <c r="G323">
        <v>8</v>
      </c>
      <c r="I323">
        <v>13</v>
      </c>
      <c r="K323">
        <v>3</v>
      </c>
      <c r="M323">
        <v>3</v>
      </c>
      <c r="Q323">
        <v>1</v>
      </c>
      <c r="V323" s="1" t="s">
        <v>1099</v>
      </c>
      <c r="X323" s="13">
        <v>0.1</v>
      </c>
      <c r="Z323" t="s">
        <v>1214</v>
      </c>
      <c r="AA323" t="s">
        <v>1215</v>
      </c>
    </row>
    <row r="324" spans="1:27">
      <c r="A324" s="1" t="s">
        <v>1291</v>
      </c>
      <c r="B324" t="s">
        <v>528</v>
      </c>
      <c r="C324" t="s">
        <v>1292</v>
      </c>
      <c r="D324" s="12" t="s">
        <v>6</v>
      </c>
      <c r="G324">
        <v>17</v>
      </c>
      <c r="K324">
        <v>7</v>
      </c>
      <c r="M324">
        <v>2</v>
      </c>
      <c r="Q324">
        <v>1</v>
      </c>
      <c r="V324" s="1" t="s">
        <v>1286</v>
      </c>
      <c r="X324">
        <v>0.1</v>
      </c>
      <c r="Z324" t="s">
        <v>1293</v>
      </c>
      <c r="AA324" s="1" t="s">
        <v>1294</v>
      </c>
    </row>
    <row r="325" spans="1:27">
      <c r="A325" s="1" t="s">
        <v>1295</v>
      </c>
      <c r="B325" t="s">
        <v>528</v>
      </c>
      <c r="C325" t="s">
        <v>1296</v>
      </c>
      <c r="D325" s="12" t="s">
        <v>6</v>
      </c>
      <c r="G325">
        <v>10</v>
      </c>
      <c r="K325">
        <v>6</v>
      </c>
      <c r="M325">
        <v>4</v>
      </c>
      <c r="Q325">
        <v>1</v>
      </c>
      <c r="V325" s="1" t="s">
        <v>1297</v>
      </c>
      <c r="Z325" t="s">
        <v>1298</v>
      </c>
      <c r="AA325" s="1" t="s">
        <v>1299</v>
      </c>
    </row>
    <row r="326" spans="1:27">
      <c r="A326" s="1" t="s">
        <v>1300</v>
      </c>
      <c r="B326" t="s">
        <v>516</v>
      </c>
      <c r="C326" t="s">
        <v>1301</v>
      </c>
      <c r="D326" s="12" t="s">
        <v>518</v>
      </c>
      <c r="G326">
        <v>11</v>
      </c>
      <c r="I326">
        <v>16</v>
      </c>
      <c r="J326">
        <v>5</v>
      </c>
      <c r="M326">
        <v>3</v>
      </c>
      <c r="Q326">
        <v>1</v>
      </c>
      <c r="U326">
        <v>5</v>
      </c>
      <c r="V326" s="1" t="s">
        <v>1302</v>
      </c>
      <c r="Z326" t="s">
        <v>1303</v>
      </c>
      <c r="AA326" s="1" t="s">
        <v>1304</v>
      </c>
    </row>
    <row r="327" spans="1:27">
      <c r="A327" s="1" t="s">
        <v>1305</v>
      </c>
      <c r="B327" t="s">
        <v>605</v>
      </c>
      <c r="C327" t="s">
        <v>1306</v>
      </c>
      <c r="D327" s="12" t="s">
        <v>607</v>
      </c>
      <c r="F327">
        <v>11</v>
      </c>
      <c r="P327">
        <v>15</v>
      </c>
      <c r="Q327">
        <v>3.5</v>
      </c>
      <c r="R327">
        <v>0.7</v>
      </c>
      <c r="T327">
        <v>19</v>
      </c>
      <c r="U327">
        <v>5</v>
      </c>
      <c r="V327" s="1" t="s">
        <v>1307</v>
      </c>
      <c r="Z327" t="s">
        <v>1308</v>
      </c>
      <c r="AA327" s="1" t="s">
        <v>1309</v>
      </c>
    </row>
    <row r="328" spans="1:27">
      <c r="A328" s="1" t="s">
        <v>1310</v>
      </c>
      <c r="B328" t="s">
        <v>591</v>
      </c>
      <c r="C328" t="s">
        <v>1311</v>
      </c>
      <c r="D328" s="12" t="s">
        <v>603</v>
      </c>
      <c r="F328">
        <v>3</v>
      </c>
      <c r="J328">
        <v>7</v>
      </c>
      <c r="K328">
        <v>5</v>
      </c>
      <c r="Q328">
        <v>1</v>
      </c>
      <c r="V328" s="1" t="s">
        <v>1312</v>
      </c>
      <c r="Z328" t="s">
        <v>1313</v>
      </c>
      <c r="AA328" s="1" t="s">
        <v>1314</v>
      </c>
    </row>
    <row r="329" spans="1:17">
      <c r="A329" s="1" t="s">
        <v>1315</v>
      </c>
      <c r="B329" t="s">
        <v>528</v>
      </c>
      <c r="C329" t="s">
        <v>1316</v>
      </c>
      <c r="D329" s="12" t="s">
        <v>6</v>
      </c>
      <c r="G329">
        <v>12</v>
      </c>
      <c r="K329">
        <v>7</v>
      </c>
      <c r="Q329">
        <v>1</v>
      </c>
    </row>
    <row r="330" spans="1:17">
      <c r="A330" s="1" t="s">
        <v>1317</v>
      </c>
      <c r="B330" t="s">
        <v>484</v>
      </c>
      <c r="C330" t="s">
        <v>1318</v>
      </c>
      <c r="D330" s="12" t="s">
        <v>486</v>
      </c>
      <c r="F330">
        <v>4</v>
      </c>
      <c r="I330">
        <v>17</v>
      </c>
      <c r="L330">
        <v>1</v>
      </c>
      <c r="M330">
        <v>3</v>
      </c>
      <c r="Q330">
        <v>1</v>
      </c>
    </row>
    <row r="331" spans="1:21">
      <c r="A331" s="1" t="s">
        <v>1319</v>
      </c>
      <c r="B331" t="s">
        <v>559</v>
      </c>
      <c r="C331" t="s">
        <v>1320</v>
      </c>
      <c r="D331" s="12" t="s">
        <v>561</v>
      </c>
      <c r="P331">
        <v>16</v>
      </c>
      <c r="Q331">
        <v>1</v>
      </c>
      <c r="U331">
        <v>10</v>
      </c>
    </row>
    <row r="332" spans="1:17">
      <c r="A332" s="1" t="s">
        <v>1321</v>
      </c>
      <c r="B332" t="s">
        <v>440</v>
      </c>
      <c r="C332" t="s">
        <v>1322</v>
      </c>
      <c r="D332" s="12" t="s">
        <v>442</v>
      </c>
      <c r="F332">
        <v>31</v>
      </c>
      <c r="H332">
        <v>1</v>
      </c>
      <c r="L332">
        <v>3</v>
      </c>
      <c r="Q332">
        <v>1</v>
      </c>
    </row>
    <row r="333" spans="1:27">
      <c r="A333" s="1" t="s">
        <v>1323</v>
      </c>
      <c r="B333" t="s">
        <v>595</v>
      </c>
      <c r="C333" t="s">
        <v>1324</v>
      </c>
      <c r="D333" s="12" t="s">
        <v>597</v>
      </c>
      <c r="F333">
        <v>22</v>
      </c>
      <c r="Q333">
        <v>1</v>
      </c>
      <c r="S333">
        <v>23</v>
      </c>
      <c r="U333">
        <v>8</v>
      </c>
      <c r="V333" s="1" t="s">
        <v>1325</v>
      </c>
      <c r="Z333" t="s">
        <v>1326</v>
      </c>
      <c r="AA333" s="1" t="s">
        <v>1327</v>
      </c>
    </row>
    <row r="334" spans="1:17">
      <c r="A334" s="1" t="s">
        <v>1328</v>
      </c>
      <c r="B334" t="s">
        <v>484</v>
      </c>
      <c r="C334" t="s">
        <v>1329</v>
      </c>
      <c r="D334" t="s">
        <v>486</v>
      </c>
      <c r="F334">
        <v>3</v>
      </c>
      <c r="I334">
        <v>18</v>
      </c>
      <c r="M334">
        <v>5</v>
      </c>
      <c r="N334">
        <v>2</v>
      </c>
      <c r="Q334">
        <v>1</v>
      </c>
    </row>
    <row r="335" spans="1:27">
      <c r="A335" s="1" t="s">
        <v>1330</v>
      </c>
      <c r="B335" t="s">
        <v>528</v>
      </c>
      <c r="C335" t="s">
        <v>1331</v>
      </c>
      <c r="D335" t="s">
        <v>6</v>
      </c>
      <c r="G335">
        <v>18</v>
      </c>
      <c r="K335">
        <v>-1</v>
      </c>
      <c r="Q335">
        <v>1</v>
      </c>
      <c r="V335" s="1" t="s">
        <v>1099</v>
      </c>
      <c r="X335" s="13">
        <v>0.05</v>
      </c>
      <c r="Z335" t="s">
        <v>1206</v>
      </c>
      <c r="AA335" t="s">
        <v>1207</v>
      </c>
    </row>
    <row r="336" spans="1:21">
      <c r="A336" s="1" t="s">
        <v>1332</v>
      </c>
      <c r="B336" t="s">
        <v>516</v>
      </c>
      <c r="C336" t="s">
        <v>1333</v>
      </c>
      <c r="D336" s="12" t="s">
        <v>518</v>
      </c>
      <c r="G336">
        <v>12</v>
      </c>
      <c r="I336">
        <v>8</v>
      </c>
      <c r="J336">
        <v>3</v>
      </c>
      <c r="Q336">
        <v>1</v>
      </c>
      <c r="U336">
        <v>4</v>
      </c>
    </row>
    <row r="337" spans="1:21">
      <c r="A337" s="1" t="s">
        <v>1334</v>
      </c>
      <c r="B337" t="s">
        <v>454</v>
      </c>
      <c r="C337" t="s">
        <v>1335</v>
      </c>
      <c r="D337" s="12" t="s">
        <v>456</v>
      </c>
      <c r="I337">
        <v>3</v>
      </c>
      <c r="J337">
        <v>2</v>
      </c>
      <c r="O337">
        <v>14</v>
      </c>
      <c r="Q337">
        <v>1</v>
      </c>
      <c r="U337">
        <v>9</v>
      </c>
    </row>
    <row r="338" spans="1:27">
      <c r="A338" s="1" t="s">
        <v>1336</v>
      </c>
      <c r="B338" t="s">
        <v>454</v>
      </c>
      <c r="C338" t="s">
        <v>1337</v>
      </c>
      <c r="D338" s="12" t="s">
        <v>456</v>
      </c>
      <c r="O338">
        <v>20</v>
      </c>
      <c r="P338">
        <v>5</v>
      </c>
      <c r="Q338">
        <v>1</v>
      </c>
      <c r="U338">
        <v>15</v>
      </c>
      <c r="V338" s="1" t="s">
        <v>1099</v>
      </c>
      <c r="X338">
        <v>0.1</v>
      </c>
      <c r="Z338" t="s">
        <v>1214</v>
      </c>
      <c r="AA338" s="1" t="s">
        <v>1215</v>
      </c>
    </row>
    <row r="339" spans="1:27">
      <c r="A339" s="1" t="s">
        <v>1338</v>
      </c>
      <c r="B339" t="s">
        <v>484</v>
      </c>
      <c r="C339" t="s">
        <v>1339</v>
      </c>
      <c r="D339" t="s">
        <v>486</v>
      </c>
      <c r="F339">
        <v>11</v>
      </c>
      <c r="I339">
        <v>15</v>
      </c>
      <c r="K339">
        <v>3</v>
      </c>
      <c r="Q339">
        <v>1</v>
      </c>
      <c r="V339" s="1" t="s">
        <v>1099</v>
      </c>
      <c r="X339" s="13">
        <v>0.05</v>
      </c>
      <c r="Z339" t="s">
        <v>1206</v>
      </c>
      <c r="AA339" t="s">
        <v>1207</v>
      </c>
    </row>
    <row r="340" spans="1:27">
      <c r="A340" s="1" t="s">
        <v>1340</v>
      </c>
      <c r="B340" t="s">
        <v>454</v>
      </c>
      <c r="C340" t="s">
        <v>1341</v>
      </c>
      <c r="D340" s="12" t="s">
        <v>456</v>
      </c>
      <c r="L340">
        <v>2</v>
      </c>
      <c r="M340">
        <v>1</v>
      </c>
      <c r="O340">
        <v>14</v>
      </c>
      <c r="P340">
        <v>7</v>
      </c>
      <c r="Q340">
        <v>1</v>
      </c>
      <c r="U340">
        <v>6</v>
      </c>
      <c r="V340" s="1" t="s">
        <v>1187</v>
      </c>
      <c r="X340" s="13">
        <v>0.1</v>
      </c>
      <c r="Z340" t="s">
        <v>1202</v>
      </c>
      <c r="AA340" t="s">
        <v>1203</v>
      </c>
    </row>
    <row r="341" spans="1:27">
      <c r="A341" s="1" t="s">
        <v>1342</v>
      </c>
      <c r="B341" t="s">
        <v>516</v>
      </c>
      <c r="C341" t="s">
        <v>1343</v>
      </c>
      <c r="D341" s="12" t="s">
        <v>518</v>
      </c>
      <c r="G341">
        <v>17</v>
      </c>
      <c r="I341">
        <v>3</v>
      </c>
      <c r="K341">
        <v>2</v>
      </c>
      <c r="Q341">
        <v>1</v>
      </c>
      <c r="U341">
        <v>6</v>
      </c>
      <c r="V341" s="1" t="s">
        <v>1344</v>
      </c>
      <c r="X341">
        <v>0.5</v>
      </c>
      <c r="Z341" t="s">
        <v>1345</v>
      </c>
      <c r="AA341" s="1" t="s">
        <v>1346</v>
      </c>
    </row>
    <row r="342" spans="1:27">
      <c r="A342" s="1" t="s">
        <v>1347</v>
      </c>
      <c r="B342" t="s">
        <v>516</v>
      </c>
      <c r="C342" t="s">
        <v>1348</v>
      </c>
      <c r="D342" s="12" t="s">
        <v>518</v>
      </c>
      <c r="G342">
        <v>19</v>
      </c>
      <c r="I342">
        <v>3</v>
      </c>
      <c r="Q342">
        <v>1</v>
      </c>
      <c r="U342">
        <v>9</v>
      </c>
      <c r="V342" s="1" t="s">
        <v>1344</v>
      </c>
      <c r="X342">
        <v>0.4</v>
      </c>
      <c r="Z342" t="s">
        <v>1349</v>
      </c>
      <c r="AA342" s="1" t="s">
        <v>1350</v>
      </c>
    </row>
    <row r="343" spans="1:27">
      <c r="A343" s="1" t="s">
        <v>1351</v>
      </c>
      <c r="B343" t="s">
        <v>454</v>
      </c>
      <c r="C343" t="s">
        <v>1352</v>
      </c>
      <c r="D343" s="12" t="s">
        <v>456</v>
      </c>
      <c r="J343">
        <v>2</v>
      </c>
      <c r="K343">
        <v>3</v>
      </c>
      <c r="O343">
        <v>13</v>
      </c>
      <c r="Q343">
        <v>1</v>
      </c>
      <c r="U343">
        <v>5</v>
      </c>
      <c r="V343" s="1" t="s">
        <v>1353</v>
      </c>
      <c r="Z343" t="s">
        <v>1354</v>
      </c>
      <c r="AA343" s="1" t="s">
        <v>1355</v>
      </c>
    </row>
    <row r="344" spans="1:27">
      <c r="A344" s="1" t="s">
        <v>1356</v>
      </c>
      <c r="B344" t="s">
        <v>449</v>
      </c>
      <c r="C344" t="s">
        <v>1357</v>
      </c>
      <c r="D344" s="12" t="s">
        <v>451</v>
      </c>
      <c r="F344">
        <v>4</v>
      </c>
      <c r="J344">
        <v>5</v>
      </c>
      <c r="K344">
        <v>2</v>
      </c>
      <c r="M344">
        <v>3</v>
      </c>
      <c r="P344">
        <v>12</v>
      </c>
      <c r="Q344">
        <v>4</v>
      </c>
      <c r="R344">
        <v>0.5</v>
      </c>
      <c r="V344" s="1" t="s">
        <v>1358</v>
      </c>
      <c r="Z344" t="s">
        <v>1359</v>
      </c>
      <c r="AA344" s="1" t="s">
        <v>1360</v>
      </c>
    </row>
    <row r="345" spans="1:21">
      <c r="A345" s="1" t="s">
        <v>1361</v>
      </c>
      <c r="B345" t="s">
        <v>605</v>
      </c>
      <c r="C345" t="s">
        <v>1362</v>
      </c>
      <c r="D345" s="12" t="s">
        <v>607</v>
      </c>
      <c r="F345">
        <v>14</v>
      </c>
      <c r="P345">
        <v>16</v>
      </c>
      <c r="Q345">
        <v>3.8</v>
      </c>
      <c r="R345">
        <v>0.8</v>
      </c>
      <c r="T345">
        <v>21</v>
      </c>
      <c r="U345">
        <v>6</v>
      </c>
    </row>
    <row r="346" spans="1:17">
      <c r="A346" s="1" t="s">
        <v>1363</v>
      </c>
      <c r="B346" t="s">
        <v>591</v>
      </c>
      <c r="C346" t="s">
        <v>1364</v>
      </c>
      <c r="D346" s="12" t="s">
        <v>603</v>
      </c>
      <c r="F346">
        <v>2</v>
      </c>
      <c r="J346">
        <v>3</v>
      </c>
      <c r="K346">
        <v>2</v>
      </c>
      <c r="Q346">
        <v>1</v>
      </c>
    </row>
    <row r="347" spans="1:27">
      <c r="A347" s="1" t="s">
        <v>1365</v>
      </c>
      <c r="B347" t="s">
        <v>454</v>
      </c>
      <c r="C347" t="s">
        <v>1366</v>
      </c>
      <c r="D347" s="12" t="s">
        <v>456</v>
      </c>
      <c r="K347">
        <v>2</v>
      </c>
      <c r="O347">
        <v>16</v>
      </c>
      <c r="Q347">
        <v>1</v>
      </c>
      <c r="U347">
        <v>7</v>
      </c>
      <c r="V347" s="1" t="s">
        <v>1367</v>
      </c>
      <c r="Z347" t="s">
        <v>1368</v>
      </c>
      <c r="AA347" s="1" t="s">
        <v>1369</v>
      </c>
    </row>
    <row r="348" spans="1:17">
      <c r="A348" s="1" t="s">
        <v>1370</v>
      </c>
      <c r="B348" t="s">
        <v>440</v>
      </c>
      <c r="C348" t="s">
        <v>1371</v>
      </c>
      <c r="D348" s="12" t="s">
        <v>442</v>
      </c>
      <c r="F348">
        <v>27</v>
      </c>
      <c r="K348">
        <v>3</v>
      </c>
      <c r="L348">
        <v>3</v>
      </c>
      <c r="Q348">
        <v>1</v>
      </c>
    </row>
    <row r="349" spans="1:27">
      <c r="A349" s="1" t="s">
        <v>1372</v>
      </c>
      <c r="B349" t="s">
        <v>1139</v>
      </c>
      <c r="C349" t="s">
        <v>1373</v>
      </c>
      <c r="D349" s="12" t="s">
        <v>1141</v>
      </c>
      <c r="F349">
        <v>25</v>
      </c>
      <c r="Q349">
        <v>1</v>
      </c>
      <c r="S349">
        <v>22</v>
      </c>
      <c r="U349">
        <v>12</v>
      </c>
      <c r="V349" s="1" t="s">
        <v>1374</v>
      </c>
      <c r="Z349" t="s">
        <v>1375</v>
      </c>
      <c r="AA349" s="1" t="s">
        <v>1376</v>
      </c>
    </row>
    <row r="350" spans="1:27">
      <c r="A350" s="1" t="s">
        <v>1377</v>
      </c>
      <c r="B350" t="s">
        <v>591</v>
      </c>
      <c r="C350" t="s">
        <v>1378</v>
      </c>
      <c r="D350" s="12" t="s">
        <v>593</v>
      </c>
      <c r="F350">
        <v>4</v>
      </c>
      <c r="K350">
        <v>2</v>
      </c>
      <c r="Q350">
        <v>1</v>
      </c>
      <c r="V350" s="1" t="s">
        <v>1379</v>
      </c>
      <c r="Z350" t="s">
        <v>1380</v>
      </c>
      <c r="AA350" s="1" t="s">
        <v>1381</v>
      </c>
    </row>
    <row r="351" spans="1:21">
      <c r="A351" s="1" t="s">
        <v>1382</v>
      </c>
      <c r="B351" t="s">
        <v>559</v>
      </c>
      <c r="C351" t="s">
        <v>1383</v>
      </c>
      <c r="D351" s="12" t="s">
        <v>561</v>
      </c>
      <c r="O351">
        <v>2</v>
      </c>
      <c r="P351">
        <v>17</v>
      </c>
      <c r="Q351">
        <v>1</v>
      </c>
      <c r="U351">
        <v>9</v>
      </c>
    </row>
    <row r="352" spans="1:21">
      <c r="A352" s="1" t="s">
        <v>1384</v>
      </c>
      <c r="B352" t="s">
        <v>559</v>
      </c>
      <c r="C352" t="s">
        <v>1385</v>
      </c>
      <c r="D352" s="12" t="s">
        <v>561</v>
      </c>
      <c r="O352">
        <v>10</v>
      </c>
      <c r="P352">
        <v>19</v>
      </c>
      <c r="Q352">
        <v>1</v>
      </c>
      <c r="U352">
        <v>12</v>
      </c>
    </row>
    <row r="353" spans="1:21">
      <c r="A353" s="1" t="s">
        <v>1386</v>
      </c>
      <c r="B353" t="s">
        <v>454</v>
      </c>
      <c r="C353" t="s">
        <v>1387</v>
      </c>
      <c r="D353" s="12" t="s">
        <v>456</v>
      </c>
      <c r="K353">
        <v>3</v>
      </c>
      <c r="O353">
        <v>26</v>
      </c>
      <c r="Q353">
        <v>1</v>
      </c>
      <c r="U353">
        <v>15</v>
      </c>
    </row>
    <row r="354" spans="1:27">
      <c r="A354" s="1" t="s">
        <v>1388</v>
      </c>
      <c r="B354" t="s">
        <v>454</v>
      </c>
      <c r="C354" t="s">
        <v>1389</v>
      </c>
      <c r="D354" s="12" t="s">
        <v>456</v>
      </c>
      <c r="O354">
        <v>22</v>
      </c>
      <c r="Q354">
        <v>1</v>
      </c>
      <c r="U354">
        <v>14</v>
      </c>
      <c r="V354" s="1" t="s">
        <v>1390</v>
      </c>
      <c r="Z354" t="s">
        <v>1391</v>
      </c>
      <c r="AA354" s="1" t="s">
        <v>1392</v>
      </c>
    </row>
    <row r="355" spans="1:27">
      <c r="A355" s="1" t="s">
        <v>1393</v>
      </c>
      <c r="B355" t="s">
        <v>591</v>
      </c>
      <c r="C355" t="s">
        <v>1394</v>
      </c>
      <c r="D355" s="12" t="s">
        <v>593</v>
      </c>
      <c r="F355">
        <v>9</v>
      </c>
      <c r="K355">
        <v>3</v>
      </c>
      <c r="Q355">
        <v>1</v>
      </c>
      <c r="V355" s="1" t="s">
        <v>1395</v>
      </c>
      <c r="Z355" t="s">
        <v>1396</v>
      </c>
      <c r="AA355" s="1" t="s">
        <v>1397</v>
      </c>
    </row>
    <row r="356" spans="1:17">
      <c r="A356" s="1" t="s">
        <v>1398</v>
      </c>
      <c r="B356" t="s">
        <v>440</v>
      </c>
      <c r="C356" t="s">
        <v>1399</v>
      </c>
      <c r="D356" t="s">
        <v>442</v>
      </c>
      <c r="E356">
        <v>1</v>
      </c>
      <c r="F356">
        <v>23</v>
      </c>
      <c r="L356">
        <v>3</v>
      </c>
      <c r="Q356">
        <v>1</v>
      </c>
    </row>
    <row r="357" spans="1:26">
      <c r="A357" s="1" t="s">
        <v>1400</v>
      </c>
      <c r="B357" t="s">
        <v>440</v>
      </c>
      <c r="C357" t="s">
        <v>1401</v>
      </c>
      <c r="D357" t="s">
        <v>442</v>
      </c>
      <c r="F357">
        <v>5</v>
      </c>
      <c r="P357">
        <v>15</v>
      </c>
      <c r="Q357">
        <v>4.5</v>
      </c>
      <c r="R357">
        <v>0.5</v>
      </c>
      <c r="Z357" t="s">
        <v>1402</v>
      </c>
    </row>
    <row r="358" spans="1:26">
      <c r="A358" s="1" t="s">
        <v>1403</v>
      </c>
      <c r="B358" t="s">
        <v>559</v>
      </c>
      <c r="C358" t="s">
        <v>1404</v>
      </c>
      <c r="D358" t="s">
        <v>561</v>
      </c>
      <c r="M358">
        <v>6</v>
      </c>
      <c r="P358">
        <v>13</v>
      </c>
      <c r="Q358">
        <v>1</v>
      </c>
      <c r="U358">
        <v>5</v>
      </c>
      <c r="Z358" t="s">
        <v>457</v>
      </c>
    </row>
    <row r="359" spans="1:27">
      <c r="A359" s="1" t="s">
        <v>1405</v>
      </c>
      <c r="B359" t="s">
        <v>440</v>
      </c>
      <c r="C359" t="s">
        <v>1406</v>
      </c>
      <c r="D359" s="12" t="s">
        <v>442</v>
      </c>
      <c r="F359">
        <v>12</v>
      </c>
      <c r="K359">
        <v>2</v>
      </c>
      <c r="L359">
        <v>2</v>
      </c>
      <c r="Q359">
        <v>1</v>
      </c>
      <c r="V359" s="1" t="s">
        <v>511</v>
      </c>
      <c r="X359" s="13">
        <v>0.2</v>
      </c>
      <c r="AA359" t="s">
        <v>514</v>
      </c>
    </row>
    <row r="360" spans="1:27">
      <c r="A360" s="1" t="s">
        <v>1407</v>
      </c>
      <c r="B360" t="s">
        <v>528</v>
      </c>
      <c r="C360" t="s">
        <v>1408</v>
      </c>
      <c r="D360" t="s">
        <v>6</v>
      </c>
      <c r="G360">
        <v>18</v>
      </c>
      <c r="Q360">
        <v>1</v>
      </c>
      <c r="V360" s="1" t="s">
        <v>1409</v>
      </c>
      <c r="Z360" t="s">
        <v>1410</v>
      </c>
      <c r="AA360" s="1" t="s">
        <v>1411</v>
      </c>
    </row>
    <row r="361" spans="1:27">
      <c r="A361" s="1" t="s">
        <v>1412</v>
      </c>
      <c r="B361" t="s">
        <v>595</v>
      </c>
      <c r="C361" t="s">
        <v>1413</v>
      </c>
      <c r="D361" s="12" t="s">
        <v>597</v>
      </c>
      <c r="F361">
        <v>23</v>
      </c>
      <c r="M361">
        <v>1</v>
      </c>
      <c r="Q361">
        <v>1</v>
      </c>
      <c r="S361">
        <v>29</v>
      </c>
      <c r="U361">
        <v>8</v>
      </c>
      <c r="V361" s="1" t="s">
        <v>1414</v>
      </c>
      <c r="Z361" t="s">
        <v>1415</v>
      </c>
      <c r="AA361" s="1" t="s">
        <v>1416</v>
      </c>
    </row>
    <row r="362" spans="1:27">
      <c r="A362" s="1" t="s">
        <v>1417</v>
      </c>
      <c r="B362" t="s">
        <v>454</v>
      </c>
      <c r="C362" t="s">
        <v>1418</v>
      </c>
      <c r="D362" s="12" t="s">
        <v>456</v>
      </c>
      <c r="K362">
        <v>3</v>
      </c>
      <c r="L362">
        <v>3</v>
      </c>
      <c r="O362">
        <v>12</v>
      </c>
      <c r="Q362">
        <v>1</v>
      </c>
      <c r="U362">
        <v>5</v>
      </c>
      <c r="V362" s="1" t="s">
        <v>511</v>
      </c>
      <c r="X362" s="13">
        <v>0.15</v>
      </c>
      <c r="AA362" t="s">
        <v>621</v>
      </c>
    </row>
    <row r="363" spans="1:17">
      <c r="A363" s="1" t="s">
        <v>1419</v>
      </c>
      <c r="B363" t="s">
        <v>528</v>
      </c>
      <c r="C363" t="s">
        <v>1420</v>
      </c>
      <c r="D363" t="s">
        <v>6</v>
      </c>
      <c r="G363">
        <v>14</v>
      </c>
      <c r="I363">
        <v>7</v>
      </c>
      <c r="K363">
        <v>2</v>
      </c>
      <c r="Q363">
        <v>1</v>
      </c>
    </row>
    <row r="364" spans="1:21">
      <c r="A364" s="1" t="s">
        <v>1421</v>
      </c>
      <c r="B364" t="s">
        <v>454</v>
      </c>
      <c r="C364" t="s">
        <v>1422</v>
      </c>
      <c r="D364" s="12" t="s">
        <v>456</v>
      </c>
      <c r="K364">
        <v>2</v>
      </c>
      <c r="O364">
        <v>27</v>
      </c>
      <c r="Q364">
        <v>1</v>
      </c>
      <c r="U364">
        <v>20</v>
      </c>
    </row>
    <row r="365" spans="1:17">
      <c r="A365" s="1" t="s">
        <v>1423</v>
      </c>
      <c r="B365" t="s">
        <v>440</v>
      </c>
      <c r="C365" t="s">
        <v>1424</v>
      </c>
      <c r="D365" s="12" t="s">
        <v>442</v>
      </c>
      <c r="F365">
        <v>32</v>
      </c>
      <c r="L365">
        <v>3</v>
      </c>
      <c r="Q365">
        <v>1</v>
      </c>
    </row>
    <row r="366" spans="1:27">
      <c r="A366" s="1" t="s">
        <v>1425</v>
      </c>
      <c r="B366" t="s">
        <v>454</v>
      </c>
      <c r="C366" t="s">
        <v>1426</v>
      </c>
      <c r="D366" s="12" t="s">
        <v>456</v>
      </c>
      <c r="O366">
        <v>22</v>
      </c>
      <c r="P366">
        <v>5</v>
      </c>
      <c r="Q366">
        <v>1</v>
      </c>
      <c r="U366">
        <v>18</v>
      </c>
      <c r="V366" s="1" t="s">
        <v>511</v>
      </c>
      <c r="X366" s="13">
        <v>0.15</v>
      </c>
      <c r="AA366" t="s">
        <v>621</v>
      </c>
    </row>
    <row r="367" spans="1:27">
      <c r="A367" s="1" t="s">
        <v>1427</v>
      </c>
      <c r="B367" t="s">
        <v>528</v>
      </c>
      <c r="C367" t="s">
        <v>1428</v>
      </c>
      <c r="D367" t="s">
        <v>6</v>
      </c>
      <c r="G367">
        <v>15</v>
      </c>
      <c r="K367">
        <v>3</v>
      </c>
      <c r="M367">
        <v>4</v>
      </c>
      <c r="Q367">
        <v>1</v>
      </c>
      <c r="V367" s="1" t="s">
        <v>1429</v>
      </c>
      <c r="Z367" t="s">
        <v>1430</v>
      </c>
      <c r="AA367" s="1" t="s">
        <v>1431</v>
      </c>
    </row>
    <row r="368" spans="1:27">
      <c r="A368" s="1" t="s">
        <v>1432</v>
      </c>
      <c r="B368" t="s">
        <v>595</v>
      </c>
      <c r="C368" t="s">
        <v>1433</v>
      </c>
      <c r="D368" s="12" t="s">
        <v>597</v>
      </c>
      <c r="F368">
        <v>22</v>
      </c>
      <c r="M368">
        <v>1</v>
      </c>
      <c r="Q368">
        <v>1</v>
      </c>
      <c r="S368">
        <v>23</v>
      </c>
      <c r="U368">
        <v>9</v>
      </c>
      <c r="V368" s="1" t="s">
        <v>1434</v>
      </c>
      <c r="Z368" t="s">
        <v>1435</v>
      </c>
      <c r="AA368" s="1" t="s">
        <v>1436</v>
      </c>
    </row>
    <row r="369" spans="1:27">
      <c r="A369" s="1" t="s">
        <v>1437</v>
      </c>
      <c r="B369" t="s">
        <v>591</v>
      </c>
      <c r="C369" t="s">
        <v>1438</v>
      </c>
      <c r="D369" s="12" t="s">
        <v>593</v>
      </c>
      <c r="F369">
        <v>4</v>
      </c>
      <c r="K369">
        <v>2</v>
      </c>
      <c r="Q369">
        <v>1</v>
      </c>
      <c r="V369" s="1" t="s">
        <v>1439</v>
      </c>
      <c r="Z369" t="s">
        <v>1440</v>
      </c>
      <c r="AA369" s="1" t="s">
        <v>1441</v>
      </c>
    </row>
    <row r="370" spans="1:21">
      <c r="A370" s="1" t="s">
        <v>1442</v>
      </c>
      <c r="B370" t="s">
        <v>605</v>
      </c>
      <c r="C370" t="s">
        <v>1443</v>
      </c>
      <c r="D370" s="12" t="s">
        <v>607</v>
      </c>
      <c r="F370">
        <v>23</v>
      </c>
      <c r="P370">
        <v>16</v>
      </c>
      <c r="Q370">
        <v>3.8</v>
      </c>
      <c r="R370">
        <v>0.8</v>
      </c>
      <c r="T370">
        <v>19</v>
      </c>
      <c r="U370">
        <v>7</v>
      </c>
    </row>
    <row r="371" spans="1:17">
      <c r="A371" s="1" t="s">
        <v>1444</v>
      </c>
      <c r="B371" t="s">
        <v>591</v>
      </c>
      <c r="C371" t="s">
        <v>1445</v>
      </c>
      <c r="D371" s="12" t="s">
        <v>603</v>
      </c>
      <c r="F371">
        <v>3</v>
      </c>
      <c r="J371">
        <v>3</v>
      </c>
      <c r="K371">
        <v>2</v>
      </c>
      <c r="Q371">
        <v>1</v>
      </c>
    </row>
    <row r="372" spans="1:17">
      <c r="A372" s="1" t="s">
        <v>1446</v>
      </c>
      <c r="B372" t="s">
        <v>484</v>
      </c>
      <c r="C372" t="s">
        <v>1447</v>
      </c>
      <c r="D372" s="12" t="s">
        <v>486</v>
      </c>
      <c r="G372">
        <v>11</v>
      </c>
      <c r="I372">
        <v>11</v>
      </c>
      <c r="K372">
        <v>2</v>
      </c>
      <c r="Q372">
        <v>1</v>
      </c>
    </row>
    <row r="373" spans="1:27">
      <c r="A373" s="1" t="s">
        <v>1448</v>
      </c>
      <c r="B373" t="s">
        <v>528</v>
      </c>
      <c r="C373" t="s">
        <v>1449</v>
      </c>
      <c r="D373" t="s">
        <v>6</v>
      </c>
      <c r="G373">
        <v>23</v>
      </c>
      <c r="Q373">
        <v>1</v>
      </c>
      <c r="V373" s="1" t="s">
        <v>1450</v>
      </c>
      <c r="Z373" t="s">
        <v>1451</v>
      </c>
      <c r="AA373" s="1" t="s">
        <v>1452</v>
      </c>
    </row>
    <row r="374" spans="1:27">
      <c r="A374" s="1" t="s">
        <v>1453</v>
      </c>
      <c r="B374" t="s">
        <v>528</v>
      </c>
      <c r="C374" t="s">
        <v>1454</v>
      </c>
      <c r="D374" t="s">
        <v>6</v>
      </c>
      <c r="G374">
        <v>15</v>
      </c>
      <c r="K374">
        <v>1</v>
      </c>
      <c r="L374">
        <v>3</v>
      </c>
      <c r="M374">
        <v>1</v>
      </c>
      <c r="Q374">
        <v>1</v>
      </c>
      <c r="V374" s="1" t="s">
        <v>1099</v>
      </c>
      <c r="X374" s="13">
        <v>0.15</v>
      </c>
      <c r="AA374" t="s">
        <v>1455</v>
      </c>
    </row>
    <row r="375" s="14" customFormat="1" spans="1:27">
      <c r="A375" s="18" t="s">
        <v>1456</v>
      </c>
      <c r="B375" s="14" t="s">
        <v>528</v>
      </c>
      <c r="C375" s="14" t="s">
        <v>1457</v>
      </c>
      <c r="D375" s="14" t="s">
        <v>6</v>
      </c>
      <c r="G375" s="14">
        <v>15</v>
      </c>
      <c r="K375" s="14">
        <v>3</v>
      </c>
      <c r="M375" s="14">
        <v>7</v>
      </c>
      <c r="Q375" s="14">
        <v>1</v>
      </c>
      <c r="V375" s="18" t="s">
        <v>1458</v>
      </c>
      <c r="X375" s="34"/>
      <c r="Z375" t="s">
        <v>1459</v>
      </c>
      <c r="AA375" s="14" t="s">
        <v>1460</v>
      </c>
    </row>
    <row r="376" spans="1:27">
      <c r="A376" s="18" t="s">
        <v>1461</v>
      </c>
      <c r="B376" t="s">
        <v>440</v>
      </c>
      <c r="C376" t="s">
        <v>1462</v>
      </c>
      <c r="D376" s="12" t="s">
        <v>442</v>
      </c>
      <c r="F376">
        <v>28</v>
      </c>
      <c r="J376">
        <v>2</v>
      </c>
      <c r="K376">
        <v>5</v>
      </c>
      <c r="L376">
        <v>3</v>
      </c>
      <c r="P376">
        <v>8</v>
      </c>
      <c r="Q376">
        <v>2</v>
      </c>
      <c r="R376">
        <v>0.5</v>
      </c>
      <c r="V376" s="1" t="s">
        <v>1463</v>
      </c>
      <c r="Z376" t="s">
        <v>1464</v>
      </c>
      <c r="AA376" s="1" t="s">
        <v>1465</v>
      </c>
    </row>
    <row r="377" spans="1:26">
      <c r="A377" s="18" t="s">
        <v>1466</v>
      </c>
      <c r="B377" t="s">
        <v>449</v>
      </c>
      <c r="C377" t="s">
        <v>1467</v>
      </c>
      <c r="D377" t="s">
        <v>451</v>
      </c>
      <c r="F377">
        <v>1</v>
      </c>
      <c r="M377">
        <v>3</v>
      </c>
      <c r="N377">
        <v>3</v>
      </c>
      <c r="P377">
        <v>7</v>
      </c>
      <c r="Q377">
        <v>3</v>
      </c>
      <c r="R377">
        <v>0.4</v>
      </c>
      <c r="Z377" t="s">
        <v>1468</v>
      </c>
    </row>
    <row r="378" spans="1:21">
      <c r="A378" s="18" t="s">
        <v>1469</v>
      </c>
      <c r="B378" t="s">
        <v>454</v>
      </c>
      <c r="C378" t="s">
        <v>1470</v>
      </c>
      <c r="D378" s="12" t="s">
        <v>456</v>
      </c>
      <c r="K378">
        <v>3</v>
      </c>
      <c r="O378">
        <v>16</v>
      </c>
      <c r="Q378">
        <v>1</v>
      </c>
      <c r="U378">
        <v>10</v>
      </c>
    </row>
    <row r="379" spans="1:17">
      <c r="A379" s="18" t="s">
        <v>1471</v>
      </c>
      <c r="B379" t="s">
        <v>440</v>
      </c>
      <c r="C379" t="s">
        <v>1472</v>
      </c>
      <c r="D379" s="12" t="s">
        <v>442</v>
      </c>
      <c r="F379">
        <v>29</v>
      </c>
      <c r="K379">
        <v>2</v>
      </c>
      <c r="L379">
        <v>3</v>
      </c>
      <c r="Q379">
        <v>1</v>
      </c>
    </row>
    <row r="380" spans="1:27">
      <c r="A380" s="18" t="s">
        <v>1473</v>
      </c>
      <c r="B380" t="s">
        <v>454</v>
      </c>
      <c r="C380" t="s">
        <v>1474</v>
      </c>
      <c r="D380" s="12" t="s">
        <v>456</v>
      </c>
      <c r="I380">
        <v>2</v>
      </c>
      <c r="O380">
        <v>18</v>
      </c>
      <c r="Q380">
        <v>1</v>
      </c>
      <c r="U380">
        <v>7</v>
      </c>
      <c r="V380" s="1" t="s">
        <v>511</v>
      </c>
      <c r="X380" s="13">
        <v>0.25</v>
      </c>
      <c r="Z380" t="s">
        <v>743</v>
      </c>
      <c r="AA380" t="s">
        <v>744</v>
      </c>
    </row>
    <row r="381" spans="1:27">
      <c r="A381" s="18" t="s">
        <v>1475</v>
      </c>
      <c r="B381" t="s">
        <v>559</v>
      </c>
      <c r="C381" t="s">
        <v>1476</v>
      </c>
      <c r="D381" s="12" t="s">
        <v>561</v>
      </c>
      <c r="K381">
        <v>3</v>
      </c>
      <c r="M381">
        <v>3</v>
      </c>
      <c r="P381">
        <v>17</v>
      </c>
      <c r="Q381">
        <v>1</v>
      </c>
      <c r="U381">
        <v>8</v>
      </c>
      <c r="V381" s="1" t="s">
        <v>719</v>
      </c>
      <c r="X381" s="13">
        <v>-0.2</v>
      </c>
      <c r="Z381" t="s">
        <v>1477</v>
      </c>
      <c r="AA381" t="s">
        <v>1478</v>
      </c>
    </row>
    <row r="382" spans="1:18">
      <c r="A382" s="18" t="s">
        <v>1479</v>
      </c>
      <c r="B382" t="s">
        <v>440</v>
      </c>
      <c r="C382" t="s">
        <v>1480</v>
      </c>
      <c r="D382" s="12" t="s">
        <v>442</v>
      </c>
      <c r="F382">
        <v>33</v>
      </c>
      <c r="J382">
        <v>5</v>
      </c>
      <c r="K382">
        <v>7</v>
      </c>
      <c r="L382">
        <v>4</v>
      </c>
      <c r="M382">
        <v>2</v>
      </c>
      <c r="P382">
        <v>4</v>
      </c>
      <c r="Q382">
        <v>1</v>
      </c>
      <c r="R382">
        <v>0.25</v>
      </c>
    </row>
    <row r="383" spans="1:27">
      <c r="A383" s="18" t="s">
        <v>1481</v>
      </c>
      <c r="B383" t="s">
        <v>467</v>
      </c>
      <c r="C383" t="s">
        <v>1482</v>
      </c>
      <c r="D383" s="12" t="s">
        <v>469</v>
      </c>
      <c r="F383">
        <v>9</v>
      </c>
      <c r="G383">
        <v>9</v>
      </c>
      <c r="H383">
        <v>9</v>
      </c>
      <c r="J383">
        <v>9</v>
      </c>
      <c r="M383">
        <v>9</v>
      </c>
      <c r="N383">
        <v>9</v>
      </c>
      <c r="Q383">
        <v>1</v>
      </c>
      <c r="V383" s="1" t="s">
        <v>1483</v>
      </c>
      <c r="X383" s="13">
        <v>0.09</v>
      </c>
      <c r="Z383" t="s">
        <v>1484</v>
      </c>
      <c r="AA383" t="s">
        <v>1485</v>
      </c>
    </row>
    <row r="384" spans="1:27">
      <c r="A384" s="18" t="s">
        <v>1486</v>
      </c>
      <c r="B384" t="s">
        <v>595</v>
      </c>
      <c r="C384" t="s">
        <v>1487</v>
      </c>
      <c r="D384" s="12" t="s">
        <v>597</v>
      </c>
      <c r="F384">
        <v>23</v>
      </c>
      <c r="K384">
        <v>1</v>
      </c>
      <c r="Q384">
        <v>1</v>
      </c>
      <c r="S384">
        <v>26</v>
      </c>
      <c r="U384">
        <v>10</v>
      </c>
      <c r="V384" s="1" t="s">
        <v>1488</v>
      </c>
      <c r="Z384" t="s">
        <v>1489</v>
      </c>
      <c r="AA384" s="1" t="s">
        <v>1490</v>
      </c>
    </row>
    <row r="385" spans="1:27">
      <c r="A385" s="18" t="s">
        <v>1491</v>
      </c>
      <c r="B385" t="s">
        <v>591</v>
      </c>
      <c r="C385" t="s">
        <v>1492</v>
      </c>
      <c r="D385" s="12" t="s">
        <v>593</v>
      </c>
      <c r="F385">
        <v>3</v>
      </c>
      <c r="J385">
        <v>5</v>
      </c>
      <c r="K385">
        <v>6</v>
      </c>
      <c r="Q385">
        <v>1</v>
      </c>
      <c r="V385" s="1" t="s">
        <v>1493</v>
      </c>
      <c r="Z385" t="s">
        <v>1494</v>
      </c>
      <c r="AA385" s="1" t="s">
        <v>1495</v>
      </c>
    </row>
    <row r="386" spans="1:18">
      <c r="A386" s="18" t="s">
        <v>1496</v>
      </c>
      <c r="B386" t="s">
        <v>449</v>
      </c>
      <c r="C386" t="s">
        <v>1497</v>
      </c>
      <c r="D386" s="12" t="s">
        <v>451</v>
      </c>
      <c r="F386">
        <v>4</v>
      </c>
      <c r="J386">
        <v>6</v>
      </c>
      <c r="K386">
        <v>2</v>
      </c>
      <c r="M386">
        <v>3</v>
      </c>
      <c r="P386">
        <v>15</v>
      </c>
      <c r="Q386">
        <v>5</v>
      </c>
      <c r="R386">
        <v>0.55</v>
      </c>
    </row>
    <row r="387" spans="1:17">
      <c r="A387" s="18" t="s">
        <v>1498</v>
      </c>
      <c r="B387" t="s">
        <v>440</v>
      </c>
      <c r="C387" t="s">
        <v>1499</v>
      </c>
      <c r="D387" s="12" t="s">
        <v>442</v>
      </c>
      <c r="F387">
        <v>32</v>
      </c>
      <c r="K387">
        <v>1</v>
      </c>
      <c r="L387">
        <v>4</v>
      </c>
      <c r="Q387">
        <v>1</v>
      </c>
    </row>
    <row r="388" spans="1:21">
      <c r="A388" s="18" t="s">
        <v>1500</v>
      </c>
      <c r="B388" t="s">
        <v>454</v>
      </c>
      <c r="C388" t="s">
        <v>1501</v>
      </c>
      <c r="D388" s="12" t="s">
        <v>456</v>
      </c>
      <c r="O388">
        <v>23</v>
      </c>
      <c r="Q388">
        <v>1</v>
      </c>
      <c r="U388">
        <v>14</v>
      </c>
    </row>
    <row r="389" spans="1:21">
      <c r="A389" s="18" t="s">
        <v>1502</v>
      </c>
      <c r="B389" t="s">
        <v>559</v>
      </c>
      <c r="C389" t="s">
        <v>1503</v>
      </c>
      <c r="D389" s="12" t="s">
        <v>561</v>
      </c>
      <c r="M389">
        <v>1</v>
      </c>
      <c r="O389">
        <v>1</v>
      </c>
      <c r="P389">
        <v>18</v>
      </c>
      <c r="Q389">
        <v>1</v>
      </c>
      <c r="U389">
        <v>11</v>
      </c>
    </row>
    <row r="390" spans="1:27">
      <c r="A390" s="18" t="s">
        <v>1504</v>
      </c>
      <c r="B390" t="s">
        <v>440</v>
      </c>
      <c r="C390" t="s">
        <v>1505</v>
      </c>
      <c r="D390" s="12" t="s">
        <v>442</v>
      </c>
      <c r="F390">
        <v>4</v>
      </c>
      <c r="K390">
        <v>3</v>
      </c>
      <c r="L390">
        <v>1</v>
      </c>
      <c r="M390">
        <v>4</v>
      </c>
      <c r="P390">
        <v>12</v>
      </c>
      <c r="Q390">
        <v>3</v>
      </c>
      <c r="R390">
        <v>0.25</v>
      </c>
      <c r="V390" s="1" t="s">
        <v>1506</v>
      </c>
      <c r="X390" s="13">
        <v>0.05</v>
      </c>
      <c r="Z390" t="s">
        <v>1507</v>
      </c>
      <c r="AA390" t="s">
        <v>1508</v>
      </c>
    </row>
    <row r="391" spans="1:27">
      <c r="A391" s="18" t="s">
        <v>1509</v>
      </c>
      <c r="B391" t="s">
        <v>440</v>
      </c>
      <c r="C391" t="s">
        <v>1510</v>
      </c>
      <c r="D391" s="12" t="s">
        <v>442</v>
      </c>
      <c r="F391">
        <v>10</v>
      </c>
      <c r="L391">
        <v>2</v>
      </c>
      <c r="M391">
        <v>3</v>
      </c>
      <c r="Q391">
        <v>1</v>
      </c>
      <c r="V391" s="1" t="s">
        <v>1511</v>
      </c>
      <c r="Z391" t="s">
        <v>1512</v>
      </c>
      <c r="AA391" s="1" t="s">
        <v>1513</v>
      </c>
    </row>
    <row r="392" spans="1:27">
      <c r="A392" s="18" t="s">
        <v>1514</v>
      </c>
      <c r="B392" t="s">
        <v>440</v>
      </c>
      <c r="C392" t="s">
        <v>1515</v>
      </c>
      <c r="D392" s="12" t="s">
        <v>442</v>
      </c>
      <c r="E392">
        <v>2</v>
      </c>
      <c r="F392">
        <v>3</v>
      </c>
      <c r="H392">
        <v>3</v>
      </c>
      <c r="K392">
        <v>2</v>
      </c>
      <c r="L392">
        <v>1</v>
      </c>
      <c r="M392">
        <v>4</v>
      </c>
      <c r="Q392">
        <v>1</v>
      </c>
      <c r="V392" s="1" t="s">
        <v>1516</v>
      </c>
      <c r="Z392" t="s">
        <v>1517</v>
      </c>
      <c r="AA392" s="1" t="s">
        <v>1518</v>
      </c>
    </row>
    <row r="393" spans="1:21">
      <c r="A393" s="18" t="s">
        <v>1519</v>
      </c>
      <c r="B393" t="s">
        <v>595</v>
      </c>
      <c r="C393" t="s">
        <v>1520</v>
      </c>
      <c r="D393" s="12" t="s">
        <v>597</v>
      </c>
      <c r="F393">
        <v>22</v>
      </c>
      <c r="Q393">
        <v>1</v>
      </c>
      <c r="S393">
        <v>23</v>
      </c>
      <c r="U393">
        <v>8</v>
      </c>
    </row>
    <row r="394" spans="1:17">
      <c r="A394" s="18" t="s">
        <v>1521</v>
      </c>
      <c r="B394" t="s">
        <v>591</v>
      </c>
      <c r="C394" t="s">
        <v>1522</v>
      </c>
      <c r="D394" s="12" t="s">
        <v>593</v>
      </c>
      <c r="F394">
        <v>1</v>
      </c>
      <c r="K394">
        <v>2</v>
      </c>
      <c r="M394">
        <v>1</v>
      </c>
      <c r="Q394">
        <v>1</v>
      </c>
    </row>
    <row r="395" spans="1:17">
      <c r="A395" s="18" t="s">
        <v>1523</v>
      </c>
      <c r="B395" t="s">
        <v>440</v>
      </c>
      <c r="C395" t="s">
        <v>1524</v>
      </c>
      <c r="D395" s="12" t="s">
        <v>442</v>
      </c>
      <c r="F395">
        <v>8</v>
      </c>
      <c r="H395">
        <v>3</v>
      </c>
      <c r="K395">
        <v>3</v>
      </c>
      <c r="L395">
        <v>3</v>
      </c>
      <c r="Q395">
        <v>1</v>
      </c>
    </row>
    <row r="396" spans="1:26">
      <c r="A396" s="18" t="s">
        <v>1525</v>
      </c>
      <c r="B396" t="s">
        <v>559</v>
      </c>
      <c r="C396" t="s">
        <v>1526</v>
      </c>
      <c r="D396" s="12" t="s">
        <v>561</v>
      </c>
      <c r="J396">
        <v>2</v>
      </c>
      <c r="K396">
        <v>2</v>
      </c>
      <c r="N396">
        <v>2</v>
      </c>
      <c r="P396">
        <v>15</v>
      </c>
      <c r="Q396">
        <v>1</v>
      </c>
      <c r="U396">
        <v>9</v>
      </c>
      <c r="W396">
        <v>15</v>
      </c>
      <c r="Y396" t="s">
        <v>1527</v>
      </c>
      <c r="Z396" t="s">
        <v>1528</v>
      </c>
    </row>
    <row r="397" spans="1:17">
      <c r="A397" s="18" t="s">
        <v>1529</v>
      </c>
      <c r="B397" t="s">
        <v>440</v>
      </c>
      <c r="C397" t="s">
        <v>1530</v>
      </c>
      <c r="D397" s="12" t="s">
        <v>442</v>
      </c>
      <c r="F397">
        <v>29</v>
      </c>
      <c r="L397">
        <v>3</v>
      </c>
      <c r="M397">
        <v>3</v>
      </c>
      <c r="Q397">
        <v>1</v>
      </c>
    </row>
    <row r="398" spans="1:27">
      <c r="A398" s="18" t="s">
        <v>1531</v>
      </c>
      <c r="B398" t="s">
        <v>463</v>
      </c>
      <c r="C398" t="s">
        <v>1532</v>
      </c>
      <c r="D398" s="12" t="s">
        <v>465</v>
      </c>
      <c r="I398">
        <v>15</v>
      </c>
      <c r="J398">
        <v>5</v>
      </c>
      <c r="M398">
        <v>3</v>
      </c>
      <c r="Q398">
        <v>1</v>
      </c>
      <c r="V398" s="1" t="s">
        <v>1286</v>
      </c>
      <c r="X398" s="13">
        <v>0.15</v>
      </c>
      <c r="Z398" t="s">
        <v>1533</v>
      </c>
      <c r="AA398" t="s">
        <v>1534</v>
      </c>
    </row>
    <row r="399" spans="1:27">
      <c r="A399" s="18" t="s">
        <v>1535</v>
      </c>
      <c r="B399" t="s">
        <v>516</v>
      </c>
      <c r="C399" t="s">
        <v>1536</v>
      </c>
      <c r="D399" s="12" t="s">
        <v>518</v>
      </c>
      <c r="G399">
        <v>11</v>
      </c>
      <c r="I399">
        <v>13</v>
      </c>
      <c r="J399">
        <v>4</v>
      </c>
      <c r="Q399">
        <v>1</v>
      </c>
      <c r="U399">
        <v>5</v>
      </c>
      <c r="V399" s="1" t="s">
        <v>1537</v>
      </c>
      <c r="X399" s="13" t="s">
        <v>1538</v>
      </c>
      <c r="Z399" t="s">
        <v>1539</v>
      </c>
      <c r="AA399" t="s">
        <v>1540</v>
      </c>
    </row>
    <row r="400" spans="1:27">
      <c r="A400" s="18" t="s">
        <v>1541</v>
      </c>
      <c r="B400" s="14" t="s">
        <v>528</v>
      </c>
      <c r="C400" t="s">
        <v>1542</v>
      </c>
      <c r="D400" s="12" t="s">
        <v>6</v>
      </c>
      <c r="G400">
        <v>15</v>
      </c>
      <c r="K400">
        <v>9</v>
      </c>
      <c r="M400">
        <v>4</v>
      </c>
      <c r="Q400">
        <v>1</v>
      </c>
      <c r="V400" s="1" t="s">
        <v>1543</v>
      </c>
      <c r="Z400" t="s">
        <v>1544</v>
      </c>
      <c r="AA400" s="1" t="s">
        <v>1545</v>
      </c>
    </row>
    <row r="401" spans="1:27">
      <c r="A401" s="18" t="s">
        <v>1546</v>
      </c>
      <c r="B401" s="14" t="s">
        <v>528</v>
      </c>
      <c r="C401" t="s">
        <v>1547</v>
      </c>
      <c r="D401" s="12" t="s">
        <v>6</v>
      </c>
      <c r="G401">
        <v>16</v>
      </c>
      <c r="K401">
        <v>5</v>
      </c>
      <c r="M401">
        <v>7</v>
      </c>
      <c r="Q401">
        <v>1</v>
      </c>
      <c r="V401" s="1" t="s">
        <v>1548</v>
      </c>
      <c r="X401" s="13" t="s">
        <v>1549</v>
      </c>
      <c r="Z401" t="s">
        <v>1550</v>
      </c>
      <c r="AA401" t="s">
        <v>1551</v>
      </c>
    </row>
    <row r="402" spans="1:27">
      <c r="A402" s="18" t="s">
        <v>1552</v>
      </c>
      <c r="B402" t="s">
        <v>454</v>
      </c>
      <c r="C402" t="s">
        <v>1553</v>
      </c>
      <c r="D402" s="12" t="s">
        <v>456</v>
      </c>
      <c r="I402">
        <v>6</v>
      </c>
      <c r="J402">
        <v>5</v>
      </c>
      <c r="O402">
        <v>14</v>
      </c>
      <c r="Q402">
        <v>1</v>
      </c>
      <c r="U402">
        <v>9</v>
      </c>
      <c r="V402" s="1" t="s">
        <v>1537</v>
      </c>
      <c r="X402" s="13" t="s">
        <v>1554</v>
      </c>
      <c r="Z402" t="s">
        <v>1555</v>
      </c>
      <c r="AA402" t="s">
        <v>1556</v>
      </c>
    </row>
    <row r="403" spans="1:27">
      <c r="A403" s="18" t="s">
        <v>1557</v>
      </c>
      <c r="B403" t="s">
        <v>516</v>
      </c>
      <c r="C403" t="s">
        <v>1558</v>
      </c>
      <c r="D403" s="12" t="s">
        <v>518</v>
      </c>
      <c r="G403">
        <v>15</v>
      </c>
      <c r="I403">
        <v>5</v>
      </c>
      <c r="K403">
        <v>2</v>
      </c>
      <c r="Q403">
        <v>1</v>
      </c>
      <c r="U403">
        <v>6</v>
      </c>
      <c r="V403" s="1" t="s">
        <v>1559</v>
      </c>
      <c r="Z403" t="s">
        <v>1560</v>
      </c>
      <c r="AA403" s="1" t="s">
        <v>1561</v>
      </c>
    </row>
    <row r="404" spans="1:27">
      <c r="A404" s="18" t="s">
        <v>1562</v>
      </c>
      <c r="B404" t="s">
        <v>595</v>
      </c>
      <c r="C404" t="s">
        <v>1563</v>
      </c>
      <c r="D404" s="12" t="s">
        <v>597</v>
      </c>
      <c r="F404">
        <v>29</v>
      </c>
      <c r="K404">
        <v>1</v>
      </c>
      <c r="Q404">
        <v>1</v>
      </c>
      <c r="S404">
        <v>25</v>
      </c>
      <c r="U404">
        <v>15</v>
      </c>
      <c r="V404" s="1" t="s">
        <v>1564</v>
      </c>
      <c r="Z404" t="s">
        <v>1565</v>
      </c>
      <c r="AA404" s="1" t="s">
        <v>1566</v>
      </c>
    </row>
    <row r="405" spans="1:17">
      <c r="A405" s="18" t="s">
        <v>1567</v>
      </c>
      <c r="B405" t="s">
        <v>467</v>
      </c>
      <c r="C405" t="s">
        <v>1568</v>
      </c>
      <c r="D405" t="s">
        <v>469</v>
      </c>
      <c r="J405">
        <v>5</v>
      </c>
      <c r="K405">
        <v>2</v>
      </c>
      <c r="L405">
        <v>3</v>
      </c>
      <c r="Q405">
        <v>1</v>
      </c>
    </row>
    <row r="406" spans="1:27">
      <c r="A406" s="1" t="s">
        <v>1569</v>
      </c>
      <c r="B406" t="s">
        <v>605</v>
      </c>
      <c r="C406" t="s">
        <v>1570</v>
      </c>
      <c r="D406" s="12" t="s">
        <v>607</v>
      </c>
      <c r="F406">
        <v>14</v>
      </c>
      <c r="P406">
        <v>17</v>
      </c>
      <c r="Q406">
        <v>3.5</v>
      </c>
      <c r="R406">
        <v>0.72</v>
      </c>
      <c r="T406">
        <v>25</v>
      </c>
      <c r="U406">
        <v>8</v>
      </c>
      <c r="V406" s="1" t="s">
        <v>1571</v>
      </c>
      <c r="Z406" t="s">
        <v>1572</v>
      </c>
      <c r="AA406" s="1" t="s">
        <v>1573</v>
      </c>
    </row>
    <row r="407" spans="1:27">
      <c r="A407" s="1" t="s">
        <v>1574</v>
      </c>
      <c r="B407" t="s">
        <v>591</v>
      </c>
      <c r="C407" t="s">
        <v>1575</v>
      </c>
      <c r="D407" s="12" t="s">
        <v>603</v>
      </c>
      <c r="F407">
        <v>3</v>
      </c>
      <c r="J407">
        <v>3</v>
      </c>
      <c r="K407">
        <v>1</v>
      </c>
      <c r="M407">
        <v>1</v>
      </c>
      <c r="Q407">
        <v>1</v>
      </c>
      <c r="V407" s="1" t="s">
        <v>1576</v>
      </c>
      <c r="Z407" t="s">
        <v>1577</v>
      </c>
      <c r="AA407" s="1" t="s">
        <v>1578</v>
      </c>
    </row>
    <row r="408" spans="1:27">
      <c r="A408" s="1" t="s">
        <v>1579</v>
      </c>
      <c r="B408" t="s">
        <v>440</v>
      </c>
      <c r="C408" t="s">
        <v>1580</v>
      </c>
      <c r="D408" t="s">
        <v>442</v>
      </c>
      <c r="F408">
        <v>13</v>
      </c>
      <c r="K408">
        <v>5</v>
      </c>
      <c r="L408">
        <v>3</v>
      </c>
      <c r="P408">
        <v>13</v>
      </c>
      <c r="Q408">
        <v>3.5</v>
      </c>
      <c r="R408">
        <v>0.6</v>
      </c>
      <c r="Z408" t="s">
        <v>1581</v>
      </c>
      <c r="AA408" s="1" t="s">
        <v>1582</v>
      </c>
    </row>
    <row r="409" spans="1:27">
      <c r="A409" s="1" t="s">
        <v>1583</v>
      </c>
      <c r="B409" t="s">
        <v>516</v>
      </c>
      <c r="C409" t="s">
        <v>1584</v>
      </c>
      <c r="D409" s="12" t="s">
        <v>518</v>
      </c>
      <c r="G409">
        <v>8</v>
      </c>
      <c r="I409">
        <v>15</v>
      </c>
      <c r="J409">
        <v>12</v>
      </c>
      <c r="K409">
        <v>7</v>
      </c>
      <c r="M409">
        <v>5</v>
      </c>
      <c r="Q409">
        <v>1</v>
      </c>
      <c r="U409">
        <v>5</v>
      </c>
      <c r="Z409" t="s">
        <v>1585</v>
      </c>
      <c r="AA409" s="1" t="s">
        <v>1586</v>
      </c>
    </row>
    <row r="410" spans="1:27">
      <c r="A410" s="1" t="s">
        <v>1587</v>
      </c>
      <c r="B410" t="s">
        <v>467</v>
      </c>
      <c r="C410" t="s">
        <v>1588</v>
      </c>
      <c r="D410" t="s">
        <v>469</v>
      </c>
      <c r="I410">
        <v>16</v>
      </c>
      <c r="J410">
        <v>3</v>
      </c>
      <c r="L410">
        <v>3</v>
      </c>
      <c r="M410">
        <v>2</v>
      </c>
      <c r="Q410">
        <v>1</v>
      </c>
      <c r="Z410" t="s">
        <v>1589</v>
      </c>
      <c r="AA410" s="1" t="s">
        <v>1294</v>
      </c>
    </row>
    <row r="411" spans="1:27">
      <c r="A411" s="1" t="s">
        <v>1590</v>
      </c>
      <c r="B411" t="s">
        <v>516</v>
      </c>
      <c r="C411" t="s">
        <v>1591</v>
      </c>
      <c r="D411" s="12" t="s">
        <v>518</v>
      </c>
      <c r="G411">
        <v>16</v>
      </c>
      <c r="K411">
        <v>3</v>
      </c>
      <c r="Q411">
        <v>1</v>
      </c>
      <c r="U411">
        <v>8</v>
      </c>
      <c r="Z411" t="s">
        <v>1592</v>
      </c>
      <c r="AA411" s="1" t="s">
        <v>1593</v>
      </c>
    </row>
    <row r="412" spans="1:27">
      <c r="A412" s="1" t="s">
        <v>1594</v>
      </c>
      <c r="B412" t="s">
        <v>502</v>
      </c>
      <c r="C412" t="s">
        <v>1595</v>
      </c>
      <c r="D412" s="12" t="s">
        <v>504</v>
      </c>
      <c r="F412">
        <v>9</v>
      </c>
      <c r="Q412">
        <v>1</v>
      </c>
      <c r="Z412" t="s">
        <v>1596</v>
      </c>
      <c r="AA412" t="s">
        <v>1597</v>
      </c>
    </row>
    <row r="413" spans="1:27">
      <c r="A413" s="1" t="s">
        <v>1598</v>
      </c>
      <c r="B413" t="s">
        <v>605</v>
      </c>
      <c r="C413" t="s">
        <v>1599</v>
      </c>
      <c r="D413" s="12" t="s">
        <v>607</v>
      </c>
      <c r="F413">
        <v>14</v>
      </c>
      <c r="P413">
        <v>18</v>
      </c>
      <c r="Q413">
        <v>3</v>
      </c>
      <c r="R413">
        <v>0.75</v>
      </c>
      <c r="T413">
        <v>29</v>
      </c>
      <c r="U413">
        <v>10</v>
      </c>
      <c r="Z413" t="s">
        <v>1600</v>
      </c>
      <c r="AA413" s="1" t="s">
        <v>1601</v>
      </c>
    </row>
    <row r="414" spans="1:27">
      <c r="A414" s="1" t="s">
        <v>1602</v>
      </c>
      <c r="B414" t="s">
        <v>528</v>
      </c>
      <c r="C414" t="s">
        <v>1603</v>
      </c>
      <c r="D414" s="12" t="s">
        <v>6</v>
      </c>
      <c r="G414">
        <v>12</v>
      </c>
      <c r="I414">
        <v>10</v>
      </c>
      <c r="K414">
        <v>3</v>
      </c>
      <c r="Q414">
        <v>1</v>
      </c>
      <c r="Z414" t="s">
        <v>1604</v>
      </c>
      <c r="AA414" s="1" t="s">
        <v>1605</v>
      </c>
    </row>
    <row r="415" spans="1:27">
      <c r="A415" s="1" t="s">
        <v>1606</v>
      </c>
      <c r="B415" t="s">
        <v>440</v>
      </c>
      <c r="C415" t="s">
        <v>1607</v>
      </c>
      <c r="D415" s="12" t="s">
        <v>442</v>
      </c>
      <c r="F415">
        <v>14</v>
      </c>
      <c r="K415">
        <v>1</v>
      </c>
      <c r="L415">
        <v>3</v>
      </c>
      <c r="Q415">
        <v>1</v>
      </c>
      <c r="Z415" t="s">
        <v>1608</v>
      </c>
      <c r="AA415" s="1" t="s">
        <v>1609</v>
      </c>
    </row>
    <row r="416" spans="1:27">
      <c r="A416" s="1" t="s">
        <v>1610</v>
      </c>
      <c r="B416" t="s">
        <v>454</v>
      </c>
      <c r="C416" t="s">
        <v>1611</v>
      </c>
      <c r="D416" s="12" t="s">
        <v>456</v>
      </c>
      <c r="I416">
        <v>6</v>
      </c>
      <c r="K416">
        <v>2</v>
      </c>
      <c r="O416">
        <v>18</v>
      </c>
      <c r="Q416">
        <v>1</v>
      </c>
      <c r="U416">
        <v>10</v>
      </c>
      <c r="Z416" t="s">
        <v>1612</v>
      </c>
      <c r="AA416" s="1" t="s">
        <v>1613</v>
      </c>
    </row>
    <row r="417" spans="1:27">
      <c r="A417" s="1" t="s">
        <v>1614</v>
      </c>
      <c r="B417" t="s">
        <v>454</v>
      </c>
      <c r="C417" t="s">
        <v>1615</v>
      </c>
      <c r="D417" s="12" t="s">
        <v>456</v>
      </c>
      <c r="F417">
        <v>5</v>
      </c>
      <c r="K417">
        <v>2</v>
      </c>
      <c r="M417">
        <v>3</v>
      </c>
      <c r="N417">
        <v>6</v>
      </c>
      <c r="O417">
        <v>13</v>
      </c>
      <c r="Q417">
        <v>1</v>
      </c>
      <c r="U417">
        <v>5</v>
      </c>
      <c r="Z417" t="s">
        <v>1616</v>
      </c>
      <c r="AA417" s="1" t="s">
        <v>1617</v>
      </c>
    </row>
    <row r="418" s="16" customFormat="1" spans="1:27">
      <c r="A418" s="24" t="s">
        <v>1618</v>
      </c>
      <c r="B418" s="16" t="s">
        <v>454</v>
      </c>
      <c r="C418" s="16" t="s">
        <v>1619</v>
      </c>
      <c r="D418" s="30" t="s">
        <v>456</v>
      </c>
      <c r="K418" s="16">
        <v>2</v>
      </c>
      <c r="M418" s="16">
        <v>1</v>
      </c>
      <c r="O418" s="16">
        <v>17</v>
      </c>
      <c r="Q418" s="16">
        <v>1</v>
      </c>
      <c r="U418" s="16">
        <v>9</v>
      </c>
      <c r="V418" s="24"/>
      <c r="X418" s="31"/>
      <c r="Z418" s="16" t="s">
        <v>1620</v>
      </c>
      <c r="AA418" s="16" t="s">
        <v>1621</v>
      </c>
    </row>
    <row r="419" s="16" customFormat="1" spans="1:27">
      <c r="A419" s="24" t="s">
        <v>1622</v>
      </c>
      <c r="B419" s="16" t="s">
        <v>591</v>
      </c>
      <c r="C419" s="16" t="s">
        <v>1623</v>
      </c>
      <c r="D419" s="30" t="s">
        <v>603</v>
      </c>
      <c r="F419" s="16">
        <v>3</v>
      </c>
      <c r="J419" s="16">
        <v>3</v>
      </c>
      <c r="K419" s="16">
        <v>2</v>
      </c>
      <c r="P419" s="16">
        <v>2</v>
      </c>
      <c r="Q419" s="16">
        <v>1</v>
      </c>
      <c r="V419" s="24"/>
      <c r="X419" s="31"/>
      <c r="Z419" s="16" t="s">
        <v>1624</v>
      </c>
      <c r="AA419" s="16" t="s">
        <v>1625</v>
      </c>
    </row>
    <row r="420" s="16" customFormat="1" spans="1:27">
      <c r="A420" s="24" t="s">
        <v>1626</v>
      </c>
      <c r="B420" s="16" t="s">
        <v>605</v>
      </c>
      <c r="C420" s="16" t="s">
        <v>1627</v>
      </c>
      <c r="D420" s="30" t="s">
        <v>607</v>
      </c>
      <c r="F420" s="16">
        <v>14</v>
      </c>
      <c r="P420" s="16">
        <v>18</v>
      </c>
      <c r="Q420" s="16">
        <v>3.5</v>
      </c>
      <c r="R420" s="16">
        <v>0.72</v>
      </c>
      <c r="T420" s="16">
        <v>27</v>
      </c>
      <c r="U420" s="16">
        <v>8</v>
      </c>
      <c r="V420" s="24"/>
      <c r="X420" s="31"/>
      <c r="Z420" s="16" t="s">
        <v>1628</v>
      </c>
      <c r="AA420" s="24" t="s">
        <v>1629</v>
      </c>
    </row>
    <row r="421" s="16" customFormat="1" spans="1:27">
      <c r="A421" s="24" t="s">
        <v>1630</v>
      </c>
      <c r="B421" s="16" t="s">
        <v>591</v>
      </c>
      <c r="C421" s="16" t="s">
        <v>1631</v>
      </c>
      <c r="D421" s="30" t="s">
        <v>603</v>
      </c>
      <c r="F421" s="16">
        <v>6</v>
      </c>
      <c r="J421" s="16">
        <v>3</v>
      </c>
      <c r="K421" s="16">
        <v>2</v>
      </c>
      <c r="M421" s="16">
        <v>1</v>
      </c>
      <c r="Q421" s="16">
        <v>1</v>
      </c>
      <c r="V421" s="24"/>
      <c r="X421" s="31"/>
      <c r="Z421" s="16" t="s">
        <v>1632</v>
      </c>
      <c r="AA421" s="16" t="s">
        <v>1633</v>
      </c>
    </row>
    <row r="422" s="15" customFormat="1" spans="1:27">
      <c r="A422" s="21" t="s">
        <v>1634</v>
      </c>
      <c r="B422" s="15" t="s">
        <v>440</v>
      </c>
      <c r="C422" s="15" t="s">
        <v>1635</v>
      </c>
      <c r="D422" s="35" t="s">
        <v>442</v>
      </c>
      <c r="E422" s="15"/>
      <c r="F422" s="15">
        <v>13</v>
      </c>
      <c r="G422" s="15"/>
      <c r="H422" s="15"/>
      <c r="I422" s="15"/>
      <c r="J422" s="15"/>
      <c r="K422" s="15">
        <v>1</v>
      </c>
      <c r="L422" s="15">
        <v>3</v>
      </c>
      <c r="M422" s="15"/>
      <c r="N422" s="15"/>
      <c r="O422" s="15"/>
      <c r="P422" s="15"/>
      <c r="Q422" s="15">
        <v>1</v>
      </c>
      <c r="R422" s="15"/>
      <c r="S422" s="15"/>
      <c r="T422" s="15"/>
      <c r="U422" s="15"/>
      <c r="V422" s="21"/>
      <c r="W422" s="15"/>
      <c r="X422" s="36"/>
      <c r="Y422" s="15"/>
      <c r="Z422" s="15" t="s">
        <v>1636</v>
      </c>
      <c r="AA422" s="15" t="s">
        <v>1637</v>
      </c>
    </row>
    <row r="423" s="15" customFormat="1" spans="1:27">
      <c r="A423" s="21" t="s">
        <v>1638</v>
      </c>
      <c r="B423" s="15" t="s">
        <v>440</v>
      </c>
      <c r="C423" s="15" t="s">
        <v>1639</v>
      </c>
      <c r="D423" s="35" t="s">
        <v>442</v>
      </c>
      <c r="E423" s="15"/>
      <c r="F423" s="15">
        <v>28</v>
      </c>
      <c r="G423" s="15"/>
      <c r="H423" s="15"/>
      <c r="I423" s="15"/>
      <c r="J423" s="15"/>
      <c r="K423" s="15">
        <v>2</v>
      </c>
      <c r="L423" s="15">
        <v>3</v>
      </c>
      <c r="M423" s="15"/>
      <c r="N423" s="15"/>
      <c r="O423" s="15"/>
      <c r="P423" s="15"/>
      <c r="Q423" s="15">
        <v>1</v>
      </c>
      <c r="R423" s="15"/>
      <c r="S423" s="15"/>
      <c r="T423" s="15"/>
      <c r="U423" s="15"/>
      <c r="V423" s="21"/>
      <c r="W423" s="15"/>
      <c r="X423" s="36"/>
      <c r="Y423" s="15"/>
      <c r="Z423" s="15" t="s">
        <v>1640</v>
      </c>
      <c r="AA423" s="15" t="s">
        <v>1641</v>
      </c>
    </row>
    <row r="424" s="15" customFormat="1" spans="1:27">
      <c r="A424" s="21" t="s">
        <v>1642</v>
      </c>
      <c r="B424" s="15" t="s">
        <v>440</v>
      </c>
      <c r="C424" s="15" t="s">
        <v>1643</v>
      </c>
      <c r="D424" s="35" t="s">
        <v>442</v>
      </c>
      <c r="E424" s="15"/>
      <c r="F424" s="15">
        <v>14</v>
      </c>
      <c r="G424" s="15"/>
      <c r="H424" s="15"/>
      <c r="I424" s="15"/>
      <c r="J424" s="15"/>
      <c r="K424" s="15"/>
      <c r="L424" s="15">
        <v>3</v>
      </c>
      <c r="M424" s="15"/>
      <c r="N424" s="15"/>
      <c r="O424" s="15"/>
      <c r="P424" s="15"/>
      <c r="Q424" s="15">
        <v>1</v>
      </c>
      <c r="R424" s="15"/>
      <c r="S424" s="15"/>
      <c r="T424" s="15"/>
      <c r="U424" s="15"/>
      <c r="V424" s="21"/>
      <c r="W424" s="15"/>
      <c r="X424" s="36"/>
      <c r="Y424" s="15"/>
      <c r="Z424" s="15" t="s">
        <v>1644</v>
      </c>
      <c r="AA424" s="15" t="s">
        <v>1645</v>
      </c>
    </row>
    <row r="425" spans="1:16384">
      <c r="A425" s="21" t="s">
        <v>1646</v>
      </c>
      <c r="B425" s="15" t="s">
        <v>559</v>
      </c>
      <c r="C425" s="15" t="s">
        <v>1647</v>
      </c>
      <c r="D425" s="35" t="s">
        <v>561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>
        <v>6</v>
      </c>
      <c r="P425" s="15">
        <v>22</v>
      </c>
      <c r="Q425" s="15">
        <v>1</v>
      </c>
      <c r="R425" s="15"/>
      <c r="S425" s="15"/>
      <c r="T425" s="15"/>
      <c r="U425" s="15">
        <v>13</v>
      </c>
      <c r="V425" s="21"/>
      <c r="W425" s="15"/>
      <c r="X425" s="36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  <c r="EY425" s="15"/>
      <c r="EZ425" s="15"/>
      <c r="FA425" s="15"/>
      <c r="FB425" s="15"/>
      <c r="FC425" s="15"/>
      <c r="FD425" s="15"/>
      <c r="FE425" s="15"/>
      <c r="FF425" s="15"/>
      <c r="FG425" s="15"/>
      <c r="FH425" s="15"/>
      <c r="FI425" s="15"/>
      <c r="FJ425" s="15"/>
      <c r="FK425" s="15"/>
      <c r="FL425" s="15"/>
      <c r="FM425" s="15"/>
      <c r="FN425" s="15"/>
      <c r="FO425" s="15"/>
      <c r="FP425" s="15"/>
      <c r="FQ425" s="15"/>
      <c r="FR425" s="15"/>
      <c r="FS425" s="15"/>
      <c r="FT425" s="15"/>
      <c r="FU425" s="15"/>
      <c r="FV425" s="15"/>
      <c r="FW425" s="15"/>
      <c r="FX425" s="15"/>
      <c r="FY425" s="15"/>
      <c r="FZ425" s="15"/>
      <c r="GA425" s="15"/>
      <c r="GB425" s="15"/>
      <c r="GC425" s="15"/>
      <c r="GD425" s="15"/>
      <c r="GE425" s="15"/>
      <c r="GF425" s="15"/>
      <c r="GG425" s="15"/>
      <c r="GH425" s="15"/>
      <c r="GI425" s="15"/>
      <c r="GJ425" s="15"/>
      <c r="GK425" s="15"/>
      <c r="GL425" s="15"/>
      <c r="GM425" s="15"/>
      <c r="GN425" s="15"/>
      <c r="GO425" s="15"/>
      <c r="GP425" s="15"/>
      <c r="GQ425" s="15"/>
      <c r="GR425" s="15"/>
      <c r="GS425" s="15"/>
      <c r="GT425" s="15"/>
      <c r="GU425" s="15"/>
      <c r="GV425" s="15"/>
      <c r="GW425" s="15"/>
      <c r="GX425" s="15"/>
      <c r="GY425" s="15"/>
      <c r="GZ425" s="15"/>
      <c r="HA425" s="15"/>
      <c r="HB425" s="15"/>
      <c r="HC425" s="15"/>
      <c r="HD425" s="15"/>
      <c r="HE425" s="15"/>
      <c r="HF425" s="15"/>
      <c r="HG425" s="15"/>
      <c r="HH425" s="15"/>
      <c r="HI425" s="15"/>
      <c r="HJ425" s="15"/>
      <c r="HK425" s="15"/>
      <c r="HL425" s="15"/>
      <c r="HM425" s="15"/>
      <c r="HN425" s="15"/>
      <c r="HO425" s="15"/>
      <c r="HP425" s="15"/>
      <c r="HQ425" s="15"/>
      <c r="HR425" s="15"/>
      <c r="HS425" s="15"/>
      <c r="HT425" s="15"/>
      <c r="HU425" s="15"/>
      <c r="HV425" s="15"/>
      <c r="HW425" s="15"/>
      <c r="HX425" s="15"/>
      <c r="HY425" s="15"/>
      <c r="HZ425" s="15"/>
      <c r="IA425" s="15"/>
      <c r="IB425" s="15"/>
      <c r="IC425" s="15"/>
      <c r="ID425" s="15"/>
      <c r="IE425" s="15"/>
      <c r="IF425" s="15"/>
      <c r="IG425" s="15"/>
      <c r="IH425" s="15"/>
      <c r="II425" s="15"/>
      <c r="IJ425" s="15"/>
      <c r="IK425" s="15"/>
      <c r="IL425" s="15"/>
      <c r="IM425" s="15"/>
      <c r="IN425" s="15"/>
      <c r="IO425" s="15"/>
      <c r="IP425" s="15"/>
      <c r="IQ425" s="15"/>
      <c r="IR425" s="15"/>
      <c r="IS425" s="15"/>
      <c r="IT425" s="15"/>
      <c r="IU425" s="15"/>
      <c r="IV425" s="15"/>
      <c r="IW425" s="15"/>
      <c r="IX425" s="15"/>
      <c r="IY425" s="15"/>
      <c r="IZ425" s="15"/>
      <c r="JA425" s="15"/>
      <c r="JB425" s="15"/>
      <c r="JC425" s="15"/>
      <c r="JD425" s="15"/>
      <c r="JE425" s="15"/>
      <c r="JF425" s="15"/>
      <c r="JG425" s="15"/>
      <c r="JH425" s="15"/>
      <c r="JI425" s="15"/>
      <c r="JJ425" s="15"/>
      <c r="JK425" s="15"/>
      <c r="JL425" s="15"/>
      <c r="JM425" s="15"/>
      <c r="JN425" s="15"/>
      <c r="JO425" s="15"/>
      <c r="JP425" s="15"/>
      <c r="JQ425" s="15"/>
      <c r="JR425" s="15"/>
      <c r="JS425" s="15"/>
      <c r="JT425" s="15"/>
      <c r="JU425" s="15"/>
      <c r="JV425" s="15"/>
      <c r="JW425" s="15"/>
      <c r="JX425" s="15"/>
      <c r="JY425" s="15"/>
      <c r="JZ425" s="15"/>
      <c r="KA425" s="15"/>
      <c r="KB425" s="15"/>
      <c r="KC425" s="15"/>
      <c r="KD425" s="15"/>
      <c r="KE425" s="15"/>
      <c r="KF425" s="15"/>
      <c r="KG425" s="15"/>
      <c r="KH425" s="15"/>
      <c r="KI425" s="15"/>
      <c r="KJ425" s="15"/>
      <c r="KK425" s="15"/>
      <c r="KL425" s="15"/>
      <c r="KM425" s="15"/>
      <c r="KN425" s="15"/>
      <c r="KO425" s="15"/>
      <c r="KP425" s="15"/>
      <c r="KQ425" s="15"/>
      <c r="KR425" s="15"/>
      <c r="KS425" s="15"/>
      <c r="KT425" s="15"/>
      <c r="KU425" s="15"/>
      <c r="KV425" s="15"/>
      <c r="KW425" s="15"/>
      <c r="KX425" s="15"/>
      <c r="KY425" s="15"/>
      <c r="KZ425" s="15"/>
      <c r="LA425" s="15"/>
      <c r="LB425" s="15"/>
      <c r="LC425" s="15"/>
      <c r="LD425" s="15"/>
      <c r="LE425" s="15"/>
      <c r="LF425" s="15"/>
      <c r="LG425" s="15"/>
      <c r="LH425" s="15"/>
      <c r="LI425" s="15"/>
      <c r="LJ425" s="15"/>
      <c r="LK425" s="15"/>
      <c r="LL425" s="15"/>
      <c r="LM425" s="15"/>
      <c r="LN425" s="15"/>
      <c r="LO425" s="15"/>
      <c r="LP425" s="15"/>
      <c r="LQ425" s="15"/>
      <c r="LR425" s="15"/>
      <c r="LS425" s="15"/>
      <c r="LT425" s="15"/>
      <c r="LU425" s="15"/>
      <c r="LV425" s="15"/>
      <c r="LW425" s="15"/>
      <c r="LX425" s="15"/>
      <c r="LY425" s="15"/>
      <c r="LZ425" s="15"/>
      <c r="MA425" s="15"/>
      <c r="MB425" s="15"/>
      <c r="MC425" s="15"/>
      <c r="MD425" s="15"/>
      <c r="ME425" s="15"/>
      <c r="MF425" s="15"/>
      <c r="MG425" s="15"/>
      <c r="MH425" s="15"/>
      <c r="MI425" s="15"/>
      <c r="MJ425" s="15"/>
      <c r="MK425" s="15"/>
      <c r="ML425" s="15"/>
      <c r="MM425" s="15"/>
      <c r="MN425" s="15"/>
      <c r="MO425" s="15"/>
      <c r="MP425" s="15"/>
      <c r="MQ425" s="15"/>
      <c r="MR425" s="15"/>
      <c r="MS425" s="15"/>
      <c r="MT425" s="15"/>
      <c r="MU425" s="15"/>
      <c r="MV425" s="15"/>
      <c r="MW425" s="15"/>
      <c r="MX425" s="15"/>
      <c r="MY425" s="15"/>
      <c r="MZ425" s="15"/>
      <c r="NA425" s="15"/>
      <c r="NB425" s="15"/>
      <c r="NC425" s="15"/>
      <c r="ND425" s="15"/>
      <c r="NE425" s="15"/>
      <c r="NF425" s="15"/>
      <c r="NG425" s="15"/>
      <c r="NH425" s="15"/>
      <c r="NI425" s="15"/>
      <c r="NJ425" s="15"/>
      <c r="NK425" s="15"/>
      <c r="NL425" s="15"/>
      <c r="NM425" s="15"/>
      <c r="NN425" s="15"/>
      <c r="NO425" s="15"/>
      <c r="NP425" s="15"/>
      <c r="NQ425" s="15"/>
      <c r="NR425" s="15"/>
      <c r="NS425" s="15"/>
      <c r="NT425" s="15"/>
      <c r="NU425" s="15"/>
      <c r="NV425" s="15"/>
      <c r="NW425" s="15"/>
      <c r="NX425" s="15"/>
      <c r="NY425" s="15"/>
      <c r="NZ425" s="15"/>
      <c r="OA425" s="15"/>
      <c r="OB425" s="15"/>
      <c r="OC425" s="15"/>
      <c r="OD425" s="15"/>
      <c r="OE425" s="15"/>
      <c r="OF425" s="15"/>
      <c r="OG425" s="15"/>
      <c r="OH425" s="15"/>
      <c r="OI425" s="15"/>
      <c r="OJ425" s="15"/>
      <c r="OK425" s="15"/>
      <c r="OL425" s="15"/>
      <c r="OM425" s="15"/>
      <c r="ON425" s="15"/>
      <c r="OO425" s="15"/>
      <c r="OP425" s="15"/>
      <c r="OQ425" s="15"/>
      <c r="OR425" s="15"/>
      <c r="OS425" s="15"/>
      <c r="OT425" s="15"/>
      <c r="OU425" s="15"/>
      <c r="OV425" s="15"/>
      <c r="OW425" s="15"/>
      <c r="OX425" s="15"/>
      <c r="OY425" s="15"/>
      <c r="OZ425" s="15"/>
      <c r="PA425" s="15"/>
      <c r="PB425" s="15"/>
      <c r="PC425" s="15"/>
      <c r="PD425" s="15"/>
      <c r="PE425" s="15"/>
      <c r="PF425" s="15"/>
      <c r="PG425" s="15"/>
      <c r="PH425" s="15"/>
      <c r="PI425" s="15"/>
      <c r="PJ425" s="15"/>
      <c r="PK425" s="15"/>
      <c r="PL425" s="15"/>
      <c r="PM425" s="15"/>
      <c r="PN425" s="15"/>
      <c r="PO425" s="15"/>
      <c r="PP425" s="15"/>
      <c r="PQ425" s="15"/>
      <c r="PR425" s="15"/>
      <c r="PS425" s="15"/>
      <c r="PT425" s="15"/>
      <c r="PU425" s="15"/>
      <c r="PV425" s="15"/>
      <c r="PW425" s="15"/>
      <c r="PX425" s="15"/>
      <c r="PY425" s="15"/>
      <c r="PZ425" s="15"/>
      <c r="QA425" s="15"/>
      <c r="QB425" s="15"/>
      <c r="QC425" s="15"/>
      <c r="QD425" s="15"/>
      <c r="QE425" s="15"/>
      <c r="QF425" s="15"/>
      <c r="QG425" s="15"/>
      <c r="QH425" s="15"/>
      <c r="QI425" s="15"/>
      <c r="QJ425" s="15"/>
      <c r="QK425" s="15"/>
      <c r="QL425" s="15"/>
      <c r="QM425" s="15"/>
      <c r="QN425" s="15"/>
      <c r="QO425" s="15"/>
      <c r="QP425" s="15"/>
      <c r="QQ425" s="15"/>
      <c r="QR425" s="15"/>
      <c r="QS425" s="15"/>
      <c r="QT425" s="15"/>
      <c r="QU425" s="15"/>
      <c r="QV425" s="15"/>
      <c r="QW425" s="15"/>
      <c r="QX425" s="15"/>
      <c r="QY425" s="15"/>
      <c r="QZ425" s="15"/>
      <c r="RA425" s="15"/>
      <c r="RB425" s="15"/>
      <c r="RC425" s="15"/>
      <c r="RD425" s="15"/>
      <c r="RE425" s="15"/>
      <c r="RF425" s="15"/>
      <c r="RG425" s="15"/>
      <c r="RH425" s="15"/>
      <c r="RI425" s="15"/>
      <c r="RJ425" s="15"/>
      <c r="RK425" s="15"/>
      <c r="RL425" s="15"/>
      <c r="RM425" s="15"/>
      <c r="RN425" s="15"/>
      <c r="RO425" s="15"/>
      <c r="RP425" s="15"/>
      <c r="RQ425" s="15"/>
      <c r="RR425" s="15"/>
      <c r="RS425" s="15"/>
      <c r="RT425" s="15"/>
      <c r="RU425" s="15"/>
      <c r="RV425" s="15"/>
      <c r="RW425" s="15"/>
      <c r="RX425" s="15"/>
      <c r="RY425" s="15"/>
      <c r="RZ425" s="15"/>
      <c r="SA425" s="15"/>
      <c r="SB425" s="15"/>
      <c r="SC425" s="15"/>
      <c r="SD425" s="15"/>
      <c r="SE425" s="15"/>
      <c r="SF425" s="15"/>
      <c r="SG425" s="15"/>
      <c r="SH425" s="15"/>
      <c r="SI425" s="15"/>
      <c r="SJ425" s="15"/>
      <c r="SK425" s="15"/>
      <c r="SL425" s="15"/>
      <c r="SM425" s="15"/>
      <c r="SN425" s="15"/>
      <c r="SO425" s="15"/>
      <c r="SP425" s="15"/>
      <c r="SQ425" s="15"/>
      <c r="SR425" s="15"/>
      <c r="SS425" s="15"/>
      <c r="ST425" s="15"/>
      <c r="SU425" s="15"/>
      <c r="SV425" s="15"/>
      <c r="SW425" s="15"/>
      <c r="SX425" s="15"/>
      <c r="SY425" s="15"/>
      <c r="SZ425" s="15"/>
      <c r="TA425" s="15"/>
      <c r="TB425" s="15"/>
      <c r="TC425" s="15"/>
      <c r="TD425" s="15"/>
      <c r="TE425" s="15"/>
      <c r="TF425" s="15"/>
      <c r="TG425" s="15"/>
      <c r="TH425" s="15"/>
      <c r="TI425" s="15"/>
      <c r="TJ425" s="15"/>
      <c r="TK425" s="15"/>
      <c r="TL425" s="15"/>
      <c r="TM425" s="15"/>
      <c r="TN425" s="15"/>
      <c r="TO425" s="15"/>
      <c r="TP425" s="15"/>
      <c r="TQ425" s="15"/>
      <c r="TR425" s="15"/>
      <c r="TS425" s="15"/>
      <c r="TT425" s="15"/>
      <c r="TU425" s="15"/>
      <c r="TV425" s="15"/>
      <c r="TW425" s="15"/>
      <c r="TX425" s="15"/>
      <c r="TY425" s="15"/>
      <c r="TZ425" s="15"/>
      <c r="UA425" s="15"/>
      <c r="UB425" s="15"/>
      <c r="UC425" s="15"/>
      <c r="UD425" s="15"/>
      <c r="UE425" s="15"/>
      <c r="UF425" s="15"/>
      <c r="UG425" s="15"/>
      <c r="UH425" s="15"/>
      <c r="UI425" s="15"/>
      <c r="UJ425" s="15"/>
      <c r="UK425" s="15"/>
      <c r="UL425" s="15"/>
      <c r="UM425" s="15"/>
      <c r="UN425" s="15"/>
      <c r="UO425" s="15"/>
      <c r="UP425" s="15"/>
      <c r="UQ425" s="15"/>
      <c r="UR425" s="15"/>
      <c r="US425" s="15"/>
      <c r="UT425" s="15"/>
      <c r="UU425" s="15"/>
      <c r="UV425" s="15"/>
      <c r="UW425" s="15"/>
      <c r="UX425" s="15"/>
      <c r="UY425" s="15"/>
      <c r="UZ425" s="15"/>
      <c r="VA425" s="15"/>
      <c r="VB425" s="15"/>
      <c r="VC425" s="15"/>
      <c r="VD425" s="15"/>
      <c r="VE425" s="15"/>
      <c r="VF425" s="15"/>
      <c r="VG425" s="15"/>
      <c r="VH425" s="15"/>
      <c r="VI425" s="15"/>
      <c r="VJ425" s="15"/>
      <c r="VK425" s="15"/>
      <c r="VL425" s="15"/>
      <c r="VM425" s="15"/>
      <c r="VN425" s="15"/>
      <c r="VO425" s="15"/>
      <c r="VP425" s="15"/>
      <c r="VQ425" s="15"/>
      <c r="VR425" s="15"/>
      <c r="VS425" s="15"/>
      <c r="VT425" s="15"/>
      <c r="VU425" s="15"/>
      <c r="VV425" s="15"/>
      <c r="VW425" s="15"/>
      <c r="VX425" s="15"/>
      <c r="VY425" s="15"/>
      <c r="VZ425" s="15"/>
      <c r="WA425" s="15"/>
      <c r="WB425" s="15"/>
      <c r="WC425" s="15"/>
      <c r="WD425" s="15"/>
      <c r="WE425" s="15"/>
      <c r="WF425" s="15"/>
      <c r="WG425" s="15"/>
      <c r="WH425" s="15"/>
      <c r="WI425" s="15"/>
      <c r="WJ425" s="15"/>
      <c r="WK425" s="15"/>
      <c r="WL425" s="15"/>
      <c r="WM425" s="15"/>
      <c r="WN425" s="15"/>
      <c r="WO425" s="15"/>
      <c r="WP425" s="15"/>
      <c r="WQ425" s="15"/>
      <c r="WR425" s="15"/>
      <c r="WS425" s="15"/>
      <c r="WT425" s="15"/>
      <c r="WU425" s="15"/>
      <c r="WV425" s="15"/>
      <c r="WW425" s="15"/>
      <c r="WX425" s="15"/>
      <c r="WY425" s="15"/>
      <c r="WZ425" s="15"/>
      <c r="XA425" s="15"/>
      <c r="XB425" s="15"/>
      <c r="XC425" s="15"/>
      <c r="XD425" s="15"/>
      <c r="XE425" s="15"/>
      <c r="XF425" s="15"/>
      <c r="XG425" s="15"/>
      <c r="XH425" s="15"/>
      <c r="XI425" s="15"/>
      <c r="XJ425" s="15"/>
      <c r="XK425" s="15"/>
      <c r="XL425" s="15"/>
      <c r="XM425" s="15"/>
      <c r="XN425" s="15"/>
      <c r="XO425" s="15"/>
      <c r="XP425" s="15"/>
      <c r="XQ425" s="15"/>
      <c r="XR425" s="15"/>
      <c r="XS425" s="15"/>
      <c r="XT425" s="15"/>
      <c r="XU425" s="15"/>
      <c r="XV425" s="15"/>
      <c r="XW425" s="15"/>
      <c r="XX425" s="15"/>
      <c r="XY425" s="15"/>
      <c r="XZ425" s="15"/>
      <c r="YA425" s="15"/>
      <c r="YB425" s="15"/>
      <c r="YC425" s="15"/>
      <c r="YD425" s="15"/>
      <c r="YE425" s="15"/>
      <c r="YF425" s="15"/>
      <c r="YG425" s="15"/>
      <c r="YH425" s="15"/>
      <c r="YI425" s="15"/>
      <c r="YJ425" s="15"/>
      <c r="YK425" s="15"/>
      <c r="YL425" s="15"/>
      <c r="YM425" s="15"/>
      <c r="YN425" s="15"/>
      <c r="YO425" s="15"/>
      <c r="YP425" s="15"/>
      <c r="YQ425" s="15"/>
      <c r="YR425" s="15"/>
      <c r="YS425" s="15"/>
      <c r="YT425" s="15"/>
      <c r="YU425" s="15"/>
      <c r="YV425" s="15"/>
      <c r="YW425" s="15"/>
      <c r="YX425" s="15"/>
      <c r="YY425" s="15"/>
      <c r="YZ425" s="15"/>
      <c r="ZA425" s="15"/>
      <c r="ZB425" s="15"/>
      <c r="ZC425" s="15"/>
      <c r="ZD425" s="15"/>
      <c r="ZE425" s="15"/>
      <c r="ZF425" s="15"/>
      <c r="ZG425" s="15"/>
      <c r="ZH425" s="15"/>
      <c r="ZI425" s="15"/>
      <c r="ZJ425" s="15"/>
      <c r="ZK425" s="15"/>
      <c r="ZL425" s="15"/>
      <c r="ZM425" s="15"/>
      <c r="ZN425" s="15"/>
      <c r="ZO425" s="15"/>
      <c r="ZP425" s="15"/>
      <c r="ZQ425" s="15"/>
      <c r="ZR425" s="15"/>
      <c r="ZS425" s="15"/>
      <c r="ZT425" s="15"/>
      <c r="ZU425" s="15"/>
      <c r="ZV425" s="15"/>
      <c r="ZW425" s="15"/>
      <c r="ZX425" s="15"/>
      <c r="ZY425" s="15"/>
      <c r="ZZ425" s="15"/>
      <c r="AAA425" s="15"/>
      <c r="AAB425" s="15"/>
      <c r="AAC425" s="15"/>
      <c r="AAD425" s="15"/>
      <c r="AAE425" s="15"/>
      <c r="AAF425" s="15"/>
      <c r="AAG425" s="15"/>
      <c r="AAH425" s="15"/>
      <c r="AAI425" s="15"/>
      <c r="AAJ425" s="15"/>
      <c r="AAK425" s="15"/>
      <c r="AAL425" s="15"/>
      <c r="AAM425" s="15"/>
      <c r="AAN425" s="15"/>
      <c r="AAO425" s="15"/>
      <c r="AAP425" s="15"/>
      <c r="AAQ425" s="15"/>
      <c r="AAR425" s="15"/>
      <c r="AAS425" s="15"/>
      <c r="AAT425" s="15"/>
      <c r="AAU425" s="15"/>
      <c r="AAV425" s="15"/>
      <c r="AAW425" s="15"/>
      <c r="AAX425" s="15"/>
      <c r="AAY425" s="15"/>
      <c r="AAZ425" s="15"/>
      <c r="ABA425" s="15"/>
      <c r="ABB425" s="15"/>
      <c r="ABC425" s="15"/>
      <c r="ABD425" s="15"/>
      <c r="ABE425" s="15"/>
      <c r="ABF425" s="15"/>
      <c r="ABG425" s="15"/>
      <c r="ABH425" s="15"/>
      <c r="ABI425" s="15"/>
      <c r="ABJ425" s="15"/>
      <c r="ABK425" s="15"/>
      <c r="ABL425" s="15"/>
      <c r="ABM425" s="15"/>
      <c r="ABN425" s="15"/>
      <c r="ABO425" s="15"/>
      <c r="ABP425" s="15"/>
      <c r="ABQ425" s="15"/>
      <c r="ABR425" s="15"/>
      <c r="ABS425" s="15"/>
      <c r="ABT425" s="15"/>
      <c r="ABU425" s="15"/>
      <c r="ABV425" s="15"/>
      <c r="ABW425" s="15"/>
      <c r="ABX425" s="15"/>
      <c r="ABY425" s="15"/>
      <c r="ABZ425" s="15"/>
      <c r="ACA425" s="15"/>
      <c r="ACB425" s="15"/>
      <c r="ACC425" s="15"/>
      <c r="ACD425" s="15"/>
      <c r="ACE425" s="15"/>
      <c r="ACF425" s="15"/>
      <c r="ACG425" s="15"/>
      <c r="ACH425" s="15"/>
      <c r="ACI425" s="15"/>
      <c r="ACJ425" s="15"/>
      <c r="ACK425" s="15"/>
      <c r="ACL425" s="15"/>
      <c r="ACM425" s="15"/>
      <c r="ACN425" s="15"/>
      <c r="ACO425" s="15"/>
      <c r="ACP425" s="15"/>
      <c r="ACQ425" s="15"/>
      <c r="ACR425" s="15"/>
      <c r="ACS425" s="15"/>
      <c r="ACT425" s="15"/>
      <c r="ACU425" s="15"/>
      <c r="ACV425" s="15"/>
      <c r="ACW425" s="15"/>
      <c r="ACX425" s="15"/>
      <c r="ACY425" s="15"/>
      <c r="ACZ425" s="15"/>
      <c r="ADA425" s="15"/>
      <c r="ADB425" s="15"/>
      <c r="ADC425" s="15"/>
      <c r="ADD425" s="15"/>
      <c r="ADE425" s="15"/>
      <c r="ADF425" s="15"/>
      <c r="ADG425" s="15"/>
      <c r="ADH425" s="15"/>
      <c r="ADI425" s="15"/>
      <c r="ADJ425" s="15"/>
      <c r="ADK425" s="15"/>
      <c r="ADL425" s="15"/>
      <c r="ADM425" s="15"/>
      <c r="ADN425" s="15"/>
      <c r="ADO425" s="15"/>
      <c r="ADP425" s="15"/>
      <c r="ADQ425" s="15"/>
      <c r="ADR425" s="15"/>
      <c r="ADS425" s="15"/>
      <c r="ADT425" s="15"/>
      <c r="ADU425" s="15"/>
      <c r="ADV425" s="15"/>
      <c r="ADW425" s="15"/>
      <c r="ADX425" s="15"/>
      <c r="ADY425" s="15"/>
      <c r="ADZ425" s="15"/>
      <c r="AEA425" s="15"/>
      <c r="AEB425" s="15"/>
      <c r="AEC425" s="15"/>
      <c r="AED425" s="15"/>
      <c r="AEE425" s="15"/>
      <c r="AEF425" s="15"/>
      <c r="AEG425" s="15"/>
      <c r="AEH425" s="15"/>
      <c r="AEI425" s="15"/>
      <c r="AEJ425" s="15"/>
      <c r="AEK425" s="15"/>
      <c r="AEL425" s="15"/>
      <c r="AEM425" s="15"/>
      <c r="AEN425" s="15"/>
      <c r="AEO425" s="15"/>
      <c r="AEP425" s="15"/>
      <c r="AEQ425" s="15"/>
      <c r="AER425" s="15"/>
      <c r="AES425" s="15"/>
      <c r="AET425" s="15"/>
      <c r="AEU425" s="15"/>
      <c r="AEV425" s="15"/>
      <c r="AEW425" s="15"/>
      <c r="AEX425" s="15"/>
      <c r="AEY425" s="15"/>
      <c r="AEZ425" s="15"/>
      <c r="AFA425" s="15"/>
      <c r="AFB425" s="15"/>
      <c r="AFC425" s="15"/>
      <c r="AFD425" s="15"/>
      <c r="AFE425" s="15"/>
      <c r="AFF425" s="15"/>
      <c r="AFG425" s="15"/>
      <c r="AFH425" s="15"/>
      <c r="AFI425" s="15"/>
      <c r="AFJ425" s="15"/>
      <c r="AFK425" s="15"/>
      <c r="AFL425" s="15"/>
      <c r="AFM425" s="15"/>
      <c r="AFN425" s="15"/>
      <c r="AFO425" s="15"/>
      <c r="AFP425" s="15"/>
      <c r="AFQ425" s="15"/>
      <c r="AFR425" s="15"/>
      <c r="AFS425" s="15"/>
      <c r="AFT425" s="15"/>
      <c r="AFU425" s="15"/>
      <c r="AFV425" s="15"/>
      <c r="AFW425" s="15"/>
      <c r="AFX425" s="15"/>
      <c r="AFY425" s="15"/>
      <c r="AFZ425" s="15"/>
      <c r="AGA425" s="15"/>
      <c r="AGB425" s="15"/>
      <c r="AGC425" s="15"/>
      <c r="AGD425" s="15"/>
      <c r="AGE425" s="15"/>
      <c r="AGF425" s="15"/>
      <c r="AGG425" s="15"/>
      <c r="AGH425" s="15"/>
      <c r="AGI425" s="15"/>
      <c r="AGJ425" s="15"/>
      <c r="AGK425" s="15"/>
      <c r="AGL425" s="15"/>
      <c r="AGM425" s="15"/>
      <c r="AGN425" s="15"/>
      <c r="AGO425" s="15"/>
      <c r="AGP425" s="15"/>
      <c r="AGQ425" s="15"/>
      <c r="AGR425" s="15"/>
      <c r="AGS425" s="15"/>
      <c r="AGT425" s="15"/>
      <c r="AGU425" s="15"/>
      <c r="AGV425" s="15"/>
      <c r="AGW425" s="15"/>
      <c r="AGX425" s="15"/>
      <c r="AGY425" s="15"/>
      <c r="AGZ425" s="15"/>
      <c r="AHA425" s="15"/>
      <c r="AHB425" s="15"/>
      <c r="AHC425" s="15"/>
      <c r="AHD425" s="15"/>
      <c r="AHE425" s="15"/>
      <c r="AHF425" s="15"/>
      <c r="AHG425" s="15"/>
      <c r="AHH425" s="15"/>
      <c r="AHI425" s="15"/>
      <c r="AHJ425" s="15"/>
      <c r="AHK425" s="15"/>
      <c r="AHL425" s="15"/>
      <c r="AHM425" s="15"/>
      <c r="AHN425" s="15"/>
      <c r="AHO425" s="15"/>
      <c r="AHP425" s="15"/>
      <c r="AHQ425" s="15"/>
      <c r="AHR425" s="15"/>
      <c r="AHS425" s="15"/>
      <c r="AHT425" s="15"/>
      <c r="AHU425" s="15"/>
      <c r="AHV425" s="15"/>
      <c r="AHW425" s="15"/>
      <c r="AHX425" s="15"/>
      <c r="AHY425" s="15"/>
      <c r="AHZ425" s="15"/>
      <c r="AIA425" s="15"/>
      <c r="AIB425" s="15"/>
      <c r="AIC425" s="15"/>
      <c r="AID425" s="15"/>
      <c r="AIE425" s="15"/>
      <c r="AIF425" s="15"/>
      <c r="AIG425" s="15"/>
      <c r="AIH425" s="15"/>
      <c r="AII425" s="15"/>
      <c r="AIJ425" s="15"/>
      <c r="AIK425" s="15"/>
      <c r="AIL425" s="15"/>
      <c r="AIM425" s="15"/>
      <c r="AIN425" s="15"/>
      <c r="AIO425" s="15"/>
      <c r="AIP425" s="15"/>
      <c r="AIQ425" s="15"/>
      <c r="AIR425" s="15"/>
      <c r="AIS425" s="15"/>
      <c r="AIT425" s="15"/>
      <c r="AIU425" s="15"/>
      <c r="AIV425" s="15"/>
      <c r="AIW425" s="15"/>
      <c r="AIX425" s="15"/>
      <c r="AIY425" s="15"/>
      <c r="AIZ425" s="15"/>
      <c r="AJA425" s="15"/>
      <c r="AJB425" s="15"/>
      <c r="AJC425" s="15"/>
      <c r="AJD425" s="15"/>
      <c r="AJE425" s="15"/>
      <c r="AJF425" s="15"/>
      <c r="AJG425" s="15"/>
      <c r="AJH425" s="15"/>
      <c r="AJI425" s="15"/>
      <c r="AJJ425" s="15"/>
      <c r="AJK425" s="15"/>
      <c r="AJL425" s="15"/>
      <c r="AJM425" s="15"/>
      <c r="AJN425" s="15"/>
      <c r="AJO425" s="15"/>
      <c r="AJP425" s="15"/>
      <c r="AJQ425" s="15"/>
      <c r="AJR425" s="15"/>
      <c r="AJS425" s="15"/>
      <c r="AJT425" s="15"/>
      <c r="AJU425" s="15"/>
      <c r="AJV425" s="15"/>
      <c r="AJW425" s="15"/>
      <c r="AJX425" s="15"/>
      <c r="AJY425" s="15"/>
      <c r="AJZ425" s="15"/>
      <c r="AKA425" s="15"/>
      <c r="AKB425" s="15"/>
      <c r="AKC425" s="15"/>
      <c r="AKD425" s="15"/>
      <c r="AKE425" s="15"/>
      <c r="AKF425" s="15"/>
      <c r="AKG425" s="15"/>
      <c r="AKH425" s="15"/>
      <c r="AKI425" s="15"/>
      <c r="AKJ425" s="15"/>
      <c r="AKK425" s="15"/>
      <c r="AKL425" s="15"/>
      <c r="AKM425" s="15"/>
      <c r="AKN425" s="15"/>
      <c r="AKO425" s="15"/>
      <c r="AKP425" s="15"/>
      <c r="AKQ425" s="15"/>
      <c r="AKR425" s="15"/>
      <c r="AKS425" s="15"/>
      <c r="AKT425" s="15"/>
      <c r="AKU425" s="15"/>
      <c r="AKV425" s="15"/>
      <c r="AKW425" s="15"/>
      <c r="AKX425" s="15"/>
      <c r="AKY425" s="15"/>
      <c r="AKZ425" s="15"/>
      <c r="ALA425" s="15"/>
      <c r="ALB425" s="15"/>
      <c r="ALC425" s="15"/>
      <c r="ALD425" s="15"/>
      <c r="ALE425" s="15"/>
      <c r="ALF425" s="15"/>
      <c r="ALG425" s="15"/>
      <c r="ALH425" s="15"/>
      <c r="ALI425" s="15"/>
      <c r="ALJ425" s="15"/>
      <c r="ALK425" s="15"/>
      <c r="ALL425" s="15"/>
      <c r="ALM425" s="15"/>
      <c r="ALN425" s="15"/>
      <c r="ALO425" s="15"/>
      <c r="ALP425" s="15"/>
      <c r="ALQ425" s="15"/>
      <c r="ALR425" s="15"/>
      <c r="ALS425" s="15"/>
      <c r="ALT425" s="15"/>
      <c r="ALU425" s="15"/>
      <c r="ALV425" s="15"/>
      <c r="ALW425" s="15"/>
      <c r="ALX425" s="15"/>
      <c r="ALY425" s="15"/>
      <c r="ALZ425" s="15"/>
      <c r="AMA425" s="15"/>
      <c r="AMB425" s="15"/>
      <c r="AMC425" s="15"/>
      <c r="AMD425" s="15"/>
      <c r="AME425" s="15"/>
      <c r="AMF425" s="15"/>
      <c r="AMG425" s="15"/>
      <c r="AMH425" s="15"/>
      <c r="AMI425" s="15"/>
      <c r="AMJ425" s="15"/>
      <c r="AMK425" s="15"/>
      <c r="AML425" s="15"/>
      <c r="AMM425" s="15"/>
      <c r="AMN425" s="15"/>
      <c r="AMO425" s="15"/>
      <c r="AMP425" s="15"/>
      <c r="AMQ425" s="15"/>
      <c r="AMR425" s="15"/>
      <c r="AMS425" s="15"/>
      <c r="AMT425" s="15"/>
      <c r="AMU425" s="15"/>
      <c r="AMV425" s="15"/>
      <c r="AMW425" s="15"/>
      <c r="AMX425" s="15"/>
      <c r="AMY425" s="15"/>
      <c r="AMZ425" s="15"/>
      <c r="ANA425" s="15"/>
      <c r="ANB425" s="15"/>
      <c r="ANC425" s="15"/>
      <c r="AND425" s="15"/>
      <c r="ANE425" s="15"/>
      <c r="ANF425" s="15"/>
      <c r="ANG425" s="15"/>
      <c r="ANH425" s="15"/>
      <c r="ANI425" s="15"/>
      <c r="ANJ425" s="15"/>
      <c r="ANK425" s="15"/>
      <c r="ANL425" s="15"/>
      <c r="ANM425" s="15"/>
      <c r="ANN425" s="15"/>
      <c r="ANO425" s="15"/>
      <c r="ANP425" s="15"/>
      <c r="ANQ425" s="15"/>
      <c r="ANR425" s="15"/>
      <c r="ANS425" s="15"/>
      <c r="ANT425" s="15"/>
      <c r="ANU425" s="15"/>
      <c r="ANV425" s="15"/>
      <c r="ANW425" s="15"/>
      <c r="ANX425" s="15"/>
      <c r="ANY425" s="15"/>
      <c r="ANZ425" s="15"/>
      <c r="AOA425" s="15"/>
      <c r="AOB425" s="15"/>
      <c r="AOC425" s="15"/>
      <c r="AOD425" s="15"/>
      <c r="AOE425" s="15"/>
      <c r="AOF425" s="15"/>
      <c r="AOG425" s="15"/>
      <c r="AOH425" s="15"/>
      <c r="AOI425" s="15"/>
      <c r="AOJ425" s="15"/>
      <c r="AOK425" s="15"/>
      <c r="AOL425" s="15"/>
      <c r="AOM425" s="15"/>
      <c r="AON425" s="15"/>
      <c r="AOO425" s="15"/>
      <c r="AOP425" s="15"/>
      <c r="AOQ425" s="15"/>
      <c r="AOR425" s="15"/>
      <c r="AOS425" s="15"/>
      <c r="AOT425" s="15"/>
      <c r="AOU425" s="15"/>
      <c r="AOV425" s="15"/>
      <c r="AOW425" s="15"/>
      <c r="AOX425" s="15"/>
      <c r="AOY425" s="15"/>
      <c r="AOZ425" s="15"/>
      <c r="APA425" s="15"/>
      <c r="APB425" s="15"/>
      <c r="APC425" s="15"/>
      <c r="APD425" s="15"/>
      <c r="APE425" s="15"/>
      <c r="APF425" s="15"/>
      <c r="APG425" s="15"/>
      <c r="APH425" s="15"/>
      <c r="API425" s="15"/>
      <c r="APJ425" s="15"/>
      <c r="APK425" s="15"/>
      <c r="APL425" s="15"/>
      <c r="APM425" s="15"/>
      <c r="APN425" s="15"/>
      <c r="APO425" s="15"/>
      <c r="APP425" s="15"/>
      <c r="APQ425" s="15"/>
      <c r="APR425" s="15"/>
      <c r="APS425" s="15"/>
      <c r="APT425" s="15"/>
      <c r="APU425" s="15"/>
      <c r="APV425" s="15"/>
      <c r="APW425" s="15"/>
      <c r="APX425" s="15"/>
      <c r="APY425" s="15"/>
      <c r="APZ425" s="15"/>
      <c r="AQA425" s="15"/>
      <c r="AQB425" s="15"/>
      <c r="AQC425" s="15"/>
      <c r="AQD425" s="15"/>
      <c r="AQE425" s="15"/>
      <c r="AQF425" s="15"/>
      <c r="AQG425" s="15"/>
      <c r="AQH425" s="15"/>
      <c r="AQI425" s="15"/>
      <c r="AQJ425" s="15"/>
      <c r="AQK425" s="15"/>
      <c r="AQL425" s="15"/>
      <c r="AQM425" s="15"/>
      <c r="AQN425" s="15"/>
      <c r="AQO425" s="15"/>
      <c r="AQP425" s="15"/>
      <c r="AQQ425" s="15"/>
      <c r="AQR425" s="15"/>
      <c r="AQS425" s="15"/>
      <c r="AQT425" s="15"/>
      <c r="AQU425" s="15"/>
      <c r="AQV425" s="15"/>
      <c r="AQW425" s="15"/>
      <c r="AQX425" s="15"/>
      <c r="AQY425" s="15"/>
      <c r="AQZ425" s="15"/>
      <c r="ARA425" s="15"/>
      <c r="ARB425" s="15"/>
      <c r="ARC425" s="15"/>
      <c r="ARD425" s="15"/>
      <c r="ARE425" s="15"/>
      <c r="ARF425" s="15"/>
      <c r="ARG425" s="15"/>
      <c r="ARH425" s="15"/>
      <c r="ARI425" s="15"/>
      <c r="ARJ425" s="15"/>
      <c r="ARK425" s="15"/>
      <c r="ARL425" s="15"/>
      <c r="ARM425" s="15"/>
      <c r="ARN425" s="15"/>
      <c r="ARO425" s="15"/>
      <c r="ARP425" s="15"/>
      <c r="ARQ425" s="15"/>
      <c r="ARR425" s="15"/>
      <c r="ARS425" s="15"/>
      <c r="ART425" s="15"/>
      <c r="ARU425" s="15"/>
      <c r="ARV425" s="15"/>
      <c r="ARW425" s="15"/>
      <c r="ARX425" s="15"/>
      <c r="ARY425" s="15"/>
      <c r="ARZ425" s="15"/>
      <c r="ASA425" s="15"/>
      <c r="ASB425" s="15"/>
      <c r="ASC425" s="15"/>
      <c r="ASD425" s="15"/>
      <c r="ASE425" s="15"/>
      <c r="ASF425" s="15"/>
      <c r="ASG425" s="15"/>
      <c r="ASH425" s="15"/>
      <c r="ASI425" s="15"/>
      <c r="ASJ425" s="15"/>
      <c r="ASK425" s="15"/>
      <c r="ASL425" s="15"/>
      <c r="ASM425" s="15"/>
      <c r="ASN425" s="15"/>
      <c r="ASO425" s="15"/>
      <c r="ASP425" s="15"/>
      <c r="ASQ425" s="15"/>
      <c r="ASR425" s="15"/>
      <c r="ASS425" s="15"/>
      <c r="AST425" s="15"/>
      <c r="ASU425" s="15"/>
      <c r="ASV425" s="15"/>
      <c r="ASW425" s="15"/>
      <c r="ASX425" s="15"/>
      <c r="ASY425" s="15"/>
      <c r="ASZ425" s="15"/>
      <c r="ATA425" s="15"/>
      <c r="ATB425" s="15"/>
      <c r="ATC425" s="15"/>
      <c r="ATD425" s="15"/>
      <c r="ATE425" s="15"/>
      <c r="ATF425" s="15"/>
      <c r="ATG425" s="15"/>
      <c r="ATH425" s="15"/>
      <c r="ATI425" s="15"/>
      <c r="ATJ425" s="15"/>
      <c r="ATK425" s="15"/>
      <c r="ATL425" s="15"/>
      <c r="ATM425" s="15"/>
      <c r="ATN425" s="15"/>
      <c r="ATO425" s="15"/>
      <c r="ATP425" s="15"/>
      <c r="ATQ425" s="15"/>
      <c r="ATR425" s="15"/>
      <c r="ATS425" s="15"/>
      <c r="ATT425" s="15"/>
      <c r="ATU425" s="15"/>
      <c r="ATV425" s="15"/>
      <c r="ATW425" s="15"/>
      <c r="ATX425" s="15"/>
      <c r="ATY425" s="15"/>
      <c r="ATZ425" s="15"/>
      <c r="AUA425" s="15"/>
      <c r="AUB425" s="15"/>
      <c r="AUC425" s="15"/>
      <c r="AUD425" s="15"/>
      <c r="AUE425" s="15"/>
      <c r="AUF425" s="15"/>
      <c r="AUG425" s="15"/>
      <c r="AUH425" s="15"/>
      <c r="AUI425" s="15"/>
      <c r="AUJ425" s="15"/>
      <c r="AUK425" s="15"/>
      <c r="AUL425" s="15"/>
      <c r="AUM425" s="15"/>
      <c r="AUN425" s="15"/>
      <c r="AUO425" s="15"/>
      <c r="AUP425" s="15"/>
      <c r="AUQ425" s="15"/>
      <c r="AUR425" s="15"/>
      <c r="AUS425" s="15"/>
      <c r="AUT425" s="15"/>
      <c r="AUU425" s="15"/>
      <c r="AUV425" s="15"/>
      <c r="AUW425" s="15"/>
      <c r="AUX425" s="15"/>
      <c r="AUY425" s="15"/>
      <c r="AUZ425" s="15"/>
      <c r="AVA425" s="15"/>
      <c r="AVB425" s="15"/>
      <c r="AVC425" s="15"/>
      <c r="AVD425" s="15"/>
      <c r="AVE425" s="15"/>
      <c r="AVF425" s="15"/>
      <c r="AVG425" s="15"/>
      <c r="AVH425" s="15"/>
      <c r="AVI425" s="15"/>
      <c r="AVJ425" s="15"/>
      <c r="AVK425" s="15"/>
      <c r="AVL425" s="15"/>
      <c r="AVM425" s="15"/>
      <c r="AVN425" s="15"/>
      <c r="AVO425" s="15"/>
      <c r="AVP425" s="15"/>
      <c r="AVQ425" s="15"/>
      <c r="AVR425" s="15"/>
      <c r="AVS425" s="15"/>
      <c r="AVT425" s="15"/>
      <c r="AVU425" s="15"/>
      <c r="AVV425" s="15"/>
      <c r="AVW425" s="15"/>
      <c r="AVX425" s="15"/>
      <c r="AVY425" s="15"/>
      <c r="AVZ425" s="15"/>
      <c r="AWA425" s="15"/>
      <c r="AWB425" s="15"/>
      <c r="AWC425" s="15"/>
      <c r="AWD425" s="15"/>
      <c r="AWE425" s="15"/>
      <c r="AWF425" s="15"/>
      <c r="AWG425" s="15"/>
      <c r="AWH425" s="15"/>
      <c r="AWI425" s="15"/>
      <c r="AWJ425" s="15"/>
      <c r="AWK425" s="15"/>
      <c r="AWL425" s="15"/>
      <c r="AWM425" s="15"/>
      <c r="AWN425" s="15"/>
      <c r="AWO425" s="15"/>
      <c r="AWP425" s="15"/>
      <c r="AWQ425" s="15"/>
      <c r="AWR425" s="15"/>
      <c r="AWS425" s="15"/>
      <c r="AWT425" s="15"/>
      <c r="AWU425" s="15"/>
      <c r="AWV425" s="15"/>
      <c r="AWW425" s="15"/>
      <c r="AWX425" s="15"/>
      <c r="AWY425" s="15"/>
      <c r="AWZ425" s="15"/>
      <c r="AXA425" s="15"/>
      <c r="AXB425" s="15"/>
      <c r="AXC425" s="15"/>
      <c r="AXD425" s="15"/>
      <c r="AXE425" s="15"/>
      <c r="AXF425" s="15"/>
      <c r="AXG425" s="15"/>
      <c r="AXH425" s="15"/>
      <c r="AXI425" s="15"/>
      <c r="AXJ425" s="15"/>
      <c r="AXK425" s="15"/>
      <c r="AXL425" s="15"/>
      <c r="AXM425" s="15"/>
      <c r="AXN425" s="15"/>
      <c r="AXO425" s="15"/>
      <c r="AXP425" s="15"/>
      <c r="AXQ425" s="15"/>
      <c r="AXR425" s="15"/>
      <c r="AXS425" s="15"/>
      <c r="AXT425" s="15"/>
      <c r="AXU425" s="15"/>
      <c r="AXV425" s="15"/>
      <c r="AXW425" s="15"/>
      <c r="AXX425" s="15"/>
      <c r="AXY425" s="15"/>
      <c r="AXZ425" s="15"/>
      <c r="AYA425" s="15"/>
      <c r="AYB425" s="15"/>
      <c r="AYC425" s="15"/>
      <c r="AYD425" s="15"/>
      <c r="AYE425" s="15"/>
      <c r="AYF425" s="15"/>
      <c r="AYG425" s="15"/>
      <c r="AYH425" s="15"/>
      <c r="AYI425" s="15"/>
      <c r="AYJ425" s="15"/>
      <c r="AYK425" s="15"/>
      <c r="AYL425" s="15"/>
      <c r="AYM425" s="15"/>
      <c r="AYN425" s="15"/>
      <c r="AYO425" s="15"/>
      <c r="AYP425" s="15"/>
      <c r="AYQ425" s="15"/>
      <c r="AYR425" s="15"/>
      <c r="AYS425" s="15"/>
      <c r="AYT425" s="15"/>
      <c r="AYU425" s="15"/>
      <c r="AYV425" s="15"/>
      <c r="AYW425" s="15"/>
      <c r="AYX425" s="15"/>
      <c r="AYY425" s="15"/>
      <c r="AYZ425" s="15"/>
      <c r="AZA425" s="15"/>
      <c r="AZB425" s="15"/>
      <c r="AZC425" s="15"/>
      <c r="AZD425" s="15"/>
      <c r="AZE425" s="15"/>
      <c r="AZF425" s="15"/>
      <c r="AZG425" s="15"/>
      <c r="AZH425" s="15"/>
      <c r="AZI425" s="15"/>
      <c r="AZJ425" s="15"/>
      <c r="AZK425" s="15"/>
      <c r="AZL425" s="15"/>
      <c r="AZM425" s="15"/>
      <c r="AZN425" s="15"/>
      <c r="AZO425" s="15"/>
      <c r="AZP425" s="15"/>
      <c r="AZQ425" s="15"/>
      <c r="AZR425" s="15"/>
      <c r="AZS425" s="15"/>
      <c r="AZT425" s="15"/>
      <c r="AZU425" s="15"/>
      <c r="AZV425" s="15"/>
      <c r="AZW425" s="15"/>
      <c r="AZX425" s="15"/>
      <c r="AZY425" s="15"/>
      <c r="AZZ425" s="15"/>
      <c r="BAA425" s="15"/>
      <c r="BAB425" s="15"/>
      <c r="BAC425" s="15"/>
      <c r="BAD425" s="15"/>
      <c r="BAE425" s="15"/>
      <c r="BAF425" s="15"/>
      <c r="BAG425" s="15"/>
      <c r="BAH425" s="15"/>
      <c r="BAI425" s="15"/>
      <c r="BAJ425" s="15"/>
      <c r="BAK425" s="15"/>
      <c r="BAL425" s="15"/>
      <c r="BAM425" s="15"/>
      <c r="BAN425" s="15"/>
      <c r="BAO425" s="15"/>
      <c r="BAP425" s="15"/>
      <c r="BAQ425" s="15"/>
      <c r="BAR425" s="15"/>
      <c r="BAS425" s="15"/>
      <c r="BAT425" s="15"/>
      <c r="BAU425" s="15"/>
      <c r="BAV425" s="15"/>
      <c r="BAW425" s="15"/>
      <c r="BAX425" s="15"/>
      <c r="BAY425" s="15"/>
      <c r="BAZ425" s="15"/>
      <c r="BBA425" s="15"/>
      <c r="BBB425" s="15"/>
      <c r="BBC425" s="15"/>
      <c r="BBD425" s="15"/>
      <c r="BBE425" s="15"/>
      <c r="BBF425" s="15"/>
      <c r="BBG425" s="15"/>
      <c r="BBH425" s="15"/>
      <c r="BBI425" s="15"/>
      <c r="BBJ425" s="15"/>
      <c r="BBK425" s="15"/>
      <c r="BBL425" s="15"/>
      <c r="BBM425" s="15"/>
      <c r="BBN425" s="15"/>
      <c r="BBO425" s="15"/>
      <c r="BBP425" s="15"/>
      <c r="BBQ425" s="15"/>
      <c r="BBR425" s="15"/>
      <c r="BBS425" s="15"/>
      <c r="BBT425" s="15"/>
      <c r="BBU425" s="15"/>
      <c r="BBV425" s="15"/>
      <c r="BBW425" s="15"/>
      <c r="BBX425" s="15"/>
      <c r="BBY425" s="15"/>
      <c r="BBZ425" s="15"/>
      <c r="BCA425" s="15"/>
      <c r="BCB425" s="15"/>
      <c r="BCC425" s="15"/>
      <c r="BCD425" s="15"/>
      <c r="BCE425" s="15"/>
      <c r="BCF425" s="15"/>
      <c r="BCG425" s="15"/>
      <c r="BCH425" s="15"/>
      <c r="BCI425" s="15"/>
      <c r="BCJ425" s="15"/>
      <c r="BCK425" s="15"/>
      <c r="BCL425" s="15"/>
      <c r="BCM425" s="15"/>
      <c r="BCN425" s="15"/>
      <c r="BCO425" s="15"/>
      <c r="BCP425" s="15"/>
      <c r="BCQ425" s="15"/>
      <c r="BCR425" s="15"/>
      <c r="BCS425" s="15"/>
      <c r="BCT425" s="15"/>
      <c r="BCU425" s="15"/>
      <c r="BCV425" s="15"/>
      <c r="BCW425" s="15"/>
      <c r="BCX425" s="15"/>
      <c r="BCY425" s="15"/>
      <c r="BCZ425" s="15"/>
      <c r="BDA425" s="15"/>
      <c r="BDB425" s="15"/>
      <c r="BDC425" s="15"/>
      <c r="BDD425" s="15"/>
      <c r="BDE425" s="15"/>
      <c r="BDF425" s="15"/>
      <c r="BDG425" s="15"/>
      <c r="BDH425" s="15"/>
      <c r="BDI425" s="15"/>
      <c r="BDJ425" s="15"/>
      <c r="BDK425" s="15"/>
      <c r="BDL425" s="15"/>
      <c r="BDM425" s="15"/>
      <c r="BDN425" s="15"/>
      <c r="BDO425" s="15"/>
      <c r="BDP425" s="15"/>
      <c r="BDQ425" s="15"/>
      <c r="BDR425" s="15"/>
      <c r="BDS425" s="15"/>
      <c r="BDT425" s="15"/>
      <c r="BDU425" s="15"/>
      <c r="BDV425" s="15"/>
      <c r="BDW425" s="15"/>
      <c r="BDX425" s="15"/>
      <c r="BDY425" s="15"/>
      <c r="BDZ425" s="15"/>
      <c r="BEA425" s="15"/>
      <c r="BEB425" s="15"/>
      <c r="BEC425" s="15"/>
      <c r="BED425" s="15"/>
      <c r="BEE425" s="15"/>
      <c r="BEF425" s="15"/>
      <c r="BEG425" s="15"/>
      <c r="BEH425" s="15"/>
      <c r="BEI425" s="15"/>
      <c r="BEJ425" s="15"/>
      <c r="BEK425" s="15"/>
      <c r="BEL425" s="15"/>
      <c r="BEM425" s="15"/>
      <c r="BEN425" s="15"/>
      <c r="BEO425" s="15"/>
      <c r="BEP425" s="15"/>
      <c r="BEQ425" s="15"/>
      <c r="BER425" s="15"/>
      <c r="BES425" s="15"/>
      <c r="BET425" s="15"/>
      <c r="BEU425" s="15"/>
      <c r="BEV425" s="15"/>
      <c r="BEW425" s="15"/>
      <c r="BEX425" s="15"/>
      <c r="BEY425" s="15"/>
      <c r="BEZ425" s="15"/>
      <c r="BFA425" s="15"/>
      <c r="BFB425" s="15"/>
      <c r="BFC425" s="15"/>
      <c r="BFD425" s="15"/>
      <c r="BFE425" s="15"/>
      <c r="BFF425" s="15"/>
      <c r="BFG425" s="15"/>
      <c r="BFH425" s="15"/>
      <c r="BFI425" s="15"/>
      <c r="BFJ425" s="15"/>
      <c r="BFK425" s="15"/>
      <c r="BFL425" s="15"/>
      <c r="BFM425" s="15"/>
      <c r="BFN425" s="15"/>
      <c r="BFO425" s="15"/>
      <c r="BFP425" s="15"/>
      <c r="BFQ425" s="15"/>
      <c r="BFR425" s="15"/>
      <c r="BFS425" s="15"/>
      <c r="BFT425" s="15"/>
      <c r="BFU425" s="15"/>
      <c r="BFV425" s="15"/>
      <c r="BFW425" s="15"/>
      <c r="BFX425" s="15"/>
      <c r="BFY425" s="15"/>
      <c r="BFZ425" s="15"/>
      <c r="BGA425" s="15"/>
      <c r="BGB425" s="15"/>
      <c r="BGC425" s="15"/>
      <c r="BGD425" s="15"/>
      <c r="BGE425" s="15"/>
      <c r="BGF425" s="15"/>
      <c r="BGG425" s="15"/>
      <c r="BGH425" s="15"/>
      <c r="BGI425" s="15"/>
      <c r="BGJ425" s="15"/>
      <c r="BGK425" s="15"/>
      <c r="BGL425" s="15"/>
      <c r="BGM425" s="15"/>
      <c r="BGN425" s="15"/>
      <c r="BGO425" s="15"/>
      <c r="BGP425" s="15"/>
      <c r="BGQ425" s="15"/>
      <c r="BGR425" s="15"/>
      <c r="BGS425" s="15"/>
      <c r="BGT425" s="15"/>
      <c r="BGU425" s="15"/>
      <c r="BGV425" s="15"/>
      <c r="BGW425" s="15"/>
      <c r="BGX425" s="15"/>
      <c r="BGY425" s="15"/>
      <c r="BGZ425" s="15"/>
      <c r="BHA425" s="15"/>
      <c r="BHB425" s="15"/>
      <c r="BHC425" s="15"/>
      <c r="BHD425" s="15"/>
      <c r="BHE425" s="15"/>
      <c r="BHF425" s="15"/>
      <c r="BHG425" s="15"/>
      <c r="BHH425" s="15"/>
      <c r="BHI425" s="15"/>
      <c r="BHJ425" s="15"/>
      <c r="BHK425" s="15"/>
      <c r="BHL425" s="15"/>
      <c r="BHM425" s="15"/>
      <c r="BHN425" s="15"/>
      <c r="BHO425" s="15"/>
      <c r="BHP425" s="15"/>
      <c r="BHQ425" s="15"/>
      <c r="BHR425" s="15"/>
      <c r="BHS425" s="15"/>
      <c r="BHT425" s="15"/>
      <c r="BHU425" s="15"/>
      <c r="BHV425" s="15"/>
      <c r="BHW425" s="15"/>
      <c r="BHX425" s="15"/>
      <c r="BHY425" s="15"/>
      <c r="BHZ425" s="15"/>
      <c r="BIA425" s="15"/>
      <c r="BIB425" s="15"/>
      <c r="BIC425" s="15"/>
      <c r="BID425" s="15"/>
      <c r="BIE425" s="15"/>
      <c r="BIF425" s="15"/>
      <c r="BIG425" s="15"/>
      <c r="BIH425" s="15"/>
      <c r="BII425" s="15"/>
      <c r="BIJ425" s="15"/>
      <c r="BIK425" s="15"/>
      <c r="BIL425" s="15"/>
      <c r="BIM425" s="15"/>
      <c r="BIN425" s="15"/>
      <c r="BIO425" s="15"/>
      <c r="BIP425" s="15"/>
      <c r="BIQ425" s="15"/>
      <c r="BIR425" s="15"/>
      <c r="BIS425" s="15"/>
      <c r="BIT425" s="15"/>
      <c r="BIU425" s="15"/>
      <c r="BIV425" s="15"/>
      <c r="BIW425" s="15"/>
      <c r="BIX425" s="15"/>
      <c r="BIY425" s="15"/>
      <c r="BIZ425" s="15"/>
      <c r="BJA425" s="15"/>
      <c r="BJB425" s="15"/>
      <c r="BJC425" s="15"/>
      <c r="BJD425" s="15"/>
      <c r="BJE425" s="15"/>
      <c r="BJF425" s="15"/>
      <c r="BJG425" s="15"/>
      <c r="BJH425" s="15"/>
      <c r="BJI425" s="15"/>
      <c r="BJJ425" s="15"/>
      <c r="BJK425" s="15"/>
      <c r="BJL425" s="15"/>
      <c r="BJM425" s="15"/>
      <c r="BJN425" s="15"/>
      <c r="BJO425" s="15"/>
      <c r="BJP425" s="15"/>
      <c r="BJQ425" s="15"/>
      <c r="BJR425" s="15"/>
      <c r="BJS425" s="15"/>
      <c r="BJT425" s="15"/>
      <c r="BJU425" s="15"/>
      <c r="BJV425" s="15"/>
      <c r="BJW425" s="15"/>
      <c r="BJX425" s="15"/>
      <c r="BJY425" s="15"/>
      <c r="BJZ425" s="15"/>
      <c r="BKA425" s="15"/>
      <c r="BKB425" s="15"/>
      <c r="BKC425" s="15"/>
      <c r="BKD425" s="15"/>
      <c r="BKE425" s="15"/>
      <c r="BKF425" s="15"/>
      <c r="BKG425" s="15"/>
      <c r="BKH425" s="15"/>
      <c r="BKI425" s="15"/>
      <c r="BKJ425" s="15"/>
      <c r="BKK425" s="15"/>
      <c r="BKL425" s="15"/>
      <c r="BKM425" s="15"/>
      <c r="BKN425" s="15"/>
      <c r="BKO425" s="15"/>
      <c r="BKP425" s="15"/>
      <c r="BKQ425" s="15"/>
      <c r="BKR425" s="15"/>
      <c r="BKS425" s="15"/>
      <c r="BKT425" s="15"/>
      <c r="BKU425" s="15"/>
      <c r="BKV425" s="15"/>
      <c r="BKW425" s="15"/>
      <c r="BKX425" s="15"/>
      <c r="BKY425" s="15"/>
      <c r="BKZ425" s="15"/>
      <c r="BLA425" s="15"/>
      <c r="BLB425" s="15"/>
      <c r="BLC425" s="15"/>
      <c r="BLD425" s="15"/>
      <c r="BLE425" s="15"/>
      <c r="BLF425" s="15"/>
      <c r="BLG425" s="15"/>
      <c r="BLH425" s="15"/>
      <c r="BLI425" s="15"/>
      <c r="BLJ425" s="15"/>
      <c r="BLK425" s="15"/>
      <c r="BLL425" s="15"/>
      <c r="BLM425" s="15"/>
      <c r="BLN425" s="15"/>
      <c r="BLO425" s="15"/>
      <c r="BLP425" s="15"/>
      <c r="BLQ425" s="15"/>
      <c r="BLR425" s="15"/>
      <c r="BLS425" s="15"/>
      <c r="BLT425" s="15"/>
      <c r="BLU425" s="15"/>
      <c r="BLV425" s="15"/>
      <c r="BLW425" s="15"/>
      <c r="BLX425" s="15"/>
      <c r="BLY425" s="15"/>
      <c r="BLZ425" s="15"/>
      <c r="BMA425" s="15"/>
      <c r="BMB425" s="15"/>
      <c r="BMC425" s="15"/>
      <c r="BMD425" s="15"/>
      <c r="BME425" s="15"/>
      <c r="BMF425" s="15"/>
      <c r="BMG425" s="15"/>
      <c r="BMH425" s="15"/>
      <c r="BMI425" s="15"/>
      <c r="BMJ425" s="15"/>
      <c r="BMK425" s="15"/>
      <c r="BML425" s="15"/>
      <c r="BMM425" s="15"/>
      <c r="BMN425" s="15"/>
      <c r="BMO425" s="15"/>
      <c r="BMP425" s="15"/>
      <c r="BMQ425" s="15"/>
      <c r="BMR425" s="15"/>
      <c r="BMS425" s="15"/>
      <c r="BMT425" s="15"/>
      <c r="BMU425" s="15"/>
      <c r="BMV425" s="15"/>
      <c r="BMW425" s="15"/>
      <c r="BMX425" s="15"/>
      <c r="BMY425" s="15"/>
      <c r="BMZ425" s="15"/>
      <c r="BNA425" s="15"/>
      <c r="BNB425" s="15"/>
      <c r="BNC425" s="15"/>
      <c r="BND425" s="15"/>
      <c r="BNE425" s="15"/>
      <c r="BNF425" s="15"/>
      <c r="BNG425" s="15"/>
      <c r="BNH425" s="15"/>
      <c r="BNI425" s="15"/>
      <c r="BNJ425" s="15"/>
      <c r="BNK425" s="15"/>
      <c r="BNL425" s="15"/>
      <c r="BNM425" s="15"/>
      <c r="BNN425" s="15"/>
      <c r="BNO425" s="15"/>
      <c r="BNP425" s="15"/>
      <c r="BNQ425" s="15"/>
      <c r="BNR425" s="15"/>
      <c r="BNS425" s="15"/>
      <c r="BNT425" s="15"/>
      <c r="BNU425" s="15"/>
      <c r="BNV425" s="15"/>
      <c r="BNW425" s="15"/>
      <c r="BNX425" s="15"/>
      <c r="BNY425" s="15"/>
      <c r="BNZ425" s="15"/>
      <c r="BOA425" s="15"/>
      <c r="BOB425" s="15"/>
      <c r="BOC425" s="15"/>
      <c r="BOD425" s="15"/>
      <c r="BOE425" s="15"/>
      <c r="BOF425" s="15"/>
      <c r="BOG425" s="15"/>
      <c r="BOH425" s="15"/>
      <c r="BOI425" s="15"/>
      <c r="BOJ425" s="15"/>
      <c r="BOK425" s="15"/>
      <c r="BOL425" s="15"/>
      <c r="BOM425" s="15"/>
      <c r="BON425" s="15"/>
      <c r="BOO425" s="15"/>
      <c r="BOP425" s="15"/>
      <c r="BOQ425" s="15"/>
      <c r="BOR425" s="15"/>
      <c r="BOS425" s="15"/>
      <c r="BOT425" s="15"/>
      <c r="BOU425" s="15"/>
      <c r="BOV425" s="15"/>
      <c r="BOW425" s="15"/>
      <c r="BOX425" s="15"/>
      <c r="BOY425" s="15"/>
      <c r="BOZ425" s="15"/>
      <c r="BPA425" s="15"/>
      <c r="BPB425" s="15"/>
      <c r="BPC425" s="15"/>
      <c r="BPD425" s="15"/>
      <c r="BPE425" s="15"/>
      <c r="BPF425" s="15"/>
      <c r="BPG425" s="15"/>
      <c r="BPH425" s="15"/>
      <c r="BPI425" s="15"/>
      <c r="BPJ425" s="15"/>
      <c r="BPK425" s="15"/>
      <c r="BPL425" s="15"/>
      <c r="BPM425" s="15"/>
      <c r="BPN425" s="15"/>
      <c r="BPO425" s="15"/>
      <c r="BPP425" s="15"/>
      <c r="BPQ425" s="15"/>
      <c r="BPR425" s="15"/>
      <c r="BPS425" s="15"/>
      <c r="BPT425" s="15"/>
      <c r="BPU425" s="15"/>
      <c r="BPV425" s="15"/>
      <c r="BPW425" s="15"/>
      <c r="BPX425" s="15"/>
      <c r="BPY425" s="15"/>
      <c r="BPZ425" s="15"/>
      <c r="BQA425" s="15"/>
      <c r="BQB425" s="15"/>
      <c r="BQC425" s="15"/>
      <c r="BQD425" s="15"/>
      <c r="BQE425" s="15"/>
      <c r="BQF425" s="15"/>
      <c r="BQG425" s="15"/>
      <c r="BQH425" s="15"/>
      <c r="BQI425" s="15"/>
      <c r="BQJ425" s="15"/>
      <c r="BQK425" s="15"/>
      <c r="BQL425" s="15"/>
      <c r="BQM425" s="15"/>
      <c r="BQN425" s="15"/>
      <c r="BQO425" s="15"/>
      <c r="BQP425" s="15"/>
      <c r="BQQ425" s="15"/>
      <c r="BQR425" s="15"/>
      <c r="BQS425" s="15"/>
      <c r="BQT425" s="15"/>
      <c r="BQU425" s="15"/>
      <c r="BQV425" s="15"/>
      <c r="BQW425" s="15"/>
      <c r="BQX425" s="15"/>
      <c r="BQY425" s="15"/>
      <c r="BQZ425" s="15"/>
      <c r="BRA425" s="15"/>
      <c r="BRB425" s="15"/>
      <c r="BRC425" s="15"/>
      <c r="BRD425" s="15"/>
      <c r="BRE425" s="15"/>
      <c r="BRF425" s="15"/>
      <c r="BRG425" s="15"/>
      <c r="BRH425" s="15"/>
      <c r="BRI425" s="15"/>
      <c r="BRJ425" s="15"/>
      <c r="BRK425" s="15"/>
      <c r="BRL425" s="15"/>
      <c r="BRM425" s="15"/>
      <c r="BRN425" s="15"/>
      <c r="BRO425" s="15"/>
      <c r="BRP425" s="15"/>
      <c r="BRQ425" s="15"/>
      <c r="BRR425" s="15"/>
      <c r="BRS425" s="15"/>
      <c r="BRT425" s="15"/>
      <c r="BRU425" s="15"/>
      <c r="BRV425" s="15"/>
      <c r="BRW425" s="15"/>
      <c r="BRX425" s="15"/>
      <c r="BRY425" s="15"/>
      <c r="BRZ425" s="15"/>
      <c r="BSA425" s="15"/>
      <c r="BSB425" s="15"/>
      <c r="BSC425" s="15"/>
      <c r="BSD425" s="15"/>
      <c r="BSE425" s="15"/>
      <c r="BSF425" s="15"/>
      <c r="BSG425" s="15"/>
      <c r="BSH425" s="15"/>
      <c r="BSI425" s="15"/>
      <c r="BSJ425" s="15"/>
      <c r="BSK425" s="15"/>
      <c r="BSL425" s="15"/>
      <c r="BSM425" s="15"/>
      <c r="BSN425" s="15"/>
      <c r="BSO425" s="15"/>
      <c r="BSP425" s="15"/>
      <c r="BSQ425" s="15"/>
      <c r="BSR425" s="15"/>
      <c r="BSS425" s="15"/>
      <c r="BST425" s="15"/>
      <c r="BSU425" s="15"/>
      <c r="BSV425" s="15"/>
      <c r="BSW425" s="15"/>
      <c r="BSX425" s="15"/>
      <c r="BSY425" s="15"/>
      <c r="BSZ425" s="15"/>
      <c r="BTA425" s="15"/>
      <c r="BTB425" s="15"/>
      <c r="BTC425" s="15"/>
      <c r="BTD425" s="15"/>
      <c r="BTE425" s="15"/>
      <c r="BTF425" s="15"/>
      <c r="BTG425" s="15"/>
      <c r="BTH425" s="15"/>
      <c r="BTI425" s="15"/>
      <c r="BTJ425" s="15"/>
      <c r="BTK425" s="15"/>
      <c r="BTL425" s="15"/>
      <c r="BTM425" s="15"/>
      <c r="BTN425" s="15"/>
      <c r="BTO425" s="15"/>
      <c r="BTP425" s="15"/>
      <c r="BTQ425" s="15"/>
      <c r="BTR425" s="15"/>
      <c r="BTS425" s="15"/>
      <c r="BTT425" s="15"/>
      <c r="BTU425" s="15"/>
      <c r="BTV425" s="15"/>
      <c r="BTW425" s="15"/>
      <c r="BTX425" s="15"/>
      <c r="BTY425" s="15"/>
      <c r="BTZ425" s="15"/>
      <c r="BUA425" s="15"/>
      <c r="BUB425" s="15"/>
      <c r="BUC425" s="15"/>
      <c r="BUD425" s="15"/>
      <c r="BUE425" s="15"/>
      <c r="BUF425" s="15"/>
      <c r="BUG425" s="15"/>
      <c r="BUH425" s="15"/>
      <c r="BUI425" s="15"/>
      <c r="BUJ425" s="15"/>
      <c r="BUK425" s="15"/>
      <c r="BUL425" s="15"/>
      <c r="BUM425" s="15"/>
      <c r="BUN425" s="15"/>
      <c r="BUO425" s="15"/>
      <c r="BUP425" s="15"/>
      <c r="BUQ425" s="15"/>
      <c r="BUR425" s="15"/>
      <c r="BUS425" s="15"/>
      <c r="BUT425" s="15"/>
      <c r="BUU425" s="15"/>
      <c r="BUV425" s="15"/>
      <c r="BUW425" s="15"/>
      <c r="BUX425" s="15"/>
      <c r="BUY425" s="15"/>
      <c r="BUZ425" s="15"/>
      <c r="BVA425" s="15"/>
      <c r="BVB425" s="15"/>
      <c r="BVC425" s="15"/>
      <c r="BVD425" s="15"/>
      <c r="BVE425" s="15"/>
      <c r="BVF425" s="15"/>
      <c r="BVG425" s="15"/>
      <c r="BVH425" s="15"/>
      <c r="BVI425" s="15"/>
      <c r="BVJ425" s="15"/>
      <c r="BVK425" s="15"/>
      <c r="BVL425" s="15"/>
      <c r="BVM425" s="15"/>
      <c r="BVN425" s="15"/>
      <c r="BVO425" s="15"/>
      <c r="BVP425" s="15"/>
      <c r="BVQ425" s="15"/>
      <c r="BVR425" s="15"/>
      <c r="BVS425" s="15"/>
      <c r="BVT425" s="15"/>
      <c r="BVU425" s="15"/>
      <c r="BVV425" s="15"/>
      <c r="BVW425" s="15"/>
      <c r="BVX425" s="15"/>
      <c r="BVY425" s="15"/>
      <c r="BVZ425" s="15"/>
      <c r="BWA425" s="15"/>
      <c r="BWB425" s="15"/>
      <c r="BWC425" s="15"/>
      <c r="BWD425" s="15"/>
      <c r="BWE425" s="15"/>
      <c r="BWF425" s="15"/>
      <c r="BWG425" s="15"/>
      <c r="BWH425" s="15"/>
      <c r="BWI425" s="15"/>
      <c r="BWJ425" s="15"/>
      <c r="BWK425" s="15"/>
      <c r="BWL425" s="15"/>
      <c r="BWM425" s="15"/>
      <c r="BWN425" s="15"/>
      <c r="BWO425" s="15"/>
      <c r="BWP425" s="15"/>
      <c r="BWQ425" s="15"/>
      <c r="BWR425" s="15"/>
      <c r="BWS425" s="15"/>
      <c r="BWT425" s="15"/>
      <c r="BWU425" s="15"/>
      <c r="BWV425" s="15"/>
      <c r="BWW425" s="15"/>
      <c r="BWX425" s="15"/>
      <c r="BWY425" s="15"/>
      <c r="BWZ425" s="15"/>
      <c r="BXA425" s="15"/>
      <c r="BXB425" s="15"/>
      <c r="BXC425" s="15"/>
      <c r="BXD425" s="15"/>
      <c r="BXE425" s="15"/>
      <c r="BXF425" s="15"/>
      <c r="BXG425" s="15"/>
      <c r="BXH425" s="15"/>
      <c r="BXI425" s="15"/>
      <c r="BXJ425" s="15"/>
      <c r="BXK425" s="15"/>
      <c r="BXL425" s="15"/>
      <c r="BXM425" s="15"/>
      <c r="BXN425" s="15"/>
      <c r="BXO425" s="15"/>
      <c r="BXP425" s="15"/>
      <c r="BXQ425" s="15"/>
      <c r="BXR425" s="15"/>
      <c r="BXS425" s="15"/>
      <c r="BXT425" s="15"/>
      <c r="BXU425" s="15"/>
      <c r="BXV425" s="15"/>
      <c r="BXW425" s="15"/>
      <c r="BXX425" s="15"/>
      <c r="BXY425" s="15"/>
      <c r="BXZ425" s="15"/>
      <c r="BYA425" s="15"/>
      <c r="BYB425" s="15"/>
      <c r="BYC425" s="15"/>
      <c r="BYD425" s="15"/>
      <c r="BYE425" s="15"/>
      <c r="BYF425" s="15"/>
      <c r="BYG425" s="15"/>
      <c r="BYH425" s="15"/>
      <c r="BYI425" s="15"/>
      <c r="BYJ425" s="15"/>
      <c r="BYK425" s="15"/>
      <c r="BYL425" s="15"/>
      <c r="BYM425" s="15"/>
      <c r="BYN425" s="15"/>
      <c r="BYO425" s="15"/>
      <c r="BYP425" s="15"/>
      <c r="BYQ425" s="15"/>
      <c r="BYR425" s="15"/>
      <c r="BYS425" s="15"/>
      <c r="BYT425" s="15"/>
      <c r="BYU425" s="15"/>
      <c r="BYV425" s="15"/>
      <c r="BYW425" s="15"/>
      <c r="BYX425" s="15"/>
      <c r="BYY425" s="15"/>
      <c r="BYZ425" s="15"/>
      <c r="BZA425" s="15"/>
      <c r="BZB425" s="15"/>
      <c r="BZC425" s="15"/>
      <c r="BZD425" s="15"/>
      <c r="BZE425" s="15"/>
      <c r="BZF425" s="15"/>
      <c r="BZG425" s="15"/>
      <c r="BZH425" s="15"/>
      <c r="BZI425" s="15"/>
      <c r="BZJ425" s="15"/>
      <c r="BZK425" s="15"/>
      <c r="BZL425" s="15"/>
      <c r="BZM425" s="15"/>
      <c r="BZN425" s="15"/>
      <c r="BZO425" s="15"/>
      <c r="BZP425" s="15"/>
      <c r="BZQ425" s="15"/>
      <c r="BZR425" s="15"/>
      <c r="BZS425" s="15"/>
      <c r="BZT425" s="15"/>
      <c r="BZU425" s="15"/>
      <c r="BZV425" s="15"/>
      <c r="BZW425" s="15"/>
      <c r="BZX425" s="15"/>
      <c r="BZY425" s="15"/>
      <c r="BZZ425" s="15"/>
      <c r="CAA425" s="15"/>
      <c r="CAB425" s="15"/>
      <c r="CAC425" s="15"/>
      <c r="CAD425" s="15"/>
      <c r="CAE425" s="15"/>
      <c r="CAF425" s="15"/>
      <c r="CAG425" s="15"/>
      <c r="CAH425" s="15"/>
      <c r="CAI425" s="15"/>
      <c r="CAJ425" s="15"/>
      <c r="CAK425" s="15"/>
      <c r="CAL425" s="15"/>
      <c r="CAM425" s="15"/>
      <c r="CAN425" s="15"/>
      <c r="CAO425" s="15"/>
      <c r="CAP425" s="15"/>
      <c r="CAQ425" s="15"/>
      <c r="CAR425" s="15"/>
      <c r="CAS425" s="15"/>
      <c r="CAT425" s="15"/>
      <c r="CAU425" s="15"/>
      <c r="CAV425" s="15"/>
      <c r="CAW425" s="15"/>
      <c r="CAX425" s="15"/>
      <c r="CAY425" s="15"/>
      <c r="CAZ425" s="15"/>
      <c r="CBA425" s="15"/>
      <c r="CBB425" s="15"/>
      <c r="CBC425" s="15"/>
      <c r="CBD425" s="15"/>
      <c r="CBE425" s="15"/>
      <c r="CBF425" s="15"/>
      <c r="CBG425" s="15"/>
      <c r="CBH425" s="15"/>
      <c r="CBI425" s="15"/>
      <c r="CBJ425" s="15"/>
      <c r="CBK425" s="15"/>
      <c r="CBL425" s="15"/>
      <c r="CBM425" s="15"/>
      <c r="CBN425" s="15"/>
      <c r="CBO425" s="15"/>
      <c r="CBP425" s="15"/>
      <c r="CBQ425" s="15"/>
      <c r="CBR425" s="15"/>
      <c r="CBS425" s="15"/>
      <c r="CBT425" s="15"/>
      <c r="CBU425" s="15"/>
      <c r="CBV425" s="15"/>
      <c r="CBW425" s="15"/>
      <c r="CBX425" s="15"/>
      <c r="CBY425" s="15"/>
      <c r="CBZ425" s="15"/>
      <c r="CCA425" s="15"/>
      <c r="CCB425" s="15"/>
      <c r="CCC425" s="15"/>
      <c r="CCD425" s="15"/>
      <c r="CCE425" s="15"/>
      <c r="CCF425" s="15"/>
      <c r="CCG425" s="15"/>
      <c r="CCH425" s="15"/>
      <c r="CCI425" s="15"/>
      <c r="CCJ425" s="15"/>
      <c r="CCK425" s="15"/>
      <c r="CCL425" s="15"/>
      <c r="CCM425" s="15"/>
      <c r="CCN425" s="15"/>
      <c r="CCO425" s="15"/>
      <c r="CCP425" s="15"/>
      <c r="CCQ425" s="15"/>
      <c r="CCR425" s="15"/>
      <c r="CCS425" s="15"/>
      <c r="CCT425" s="15"/>
      <c r="CCU425" s="15"/>
      <c r="CCV425" s="15"/>
      <c r="CCW425" s="15"/>
      <c r="CCX425" s="15"/>
      <c r="CCY425" s="15"/>
      <c r="CCZ425" s="15"/>
      <c r="CDA425" s="15"/>
      <c r="CDB425" s="15"/>
      <c r="CDC425" s="15"/>
      <c r="CDD425" s="15"/>
      <c r="CDE425" s="15"/>
      <c r="CDF425" s="15"/>
      <c r="CDG425" s="15"/>
      <c r="CDH425" s="15"/>
      <c r="CDI425" s="15"/>
      <c r="CDJ425" s="15"/>
      <c r="CDK425" s="15"/>
      <c r="CDL425" s="15"/>
      <c r="CDM425" s="15"/>
      <c r="CDN425" s="15"/>
      <c r="CDO425" s="15"/>
      <c r="CDP425" s="15"/>
      <c r="CDQ425" s="15"/>
      <c r="CDR425" s="15"/>
      <c r="CDS425" s="15"/>
      <c r="CDT425" s="15"/>
      <c r="CDU425" s="15"/>
      <c r="CDV425" s="15"/>
      <c r="CDW425" s="15"/>
      <c r="CDX425" s="15"/>
      <c r="CDY425" s="15"/>
      <c r="CDZ425" s="15"/>
      <c r="CEA425" s="15"/>
      <c r="CEB425" s="15"/>
      <c r="CEC425" s="15"/>
      <c r="CED425" s="15"/>
      <c r="CEE425" s="15"/>
      <c r="CEF425" s="15"/>
      <c r="CEG425" s="15"/>
      <c r="CEH425" s="15"/>
      <c r="CEI425" s="15"/>
      <c r="CEJ425" s="15"/>
      <c r="CEK425" s="15"/>
      <c r="CEL425" s="15"/>
      <c r="CEM425" s="15"/>
      <c r="CEN425" s="15"/>
      <c r="CEO425" s="15"/>
      <c r="CEP425" s="15"/>
      <c r="CEQ425" s="15"/>
      <c r="CER425" s="15"/>
      <c r="CES425" s="15"/>
      <c r="CET425" s="15"/>
      <c r="CEU425" s="15"/>
      <c r="CEV425" s="15"/>
      <c r="CEW425" s="15"/>
      <c r="CEX425" s="15"/>
      <c r="CEY425" s="15"/>
      <c r="CEZ425" s="15"/>
      <c r="CFA425" s="15"/>
      <c r="CFB425" s="15"/>
      <c r="CFC425" s="15"/>
      <c r="CFD425" s="15"/>
      <c r="CFE425" s="15"/>
      <c r="CFF425" s="15"/>
      <c r="CFG425" s="15"/>
      <c r="CFH425" s="15"/>
      <c r="CFI425" s="15"/>
      <c r="CFJ425" s="15"/>
      <c r="CFK425" s="15"/>
      <c r="CFL425" s="15"/>
      <c r="CFM425" s="15"/>
      <c r="CFN425" s="15"/>
      <c r="CFO425" s="15"/>
      <c r="CFP425" s="15"/>
      <c r="CFQ425" s="15"/>
      <c r="CFR425" s="15"/>
      <c r="CFS425" s="15"/>
      <c r="CFT425" s="15"/>
      <c r="CFU425" s="15"/>
      <c r="CFV425" s="15"/>
      <c r="CFW425" s="15"/>
      <c r="CFX425" s="15"/>
      <c r="CFY425" s="15"/>
      <c r="CFZ425" s="15"/>
      <c r="CGA425" s="15"/>
      <c r="CGB425" s="15"/>
      <c r="CGC425" s="15"/>
      <c r="CGD425" s="15"/>
      <c r="CGE425" s="15"/>
      <c r="CGF425" s="15"/>
      <c r="CGG425" s="15"/>
      <c r="CGH425" s="15"/>
      <c r="CGI425" s="15"/>
      <c r="CGJ425" s="15"/>
      <c r="CGK425" s="15"/>
      <c r="CGL425" s="15"/>
      <c r="CGM425" s="15"/>
      <c r="CGN425" s="15"/>
      <c r="CGO425" s="15"/>
      <c r="CGP425" s="15"/>
      <c r="CGQ425" s="15"/>
      <c r="CGR425" s="15"/>
      <c r="CGS425" s="15"/>
      <c r="CGT425" s="15"/>
      <c r="CGU425" s="15"/>
      <c r="CGV425" s="15"/>
      <c r="CGW425" s="15"/>
      <c r="CGX425" s="15"/>
      <c r="CGY425" s="15"/>
      <c r="CGZ425" s="15"/>
      <c r="CHA425" s="15"/>
      <c r="CHB425" s="15"/>
      <c r="CHC425" s="15"/>
      <c r="CHD425" s="15"/>
      <c r="CHE425" s="15"/>
      <c r="CHF425" s="15"/>
      <c r="CHG425" s="15"/>
      <c r="CHH425" s="15"/>
      <c r="CHI425" s="15"/>
      <c r="CHJ425" s="15"/>
      <c r="CHK425" s="15"/>
      <c r="CHL425" s="15"/>
      <c r="CHM425" s="15"/>
      <c r="CHN425" s="15"/>
      <c r="CHO425" s="15"/>
      <c r="CHP425" s="15"/>
      <c r="CHQ425" s="15"/>
      <c r="CHR425" s="15"/>
      <c r="CHS425" s="15"/>
      <c r="CHT425" s="15"/>
      <c r="CHU425" s="15"/>
      <c r="CHV425" s="15"/>
      <c r="CHW425" s="15"/>
      <c r="CHX425" s="15"/>
      <c r="CHY425" s="15"/>
      <c r="CHZ425" s="15"/>
      <c r="CIA425" s="15"/>
      <c r="CIB425" s="15"/>
      <c r="CIC425" s="15"/>
      <c r="CID425" s="15"/>
      <c r="CIE425" s="15"/>
      <c r="CIF425" s="15"/>
      <c r="CIG425" s="15"/>
      <c r="CIH425" s="15"/>
      <c r="CII425" s="15"/>
      <c r="CIJ425" s="15"/>
      <c r="CIK425" s="15"/>
      <c r="CIL425" s="15"/>
      <c r="CIM425" s="15"/>
      <c r="CIN425" s="15"/>
      <c r="CIO425" s="15"/>
      <c r="CIP425" s="15"/>
      <c r="CIQ425" s="15"/>
      <c r="CIR425" s="15"/>
      <c r="CIS425" s="15"/>
      <c r="CIT425" s="15"/>
      <c r="CIU425" s="15"/>
      <c r="CIV425" s="15"/>
      <c r="CIW425" s="15"/>
      <c r="CIX425" s="15"/>
      <c r="CIY425" s="15"/>
      <c r="CIZ425" s="15"/>
      <c r="CJA425" s="15"/>
      <c r="CJB425" s="15"/>
      <c r="CJC425" s="15"/>
      <c r="CJD425" s="15"/>
      <c r="CJE425" s="15"/>
      <c r="CJF425" s="15"/>
      <c r="CJG425" s="15"/>
      <c r="CJH425" s="15"/>
      <c r="CJI425" s="15"/>
      <c r="CJJ425" s="15"/>
      <c r="CJK425" s="15"/>
      <c r="CJL425" s="15"/>
      <c r="CJM425" s="15"/>
      <c r="CJN425" s="15"/>
      <c r="CJO425" s="15"/>
      <c r="CJP425" s="15"/>
      <c r="CJQ425" s="15"/>
      <c r="CJR425" s="15"/>
      <c r="CJS425" s="15"/>
      <c r="CJT425" s="15"/>
      <c r="CJU425" s="15"/>
      <c r="CJV425" s="15"/>
      <c r="CJW425" s="15"/>
      <c r="CJX425" s="15"/>
      <c r="CJY425" s="15"/>
      <c r="CJZ425" s="15"/>
      <c r="CKA425" s="15"/>
      <c r="CKB425" s="15"/>
      <c r="CKC425" s="15"/>
      <c r="CKD425" s="15"/>
      <c r="CKE425" s="15"/>
      <c r="CKF425" s="15"/>
      <c r="CKG425" s="15"/>
      <c r="CKH425" s="15"/>
      <c r="CKI425" s="15"/>
      <c r="CKJ425" s="15"/>
      <c r="CKK425" s="15"/>
      <c r="CKL425" s="15"/>
      <c r="CKM425" s="15"/>
      <c r="CKN425" s="15"/>
      <c r="CKO425" s="15"/>
      <c r="CKP425" s="15"/>
      <c r="CKQ425" s="15"/>
      <c r="CKR425" s="15"/>
      <c r="CKS425" s="15"/>
      <c r="CKT425" s="15"/>
      <c r="CKU425" s="15"/>
      <c r="CKV425" s="15"/>
      <c r="CKW425" s="15"/>
      <c r="CKX425" s="15"/>
      <c r="CKY425" s="15"/>
      <c r="CKZ425" s="15"/>
      <c r="CLA425" s="15"/>
      <c r="CLB425" s="15"/>
      <c r="CLC425" s="15"/>
      <c r="CLD425" s="15"/>
      <c r="CLE425" s="15"/>
      <c r="CLF425" s="15"/>
      <c r="CLG425" s="15"/>
      <c r="CLH425" s="15"/>
      <c r="CLI425" s="15"/>
      <c r="CLJ425" s="15"/>
      <c r="CLK425" s="15"/>
      <c r="CLL425" s="15"/>
      <c r="CLM425" s="15"/>
      <c r="CLN425" s="15"/>
      <c r="CLO425" s="15"/>
      <c r="CLP425" s="15"/>
      <c r="CLQ425" s="15"/>
      <c r="CLR425" s="15"/>
      <c r="CLS425" s="15"/>
      <c r="CLT425" s="15"/>
      <c r="CLU425" s="15"/>
      <c r="CLV425" s="15"/>
      <c r="CLW425" s="15"/>
      <c r="CLX425" s="15"/>
      <c r="CLY425" s="15"/>
      <c r="CLZ425" s="15"/>
      <c r="CMA425" s="15"/>
      <c r="CMB425" s="15"/>
      <c r="CMC425" s="15"/>
      <c r="CMD425" s="15"/>
      <c r="CME425" s="15"/>
      <c r="CMF425" s="15"/>
      <c r="CMG425" s="15"/>
      <c r="CMH425" s="15"/>
      <c r="CMI425" s="15"/>
      <c r="CMJ425" s="15"/>
      <c r="CMK425" s="15"/>
      <c r="CML425" s="15"/>
      <c r="CMM425" s="15"/>
      <c r="CMN425" s="15"/>
      <c r="CMO425" s="15"/>
      <c r="CMP425" s="15"/>
      <c r="CMQ425" s="15"/>
      <c r="CMR425" s="15"/>
      <c r="CMS425" s="15"/>
      <c r="CMT425" s="15"/>
      <c r="CMU425" s="15"/>
      <c r="CMV425" s="15"/>
      <c r="CMW425" s="15"/>
      <c r="CMX425" s="15"/>
      <c r="CMY425" s="15"/>
      <c r="CMZ425" s="15"/>
      <c r="CNA425" s="15"/>
      <c r="CNB425" s="15"/>
      <c r="CNC425" s="15"/>
      <c r="CND425" s="15"/>
      <c r="CNE425" s="15"/>
      <c r="CNF425" s="15"/>
      <c r="CNG425" s="15"/>
      <c r="CNH425" s="15"/>
      <c r="CNI425" s="15"/>
      <c r="CNJ425" s="15"/>
      <c r="CNK425" s="15"/>
      <c r="CNL425" s="15"/>
      <c r="CNM425" s="15"/>
      <c r="CNN425" s="15"/>
      <c r="CNO425" s="15"/>
      <c r="CNP425" s="15"/>
      <c r="CNQ425" s="15"/>
      <c r="CNR425" s="15"/>
      <c r="CNS425" s="15"/>
      <c r="CNT425" s="15"/>
      <c r="CNU425" s="15"/>
      <c r="CNV425" s="15"/>
      <c r="CNW425" s="15"/>
      <c r="CNX425" s="15"/>
      <c r="CNY425" s="15"/>
      <c r="CNZ425" s="15"/>
      <c r="COA425" s="15"/>
      <c r="COB425" s="15"/>
      <c r="COC425" s="15"/>
      <c r="COD425" s="15"/>
      <c r="COE425" s="15"/>
      <c r="COF425" s="15"/>
      <c r="COG425" s="15"/>
      <c r="COH425" s="15"/>
      <c r="COI425" s="15"/>
      <c r="COJ425" s="15"/>
      <c r="COK425" s="15"/>
      <c r="COL425" s="15"/>
      <c r="COM425" s="15"/>
      <c r="CON425" s="15"/>
      <c r="COO425" s="15"/>
      <c r="COP425" s="15"/>
      <c r="COQ425" s="15"/>
      <c r="COR425" s="15"/>
      <c r="COS425" s="15"/>
      <c r="COT425" s="15"/>
      <c r="COU425" s="15"/>
      <c r="COV425" s="15"/>
      <c r="COW425" s="15"/>
      <c r="COX425" s="15"/>
      <c r="COY425" s="15"/>
      <c r="COZ425" s="15"/>
      <c r="CPA425" s="15"/>
      <c r="CPB425" s="15"/>
      <c r="CPC425" s="15"/>
      <c r="CPD425" s="15"/>
      <c r="CPE425" s="15"/>
      <c r="CPF425" s="15"/>
      <c r="CPG425" s="15"/>
      <c r="CPH425" s="15"/>
      <c r="CPI425" s="15"/>
      <c r="CPJ425" s="15"/>
      <c r="CPK425" s="15"/>
      <c r="CPL425" s="15"/>
      <c r="CPM425" s="15"/>
      <c r="CPN425" s="15"/>
      <c r="CPO425" s="15"/>
      <c r="CPP425" s="15"/>
      <c r="CPQ425" s="15"/>
      <c r="CPR425" s="15"/>
      <c r="CPS425" s="15"/>
      <c r="CPT425" s="15"/>
      <c r="CPU425" s="15"/>
      <c r="CPV425" s="15"/>
      <c r="CPW425" s="15"/>
      <c r="CPX425" s="15"/>
      <c r="CPY425" s="15"/>
      <c r="CPZ425" s="15"/>
      <c r="CQA425" s="15"/>
      <c r="CQB425" s="15"/>
      <c r="CQC425" s="15"/>
      <c r="CQD425" s="15"/>
      <c r="CQE425" s="15"/>
      <c r="CQF425" s="15"/>
      <c r="CQG425" s="15"/>
      <c r="CQH425" s="15"/>
      <c r="CQI425" s="15"/>
      <c r="CQJ425" s="15"/>
      <c r="CQK425" s="15"/>
      <c r="CQL425" s="15"/>
      <c r="CQM425" s="15"/>
      <c r="CQN425" s="15"/>
      <c r="CQO425" s="15"/>
      <c r="CQP425" s="15"/>
      <c r="CQQ425" s="15"/>
      <c r="CQR425" s="15"/>
      <c r="CQS425" s="15"/>
      <c r="CQT425" s="15"/>
      <c r="CQU425" s="15"/>
      <c r="CQV425" s="15"/>
      <c r="CQW425" s="15"/>
      <c r="CQX425" s="15"/>
      <c r="CQY425" s="15"/>
      <c r="CQZ425" s="15"/>
      <c r="CRA425" s="15"/>
      <c r="CRB425" s="15"/>
      <c r="CRC425" s="15"/>
      <c r="CRD425" s="15"/>
      <c r="CRE425" s="15"/>
      <c r="CRF425" s="15"/>
      <c r="CRG425" s="15"/>
      <c r="CRH425" s="15"/>
      <c r="CRI425" s="15"/>
      <c r="CRJ425" s="15"/>
      <c r="CRK425" s="15"/>
      <c r="CRL425" s="15"/>
      <c r="CRM425" s="15"/>
      <c r="CRN425" s="15"/>
      <c r="CRO425" s="15"/>
      <c r="CRP425" s="15"/>
      <c r="CRQ425" s="15"/>
      <c r="CRR425" s="15"/>
      <c r="CRS425" s="15"/>
      <c r="CRT425" s="15"/>
      <c r="CRU425" s="15"/>
      <c r="CRV425" s="15"/>
      <c r="CRW425" s="15"/>
      <c r="CRX425" s="15"/>
      <c r="CRY425" s="15"/>
      <c r="CRZ425" s="15"/>
      <c r="CSA425" s="15"/>
      <c r="CSB425" s="15"/>
      <c r="CSC425" s="15"/>
      <c r="CSD425" s="15"/>
      <c r="CSE425" s="15"/>
      <c r="CSF425" s="15"/>
      <c r="CSG425" s="15"/>
      <c r="CSH425" s="15"/>
      <c r="CSI425" s="15"/>
      <c r="CSJ425" s="15"/>
      <c r="CSK425" s="15"/>
      <c r="CSL425" s="15"/>
      <c r="CSM425" s="15"/>
      <c r="CSN425" s="15"/>
      <c r="CSO425" s="15"/>
      <c r="CSP425" s="15"/>
      <c r="CSQ425" s="15"/>
      <c r="CSR425" s="15"/>
      <c r="CSS425" s="15"/>
      <c r="CST425" s="15"/>
      <c r="CSU425" s="15"/>
      <c r="CSV425" s="15"/>
      <c r="CSW425" s="15"/>
      <c r="CSX425" s="15"/>
      <c r="CSY425" s="15"/>
      <c r="CSZ425" s="15"/>
      <c r="CTA425" s="15"/>
      <c r="CTB425" s="15"/>
      <c r="CTC425" s="15"/>
      <c r="CTD425" s="15"/>
      <c r="CTE425" s="15"/>
      <c r="CTF425" s="15"/>
      <c r="CTG425" s="15"/>
      <c r="CTH425" s="15"/>
      <c r="CTI425" s="15"/>
      <c r="CTJ425" s="15"/>
      <c r="CTK425" s="15"/>
      <c r="CTL425" s="15"/>
      <c r="CTM425" s="15"/>
      <c r="CTN425" s="15"/>
      <c r="CTO425" s="15"/>
      <c r="CTP425" s="15"/>
      <c r="CTQ425" s="15"/>
      <c r="CTR425" s="15"/>
      <c r="CTS425" s="15"/>
      <c r="CTT425" s="15"/>
      <c r="CTU425" s="15"/>
      <c r="CTV425" s="15"/>
      <c r="CTW425" s="15"/>
      <c r="CTX425" s="15"/>
      <c r="CTY425" s="15"/>
      <c r="CTZ425" s="15"/>
      <c r="CUA425" s="15"/>
      <c r="CUB425" s="15"/>
      <c r="CUC425" s="15"/>
      <c r="CUD425" s="15"/>
      <c r="CUE425" s="15"/>
      <c r="CUF425" s="15"/>
      <c r="CUG425" s="15"/>
      <c r="CUH425" s="15"/>
      <c r="CUI425" s="15"/>
      <c r="CUJ425" s="15"/>
      <c r="CUK425" s="15"/>
      <c r="CUL425" s="15"/>
      <c r="CUM425" s="15"/>
      <c r="CUN425" s="15"/>
      <c r="CUO425" s="15"/>
      <c r="CUP425" s="15"/>
      <c r="CUQ425" s="15"/>
      <c r="CUR425" s="15"/>
      <c r="CUS425" s="15"/>
      <c r="CUT425" s="15"/>
      <c r="CUU425" s="15"/>
      <c r="CUV425" s="15"/>
      <c r="CUW425" s="15"/>
      <c r="CUX425" s="15"/>
      <c r="CUY425" s="15"/>
      <c r="CUZ425" s="15"/>
      <c r="CVA425" s="15"/>
      <c r="CVB425" s="15"/>
      <c r="CVC425" s="15"/>
      <c r="CVD425" s="15"/>
      <c r="CVE425" s="15"/>
      <c r="CVF425" s="15"/>
      <c r="CVG425" s="15"/>
      <c r="CVH425" s="15"/>
      <c r="CVI425" s="15"/>
      <c r="CVJ425" s="15"/>
      <c r="CVK425" s="15"/>
      <c r="CVL425" s="15"/>
      <c r="CVM425" s="15"/>
      <c r="CVN425" s="15"/>
      <c r="CVO425" s="15"/>
      <c r="CVP425" s="15"/>
      <c r="CVQ425" s="15"/>
      <c r="CVR425" s="15"/>
      <c r="CVS425" s="15"/>
      <c r="CVT425" s="15"/>
      <c r="CVU425" s="15"/>
      <c r="CVV425" s="15"/>
      <c r="CVW425" s="15"/>
      <c r="CVX425" s="15"/>
      <c r="CVY425" s="15"/>
      <c r="CVZ425" s="15"/>
      <c r="CWA425" s="15"/>
      <c r="CWB425" s="15"/>
      <c r="CWC425" s="15"/>
      <c r="CWD425" s="15"/>
      <c r="CWE425" s="15"/>
      <c r="CWF425" s="15"/>
      <c r="CWG425" s="15"/>
      <c r="CWH425" s="15"/>
      <c r="CWI425" s="15"/>
      <c r="CWJ425" s="15"/>
      <c r="CWK425" s="15"/>
      <c r="CWL425" s="15"/>
      <c r="CWM425" s="15"/>
      <c r="CWN425" s="15"/>
      <c r="CWO425" s="15"/>
      <c r="CWP425" s="15"/>
      <c r="CWQ425" s="15"/>
      <c r="CWR425" s="15"/>
      <c r="CWS425" s="15"/>
      <c r="CWT425" s="15"/>
      <c r="CWU425" s="15"/>
      <c r="CWV425" s="15"/>
      <c r="CWW425" s="15"/>
      <c r="CWX425" s="15"/>
      <c r="CWY425" s="15"/>
      <c r="CWZ425" s="15"/>
      <c r="CXA425" s="15"/>
      <c r="CXB425" s="15"/>
      <c r="CXC425" s="15"/>
      <c r="CXD425" s="15"/>
      <c r="CXE425" s="15"/>
      <c r="CXF425" s="15"/>
      <c r="CXG425" s="15"/>
      <c r="CXH425" s="15"/>
      <c r="CXI425" s="15"/>
      <c r="CXJ425" s="15"/>
      <c r="CXK425" s="15"/>
      <c r="CXL425" s="15"/>
      <c r="CXM425" s="15"/>
      <c r="CXN425" s="15"/>
      <c r="CXO425" s="15"/>
      <c r="CXP425" s="15"/>
      <c r="CXQ425" s="15"/>
      <c r="CXR425" s="15"/>
      <c r="CXS425" s="15"/>
      <c r="CXT425" s="15"/>
      <c r="CXU425" s="15"/>
      <c r="CXV425" s="15"/>
      <c r="CXW425" s="15"/>
      <c r="CXX425" s="15"/>
      <c r="CXY425" s="15"/>
      <c r="CXZ425" s="15"/>
      <c r="CYA425" s="15"/>
      <c r="CYB425" s="15"/>
      <c r="CYC425" s="15"/>
      <c r="CYD425" s="15"/>
      <c r="CYE425" s="15"/>
      <c r="CYF425" s="15"/>
      <c r="CYG425" s="15"/>
      <c r="CYH425" s="15"/>
      <c r="CYI425" s="15"/>
      <c r="CYJ425" s="15"/>
      <c r="CYK425" s="15"/>
      <c r="CYL425" s="15"/>
      <c r="CYM425" s="15"/>
      <c r="CYN425" s="15"/>
      <c r="CYO425" s="15"/>
      <c r="CYP425" s="15"/>
      <c r="CYQ425" s="15"/>
      <c r="CYR425" s="15"/>
      <c r="CYS425" s="15"/>
      <c r="CYT425" s="15"/>
      <c r="CYU425" s="15"/>
      <c r="CYV425" s="15"/>
      <c r="CYW425" s="15"/>
      <c r="CYX425" s="15"/>
      <c r="CYY425" s="15"/>
      <c r="CYZ425" s="15"/>
      <c r="CZA425" s="15"/>
      <c r="CZB425" s="15"/>
      <c r="CZC425" s="15"/>
      <c r="CZD425" s="15"/>
      <c r="CZE425" s="15"/>
      <c r="CZF425" s="15"/>
      <c r="CZG425" s="15"/>
      <c r="CZH425" s="15"/>
      <c r="CZI425" s="15"/>
      <c r="CZJ425" s="15"/>
      <c r="CZK425" s="15"/>
      <c r="CZL425" s="15"/>
      <c r="CZM425" s="15"/>
      <c r="CZN425" s="15"/>
      <c r="CZO425" s="15"/>
      <c r="CZP425" s="15"/>
      <c r="CZQ425" s="15"/>
      <c r="CZR425" s="15"/>
      <c r="CZS425" s="15"/>
      <c r="CZT425" s="15"/>
      <c r="CZU425" s="15"/>
      <c r="CZV425" s="15"/>
      <c r="CZW425" s="15"/>
      <c r="CZX425" s="15"/>
      <c r="CZY425" s="15"/>
      <c r="CZZ425" s="15"/>
      <c r="DAA425" s="15"/>
      <c r="DAB425" s="15"/>
      <c r="DAC425" s="15"/>
      <c r="DAD425" s="15"/>
      <c r="DAE425" s="15"/>
      <c r="DAF425" s="15"/>
      <c r="DAG425" s="15"/>
      <c r="DAH425" s="15"/>
      <c r="DAI425" s="15"/>
      <c r="DAJ425" s="15"/>
      <c r="DAK425" s="15"/>
      <c r="DAL425" s="15"/>
      <c r="DAM425" s="15"/>
      <c r="DAN425" s="15"/>
      <c r="DAO425" s="15"/>
      <c r="DAP425" s="15"/>
      <c r="DAQ425" s="15"/>
      <c r="DAR425" s="15"/>
      <c r="DAS425" s="15"/>
      <c r="DAT425" s="15"/>
      <c r="DAU425" s="15"/>
      <c r="DAV425" s="15"/>
      <c r="DAW425" s="15"/>
      <c r="DAX425" s="15"/>
      <c r="DAY425" s="15"/>
      <c r="DAZ425" s="15"/>
      <c r="DBA425" s="15"/>
      <c r="DBB425" s="15"/>
      <c r="DBC425" s="15"/>
      <c r="DBD425" s="15"/>
      <c r="DBE425" s="15"/>
      <c r="DBF425" s="15"/>
      <c r="DBG425" s="15"/>
      <c r="DBH425" s="15"/>
      <c r="DBI425" s="15"/>
      <c r="DBJ425" s="15"/>
      <c r="DBK425" s="15"/>
      <c r="DBL425" s="15"/>
      <c r="DBM425" s="15"/>
      <c r="DBN425" s="15"/>
      <c r="DBO425" s="15"/>
      <c r="DBP425" s="15"/>
      <c r="DBQ425" s="15"/>
      <c r="DBR425" s="15"/>
      <c r="DBS425" s="15"/>
      <c r="DBT425" s="15"/>
      <c r="DBU425" s="15"/>
      <c r="DBV425" s="15"/>
      <c r="DBW425" s="15"/>
      <c r="DBX425" s="15"/>
      <c r="DBY425" s="15"/>
      <c r="DBZ425" s="15"/>
      <c r="DCA425" s="15"/>
      <c r="DCB425" s="15"/>
      <c r="DCC425" s="15"/>
      <c r="DCD425" s="15"/>
      <c r="DCE425" s="15"/>
      <c r="DCF425" s="15"/>
      <c r="DCG425" s="15"/>
      <c r="DCH425" s="15"/>
      <c r="DCI425" s="15"/>
      <c r="DCJ425" s="15"/>
      <c r="DCK425" s="15"/>
      <c r="DCL425" s="15"/>
      <c r="DCM425" s="15"/>
      <c r="DCN425" s="15"/>
      <c r="DCO425" s="15"/>
      <c r="DCP425" s="15"/>
      <c r="DCQ425" s="15"/>
      <c r="DCR425" s="15"/>
      <c r="DCS425" s="15"/>
      <c r="DCT425" s="15"/>
      <c r="DCU425" s="15"/>
      <c r="DCV425" s="15"/>
      <c r="DCW425" s="15"/>
      <c r="DCX425" s="15"/>
      <c r="DCY425" s="15"/>
      <c r="DCZ425" s="15"/>
      <c r="DDA425" s="15"/>
      <c r="DDB425" s="15"/>
      <c r="DDC425" s="15"/>
      <c r="DDD425" s="15"/>
      <c r="DDE425" s="15"/>
      <c r="DDF425" s="15"/>
      <c r="DDG425" s="15"/>
      <c r="DDH425" s="15"/>
      <c r="DDI425" s="15"/>
      <c r="DDJ425" s="15"/>
      <c r="DDK425" s="15"/>
      <c r="DDL425" s="15"/>
      <c r="DDM425" s="15"/>
      <c r="DDN425" s="15"/>
      <c r="DDO425" s="15"/>
      <c r="DDP425" s="15"/>
      <c r="DDQ425" s="15"/>
      <c r="DDR425" s="15"/>
      <c r="DDS425" s="15"/>
      <c r="DDT425" s="15"/>
      <c r="DDU425" s="15"/>
      <c r="DDV425" s="15"/>
      <c r="DDW425" s="15"/>
      <c r="DDX425" s="15"/>
      <c r="DDY425" s="15"/>
      <c r="DDZ425" s="15"/>
      <c r="DEA425" s="15"/>
      <c r="DEB425" s="15"/>
      <c r="DEC425" s="15"/>
      <c r="DED425" s="15"/>
      <c r="DEE425" s="15"/>
      <c r="DEF425" s="15"/>
      <c r="DEG425" s="15"/>
      <c r="DEH425" s="15"/>
      <c r="DEI425" s="15"/>
      <c r="DEJ425" s="15"/>
      <c r="DEK425" s="15"/>
      <c r="DEL425" s="15"/>
      <c r="DEM425" s="15"/>
      <c r="DEN425" s="15"/>
      <c r="DEO425" s="15"/>
      <c r="DEP425" s="15"/>
      <c r="DEQ425" s="15"/>
      <c r="DER425" s="15"/>
      <c r="DES425" s="15"/>
      <c r="DET425" s="15"/>
      <c r="DEU425" s="15"/>
      <c r="DEV425" s="15"/>
      <c r="DEW425" s="15"/>
      <c r="DEX425" s="15"/>
      <c r="DEY425" s="15"/>
      <c r="DEZ425" s="15"/>
      <c r="DFA425" s="15"/>
      <c r="DFB425" s="15"/>
      <c r="DFC425" s="15"/>
      <c r="DFD425" s="15"/>
      <c r="DFE425" s="15"/>
      <c r="DFF425" s="15"/>
      <c r="DFG425" s="15"/>
      <c r="DFH425" s="15"/>
      <c r="DFI425" s="15"/>
      <c r="DFJ425" s="15"/>
      <c r="DFK425" s="15"/>
      <c r="DFL425" s="15"/>
      <c r="DFM425" s="15"/>
      <c r="DFN425" s="15"/>
      <c r="DFO425" s="15"/>
      <c r="DFP425" s="15"/>
      <c r="DFQ425" s="15"/>
      <c r="DFR425" s="15"/>
      <c r="DFS425" s="15"/>
      <c r="DFT425" s="15"/>
      <c r="DFU425" s="15"/>
      <c r="DFV425" s="15"/>
      <c r="DFW425" s="15"/>
      <c r="DFX425" s="15"/>
      <c r="DFY425" s="15"/>
      <c r="DFZ425" s="15"/>
      <c r="DGA425" s="15"/>
      <c r="DGB425" s="15"/>
      <c r="DGC425" s="15"/>
      <c r="DGD425" s="15"/>
      <c r="DGE425" s="15"/>
      <c r="DGF425" s="15"/>
      <c r="DGG425" s="15"/>
      <c r="DGH425" s="15"/>
      <c r="DGI425" s="15"/>
      <c r="DGJ425" s="15"/>
      <c r="DGK425" s="15"/>
      <c r="DGL425" s="15"/>
      <c r="DGM425" s="15"/>
      <c r="DGN425" s="15"/>
      <c r="DGO425" s="15"/>
      <c r="DGP425" s="15"/>
      <c r="DGQ425" s="15"/>
      <c r="DGR425" s="15"/>
      <c r="DGS425" s="15"/>
      <c r="DGT425" s="15"/>
      <c r="DGU425" s="15"/>
      <c r="DGV425" s="15"/>
      <c r="DGW425" s="15"/>
      <c r="DGX425" s="15"/>
      <c r="DGY425" s="15"/>
      <c r="DGZ425" s="15"/>
      <c r="DHA425" s="15"/>
      <c r="DHB425" s="15"/>
      <c r="DHC425" s="15"/>
      <c r="DHD425" s="15"/>
      <c r="DHE425" s="15"/>
      <c r="DHF425" s="15"/>
      <c r="DHG425" s="15"/>
      <c r="DHH425" s="15"/>
      <c r="DHI425" s="15"/>
      <c r="DHJ425" s="15"/>
      <c r="DHK425" s="15"/>
      <c r="DHL425" s="15"/>
      <c r="DHM425" s="15"/>
      <c r="DHN425" s="15"/>
      <c r="DHO425" s="15"/>
      <c r="DHP425" s="15"/>
      <c r="DHQ425" s="15"/>
      <c r="DHR425" s="15"/>
      <c r="DHS425" s="15"/>
      <c r="DHT425" s="15"/>
      <c r="DHU425" s="15"/>
      <c r="DHV425" s="15"/>
      <c r="DHW425" s="15"/>
      <c r="DHX425" s="15"/>
      <c r="DHY425" s="15"/>
      <c r="DHZ425" s="15"/>
      <c r="DIA425" s="15"/>
      <c r="DIB425" s="15"/>
      <c r="DIC425" s="15"/>
      <c r="DID425" s="15"/>
      <c r="DIE425" s="15"/>
      <c r="DIF425" s="15"/>
      <c r="DIG425" s="15"/>
      <c r="DIH425" s="15"/>
      <c r="DII425" s="15"/>
      <c r="DIJ425" s="15"/>
      <c r="DIK425" s="15"/>
      <c r="DIL425" s="15"/>
      <c r="DIM425" s="15"/>
      <c r="DIN425" s="15"/>
      <c r="DIO425" s="15"/>
      <c r="DIP425" s="15"/>
      <c r="DIQ425" s="15"/>
      <c r="DIR425" s="15"/>
      <c r="DIS425" s="15"/>
      <c r="DIT425" s="15"/>
      <c r="DIU425" s="15"/>
      <c r="DIV425" s="15"/>
      <c r="DIW425" s="15"/>
      <c r="DIX425" s="15"/>
      <c r="DIY425" s="15"/>
      <c r="DIZ425" s="15"/>
      <c r="DJA425" s="15"/>
      <c r="DJB425" s="15"/>
      <c r="DJC425" s="15"/>
      <c r="DJD425" s="15"/>
      <c r="DJE425" s="15"/>
      <c r="DJF425" s="15"/>
      <c r="DJG425" s="15"/>
      <c r="DJH425" s="15"/>
      <c r="DJI425" s="15"/>
      <c r="DJJ425" s="15"/>
      <c r="DJK425" s="15"/>
      <c r="DJL425" s="15"/>
      <c r="DJM425" s="15"/>
      <c r="DJN425" s="15"/>
      <c r="DJO425" s="15"/>
      <c r="DJP425" s="15"/>
      <c r="DJQ425" s="15"/>
      <c r="DJR425" s="15"/>
      <c r="DJS425" s="15"/>
      <c r="DJT425" s="15"/>
      <c r="DJU425" s="15"/>
      <c r="DJV425" s="15"/>
      <c r="DJW425" s="15"/>
      <c r="DJX425" s="15"/>
      <c r="DJY425" s="15"/>
      <c r="DJZ425" s="15"/>
      <c r="DKA425" s="15"/>
      <c r="DKB425" s="15"/>
      <c r="DKC425" s="15"/>
      <c r="DKD425" s="15"/>
      <c r="DKE425" s="15"/>
      <c r="DKF425" s="15"/>
      <c r="DKG425" s="15"/>
      <c r="DKH425" s="15"/>
      <c r="DKI425" s="15"/>
      <c r="DKJ425" s="15"/>
      <c r="DKK425" s="15"/>
      <c r="DKL425" s="15"/>
      <c r="DKM425" s="15"/>
      <c r="DKN425" s="15"/>
      <c r="DKO425" s="15"/>
      <c r="DKP425" s="15"/>
      <c r="DKQ425" s="15"/>
      <c r="DKR425" s="15"/>
      <c r="DKS425" s="15"/>
      <c r="DKT425" s="15"/>
      <c r="DKU425" s="15"/>
      <c r="DKV425" s="15"/>
      <c r="DKW425" s="15"/>
      <c r="DKX425" s="15"/>
      <c r="DKY425" s="15"/>
      <c r="DKZ425" s="15"/>
      <c r="DLA425" s="15"/>
      <c r="DLB425" s="15"/>
      <c r="DLC425" s="15"/>
      <c r="DLD425" s="15"/>
      <c r="DLE425" s="15"/>
      <c r="DLF425" s="15"/>
      <c r="DLG425" s="15"/>
      <c r="DLH425" s="15"/>
      <c r="DLI425" s="15"/>
      <c r="DLJ425" s="15"/>
      <c r="DLK425" s="15"/>
      <c r="DLL425" s="15"/>
      <c r="DLM425" s="15"/>
      <c r="DLN425" s="15"/>
      <c r="DLO425" s="15"/>
      <c r="DLP425" s="15"/>
      <c r="DLQ425" s="15"/>
      <c r="DLR425" s="15"/>
      <c r="DLS425" s="15"/>
      <c r="DLT425" s="15"/>
      <c r="DLU425" s="15"/>
      <c r="DLV425" s="15"/>
      <c r="DLW425" s="15"/>
      <c r="DLX425" s="15"/>
      <c r="DLY425" s="15"/>
      <c r="DLZ425" s="15"/>
      <c r="DMA425" s="15"/>
      <c r="DMB425" s="15"/>
      <c r="DMC425" s="15"/>
      <c r="DMD425" s="15"/>
      <c r="DME425" s="15"/>
      <c r="DMF425" s="15"/>
      <c r="DMG425" s="15"/>
      <c r="DMH425" s="15"/>
      <c r="DMI425" s="15"/>
      <c r="DMJ425" s="15"/>
      <c r="DMK425" s="15"/>
      <c r="DML425" s="15"/>
      <c r="DMM425" s="15"/>
      <c r="DMN425" s="15"/>
      <c r="DMO425" s="15"/>
      <c r="DMP425" s="15"/>
      <c r="DMQ425" s="15"/>
      <c r="DMR425" s="15"/>
      <c r="DMS425" s="15"/>
      <c r="DMT425" s="15"/>
      <c r="DMU425" s="15"/>
      <c r="DMV425" s="15"/>
      <c r="DMW425" s="15"/>
      <c r="DMX425" s="15"/>
      <c r="DMY425" s="15"/>
      <c r="DMZ425" s="15"/>
      <c r="DNA425" s="15"/>
      <c r="DNB425" s="15"/>
      <c r="DNC425" s="15"/>
      <c r="DND425" s="15"/>
      <c r="DNE425" s="15"/>
      <c r="DNF425" s="15"/>
      <c r="DNG425" s="15"/>
      <c r="DNH425" s="15"/>
      <c r="DNI425" s="15"/>
      <c r="DNJ425" s="15"/>
      <c r="DNK425" s="15"/>
      <c r="DNL425" s="15"/>
      <c r="DNM425" s="15"/>
      <c r="DNN425" s="15"/>
      <c r="DNO425" s="15"/>
      <c r="DNP425" s="15"/>
      <c r="DNQ425" s="15"/>
      <c r="DNR425" s="15"/>
      <c r="DNS425" s="15"/>
      <c r="DNT425" s="15"/>
      <c r="DNU425" s="15"/>
      <c r="DNV425" s="15"/>
      <c r="DNW425" s="15"/>
      <c r="DNX425" s="15"/>
      <c r="DNY425" s="15"/>
      <c r="DNZ425" s="15"/>
      <c r="DOA425" s="15"/>
      <c r="DOB425" s="15"/>
      <c r="DOC425" s="15"/>
      <c r="DOD425" s="15"/>
      <c r="DOE425" s="15"/>
      <c r="DOF425" s="15"/>
      <c r="DOG425" s="15"/>
      <c r="DOH425" s="15"/>
      <c r="DOI425" s="15"/>
      <c r="DOJ425" s="15"/>
      <c r="DOK425" s="15"/>
      <c r="DOL425" s="15"/>
      <c r="DOM425" s="15"/>
      <c r="DON425" s="15"/>
      <c r="DOO425" s="15"/>
      <c r="DOP425" s="15"/>
      <c r="DOQ425" s="15"/>
      <c r="DOR425" s="15"/>
      <c r="DOS425" s="15"/>
      <c r="DOT425" s="15"/>
      <c r="DOU425" s="15"/>
      <c r="DOV425" s="15"/>
      <c r="DOW425" s="15"/>
      <c r="DOX425" s="15"/>
      <c r="DOY425" s="15"/>
      <c r="DOZ425" s="15"/>
      <c r="DPA425" s="15"/>
      <c r="DPB425" s="15"/>
      <c r="DPC425" s="15"/>
      <c r="DPD425" s="15"/>
      <c r="DPE425" s="15"/>
      <c r="DPF425" s="15"/>
      <c r="DPG425" s="15"/>
      <c r="DPH425" s="15"/>
      <c r="DPI425" s="15"/>
      <c r="DPJ425" s="15"/>
      <c r="DPK425" s="15"/>
      <c r="DPL425" s="15"/>
      <c r="DPM425" s="15"/>
      <c r="DPN425" s="15"/>
      <c r="DPO425" s="15"/>
      <c r="DPP425" s="15"/>
      <c r="DPQ425" s="15"/>
      <c r="DPR425" s="15"/>
      <c r="DPS425" s="15"/>
      <c r="DPT425" s="15"/>
      <c r="DPU425" s="15"/>
      <c r="DPV425" s="15"/>
      <c r="DPW425" s="15"/>
      <c r="DPX425" s="15"/>
      <c r="DPY425" s="15"/>
      <c r="DPZ425" s="15"/>
      <c r="DQA425" s="15"/>
      <c r="DQB425" s="15"/>
      <c r="DQC425" s="15"/>
      <c r="DQD425" s="15"/>
      <c r="DQE425" s="15"/>
      <c r="DQF425" s="15"/>
      <c r="DQG425" s="15"/>
      <c r="DQH425" s="15"/>
      <c r="DQI425" s="15"/>
      <c r="DQJ425" s="15"/>
      <c r="DQK425" s="15"/>
      <c r="DQL425" s="15"/>
      <c r="DQM425" s="15"/>
      <c r="DQN425" s="15"/>
      <c r="DQO425" s="15"/>
      <c r="DQP425" s="15"/>
      <c r="DQQ425" s="15"/>
      <c r="DQR425" s="15"/>
      <c r="DQS425" s="15"/>
      <c r="DQT425" s="15"/>
      <c r="DQU425" s="15"/>
      <c r="DQV425" s="15"/>
      <c r="DQW425" s="15"/>
      <c r="DQX425" s="15"/>
      <c r="DQY425" s="15"/>
      <c r="DQZ425" s="15"/>
      <c r="DRA425" s="15"/>
      <c r="DRB425" s="15"/>
      <c r="DRC425" s="15"/>
      <c r="DRD425" s="15"/>
      <c r="DRE425" s="15"/>
      <c r="DRF425" s="15"/>
      <c r="DRG425" s="15"/>
      <c r="DRH425" s="15"/>
      <c r="DRI425" s="15"/>
      <c r="DRJ425" s="15"/>
      <c r="DRK425" s="15"/>
      <c r="DRL425" s="15"/>
      <c r="DRM425" s="15"/>
      <c r="DRN425" s="15"/>
      <c r="DRO425" s="15"/>
      <c r="DRP425" s="15"/>
      <c r="DRQ425" s="15"/>
      <c r="DRR425" s="15"/>
      <c r="DRS425" s="15"/>
      <c r="DRT425" s="15"/>
      <c r="DRU425" s="15"/>
      <c r="DRV425" s="15"/>
      <c r="DRW425" s="15"/>
      <c r="DRX425" s="15"/>
      <c r="DRY425" s="15"/>
      <c r="DRZ425" s="15"/>
      <c r="DSA425" s="15"/>
      <c r="DSB425" s="15"/>
      <c r="DSC425" s="15"/>
      <c r="DSD425" s="15"/>
      <c r="DSE425" s="15"/>
      <c r="DSF425" s="15"/>
      <c r="DSG425" s="15"/>
      <c r="DSH425" s="15"/>
      <c r="DSI425" s="15"/>
      <c r="DSJ425" s="15"/>
      <c r="DSK425" s="15"/>
      <c r="DSL425" s="15"/>
      <c r="DSM425" s="15"/>
      <c r="DSN425" s="15"/>
      <c r="DSO425" s="15"/>
      <c r="DSP425" s="15"/>
      <c r="DSQ425" s="15"/>
      <c r="DSR425" s="15"/>
      <c r="DSS425" s="15"/>
      <c r="DST425" s="15"/>
      <c r="DSU425" s="15"/>
      <c r="DSV425" s="15"/>
      <c r="DSW425" s="15"/>
      <c r="DSX425" s="15"/>
      <c r="DSY425" s="15"/>
      <c r="DSZ425" s="15"/>
      <c r="DTA425" s="15"/>
      <c r="DTB425" s="15"/>
      <c r="DTC425" s="15"/>
      <c r="DTD425" s="15"/>
      <c r="DTE425" s="15"/>
      <c r="DTF425" s="15"/>
      <c r="DTG425" s="15"/>
      <c r="DTH425" s="15"/>
      <c r="DTI425" s="15"/>
      <c r="DTJ425" s="15"/>
      <c r="DTK425" s="15"/>
      <c r="DTL425" s="15"/>
      <c r="DTM425" s="15"/>
      <c r="DTN425" s="15"/>
      <c r="DTO425" s="15"/>
      <c r="DTP425" s="15"/>
      <c r="DTQ425" s="15"/>
      <c r="DTR425" s="15"/>
      <c r="DTS425" s="15"/>
      <c r="DTT425" s="15"/>
      <c r="DTU425" s="15"/>
      <c r="DTV425" s="15"/>
      <c r="DTW425" s="15"/>
      <c r="DTX425" s="15"/>
      <c r="DTY425" s="15"/>
      <c r="DTZ425" s="15"/>
      <c r="DUA425" s="15"/>
      <c r="DUB425" s="15"/>
      <c r="DUC425" s="15"/>
      <c r="DUD425" s="15"/>
      <c r="DUE425" s="15"/>
      <c r="DUF425" s="15"/>
      <c r="DUG425" s="15"/>
      <c r="DUH425" s="15"/>
      <c r="DUI425" s="15"/>
      <c r="DUJ425" s="15"/>
      <c r="DUK425" s="15"/>
      <c r="DUL425" s="15"/>
      <c r="DUM425" s="15"/>
      <c r="DUN425" s="15"/>
      <c r="DUO425" s="15"/>
      <c r="DUP425" s="15"/>
      <c r="DUQ425" s="15"/>
      <c r="DUR425" s="15"/>
      <c r="DUS425" s="15"/>
      <c r="DUT425" s="15"/>
      <c r="DUU425" s="15"/>
      <c r="DUV425" s="15"/>
      <c r="DUW425" s="15"/>
      <c r="DUX425" s="15"/>
      <c r="DUY425" s="15"/>
      <c r="DUZ425" s="15"/>
      <c r="DVA425" s="15"/>
      <c r="DVB425" s="15"/>
      <c r="DVC425" s="15"/>
      <c r="DVD425" s="15"/>
      <c r="DVE425" s="15"/>
      <c r="DVF425" s="15"/>
      <c r="DVG425" s="15"/>
      <c r="DVH425" s="15"/>
      <c r="DVI425" s="15"/>
      <c r="DVJ425" s="15"/>
      <c r="DVK425" s="15"/>
      <c r="DVL425" s="15"/>
      <c r="DVM425" s="15"/>
      <c r="DVN425" s="15"/>
      <c r="DVO425" s="15"/>
      <c r="DVP425" s="15"/>
      <c r="DVQ425" s="15"/>
      <c r="DVR425" s="15"/>
      <c r="DVS425" s="15"/>
      <c r="DVT425" s="15"/>
      <c r="DVU425" s="15"/>
      <c r="DVV425" s="15"/>
      <c r="DVW425" s="15"/>
      <c r="DVX425" s="15"/>
      <c r="DVY425" s="15"/>
      <c r="DVZ425" s="15"/>
      <c r="DWA425" s="15"/>
      <c r="DWB425" s="15"/>
      <c r="DWC425" s="15"/>
      <c r="DWD425" s="15"/>
      <c r="DWE425" s="15"/>
      <c r="DWF425" s="15"/>
      <c r="DWG425" s="15"/>
      <c r="DWH425" s="15"/>
      <c r="DWI425" s="15"/>
      <c r="DWJ425" s="15"/>
      <c r="DWK425" s="15"/>
      <c r="DWL425" s="15"/>
      <c r="DWM425" s="15"/>
      <c r="DWN425" s="15"/>
      <c r="DWO425" s="15"/>
      <c r="DWP425" s="15"/>
      <c r="DWQ425" s="15"/>
      <c r="DWR425" s="15"/>
      <c r="DWS425" s="15"/>
      <c r="DWT425" s="15"/>
      <c r="DWU425" s="15"/>
      <c r="DWV425" s="15"/>
      <c r="DWW425" s="15"/>
      <c r="DWX425" s="15"/>
      <c r="DWY425" s="15"/>
      <c r="DWZ425" s="15"/>
      <c r="DXA425" s="15"/>
      <c r="DXB425" s="15"/>
      <c r="DXC425" s="15"/>
      <c r="DXD425" s="15"/>
      <c r="DXE425" s="15"/>
      <c r="DXF425" s="15"/>
      <c r="DXG425" s="15"/>
      <c r="DXH425" s="15"/>
      <c r="DXI425" s="15"/>
      <c r="DXJ425" s="15"/>
      <c r="DXK425" s="15"/>
      <c r="DXL425" s="15"/>
      <c r="DXM425" s="15"/>
      <c r="DXN425" s="15"/>
      <c r="DXO425" s="15"/>
      <c r="DXP425" s="15"/>
      <c r="DXQ425" s="15"/>
      <c r="DXR425" s="15"/>
      <c r="DXS425" s="15"/>
      <c r="DXT425" s="15"/>
      <c r="DXU425" s="15"/>
      <c r="DXV425" s="15"/>
      <c r="DXW425" s="15"/>
      <c r="DXX425" s="15"/>
      <c r="DXY425" s="15"/>
      <c r="DXZ425" s="15"/>
      <c r="DYA425" s="15"/>
      <c r="DYB425" s="15"/>
      <c r="DYC425" s="15"/>
      <c r="DYD425" s="15"/>
      <c r="DYE425" s="15"/>
      <c r="DYF425" s="15"/>
      <c r="DYG425" s="15"/>
      <c r="DYH425" s="15"/>
      <c r="DYI425" s="15"/>
      <c r="DYJ425" s="15"/>
      <c r="DYK425" s="15"/>
      <c r="DYL425" s="15"/>
      <c r="DYM425" s="15"/>
      <c r="DYN425" s="15"/>
      <c r="DYO425" s="15"/>
      <c r="DYP425" s="15"/>
      <c r="DYQ425" s="15"/>
      <c r="DYR425" s="15"/>
      <c r="DYS425" s="15"/>
      <c r="DYT425" s="15"/>
      <c r="DYU425" s="15"/>
      <c r="DYV425" s="15"/>
      <c r="DYW425" s="15"/>
      <c r="DYX425" s="15"/>
      <c r="DYY425" s="15"/>
      <c r="DYZ425" s="15"/>
      <c r="DZA425" s="15"/>
      <c r="DZB425" s="15"/>
      <c r="DZC425" s="15"/>
      <c r="DZD425" s="15"/>
      <c r="DZE425" s="15"/>
      <c r="DZF425" s="15"/>
      <c r="DZG425" s="15"/>
      <c r="DZH425" s="15"/>
      <c r="DZI425" s="15"/>
      <c r="DZJ425" s="15"/>
      <c r="DZK425" s="15"/>
      <c r="DZL425" s="15"/>
      <c r="DZM425" s="15"/>
      <c r="DZN425" s="15"/>
      <c r="DZO425" s="15"/>
      <c r="DZP425" s="15"/>
      <c r="DZQ425" s="15"/>
      <c r="DZR425" s="15"/>
      <c r="DZS425" s="15"/>
      <c r="DZT425" s="15"/>
      <c r="DZU425" s="15"/>
      <c r="DZV425" s="15"/>
      <c r="DZW425" s="15"/>
      <c r="DZX425" s="15"/>
      <c r="DZY425" s="15"/>
      <c r="DZZ425" s="15"/>
      <c r="EAA425" s="15"/>
      <c r="EAB425" s="15"/>
      <c r="EAC425" s="15"/>
      <c r="EAD425" s="15"/>
      <c r="EAE425" s="15"/>
      <c r="EAF425" s="15"/>
      <c r="EAG425" s="15"/>
      <c r="EAH425" s="15"/>
      <c r="EAI425" s="15"/>
      <c r="EAJ425" s="15"/>
      <c r="EAK425" s="15"/>
      <c r="EAL425" s="15"/>
      <c r="EAM425" s="15"/>
      <c r="EAN425" s="15"/>
      <c r="EAO425" s="15"/>
      <c r="EAP425" s="15"/>
      <c r="EAQ425" s="15"/>
      <c r="EAR425" s="15"/>
      <c r="EAS425" s="15"/>
      <c r="EAT425" s="15"/>
      <c r="EAU425" s="15"/>
      <c r="EAV425" s="15"/>
      <c r="EAW425" s="15"/>
      <c r="EAX425" s="15"/>
      <c r="EAY425" s="15"/>
      <c r="EAZ425" s="15"/>
      <c r="EBA425" s="15"/>
      <c r="EBB425" s="15"/>
      <c r="EBC425" s="15"/>
      <c r="EBD425" s="15"/>
      <c r="EBE425" s="15"/>
      <c r="EBF425" s="15"/>
      <c r="EBG425" s="15"/>
      <c r="EBH425" s="15"/>
      <c r="EBI425" s="15"/>
      <c r="EBJ425" s="15"/>
      <c r="EBK425" s="15"/>
      <c r="EBL425" s="15"/>
      <c r="EBM425" s="15"/>
      <c r="EBN425" s="15"/>
      <c r="EBO425" s="15"/>
      <c r="EBP425" s="15"/>
      <c r="EBQ425" s="15"/>
      <c r="EBR425" s="15"/>
      <c r="EBS425" s="15"/>
      <c r="EBT425" s="15"/>
      <c r="EBU425" s="15"/>
      <c r="EBV425" s="15"/>
      <c r="EBW425" s="15"/>
      <c r="EBX425" s="15"/>
      <c r="EBY425" s="15"/>
      <c r="EBZ425" s="15"/>
      <c r="ECA425" s="15"/>
      <c r="ECB425" s="15"/>
      <c r="ECC425" s="15"/>
      <c r="ECD425" s="15"/>
      <c r="ECE425" s="15"/>
      <c r="ECF425" s="15"/>
      <c r="ECG425" s="15"/>
      <c r="ECH425" s="15"/>
      <c r="ECI425" s="15"/>
      <c r="ECJ425" s="15"/>
      <c r="ECK425" s="15"/>
      <c r="ECL425" s="15"/>
      <c r="ECM425" s="15"/>
      <c r="ECN425" s="15"/>
      <c r="ECO425" s="15"/>
      <c r="ECP425" s="15"/>
      <c r="ECQ425" s="15"/>
      <c r="ECR425" s="15"/>
      <c r="ECS425" s="15"/>
      <c r="ECT425" s="15"/>
      <c r="ECU425" s="15"/>
      <c r="ECV425" s="15"/>
      <c r="ECW425" s="15"/>
      <c r="ECX425" s="15"/>
      <c r="ECY425" s="15"/>
      <c r="ECZ425" s="15"/>
      <c r="EDA425" s="15"/>
      <c r="EDB425" s="15"/>
      <c r="EDC425" s="15"/>
      <c r="EDD425" s="15"/>
      <c r="EDE425" s="15"/>
      <c r="EDF425" s="15"/>
      <c r="EDG425" s="15"/>
      <c r="EDH425" s="15"/>
      <c r="EDI425" s="15"/>
      <c r="EDJ425" s="15"/>
      <c r="EDK425" s="15"/>
      <c r="EDL425" s="15"/>
      <c r="EDM425" s="15"/>
      <c r="EDN425" s="15"/>
      <c r="EDO425" s="15"/>
      <c r="EDP425" s="15"/>
      <c r="EDQ425" s="15"/>
      <c r="EDR425" s="15"/>
      <c r="EDS425" s="15"/>
      <c r="EDT425" s="15"/>
      <c r="EDU425" s="15"/>
      <c r="EDV425" s="15"/>
      <c r="EDW425" s="15"/>
      <c r="EDX425" s="15"/>
      <c r="EDY425" s="15"/>
      <c r="EDZ425" s="15"/>
      <c r="EEA425" s="15"/>
      <c r="EEB425" s="15"/>
      <c r="EEC425" s="15"/>
      <c r="EED425" s="15"/>
      <c r="EEE425" s="15"/>
      <c r="EEF425" s="15"/>
      <c r="EEG425" s="15"/>
      <c r="EEH425" s="15"/>
      <c r="EEI425" s="15"/>
      <c r="EEJ425" s="15"/>
      <c r="EEK425" s="15"/>
      <c r="EEL425" s="15"/>
      <c r="EEM425" s="15"/>
      <c r="EEN425" s="15"/>
      <c r="EEO425" s="15"/>
      <c r="EEP425" s="15"/>
      <c r="EEQ425" s="15"/>
      <c r="EER425" s="15"/>
      <c r="EES425" s="15"/>
      <c r="EET425" s="15"/>
      <c r="EEU425" s="15"/>
      <c r="EEV425" s="15"/>
      <c r="EEW425" s="15"/>
      <c r="EEX425" s="15"/>
      <c r="EEY425" s="15"/>
      <c r="EEZ425" s="15"/>
      <c r="EFA425" s="15"/>
      <c r="EFB425" s="15"/>
      <c r="EFC425" s="15"/>
      <c r="EFD425" s="15"/>
      <c r="EFE425" s="15"/>
      <c r="EFF425" s="15"/>
      <c r="EFG425" s="15"/>
      <c r="EFH425" s="15"/>
      <c r="EFI425" s="15"/>
      <c r="EFJ425" s="15"/>
      <c r="EFK425" s="15"/>
      <c r="EFL425" s="15"/>
      <c r="EFM425" s="15"/>
      <c r="EFN425" s="15"/>
      <c r="EFO425" s="15"/>
      <c r="EFP425" s="15"/>
      <c r="EFQ425" s="15"/>
      <c r="EFR425" s="15"/>
      <c r="EFS425" s="15"/>
      <c r="EFT425" s="15"/>
      <c r="EFU425" s="15"/>
      <c r="EFV425" s="15"/>
      <c r="EFW425" s="15"/>
      <c r="EFX425" s="15"/>
      <c r="EFY425" s="15"/>
      <c r="EFZ425" s="15"/>
      <c r="EGA425" s="15"/>
      <c r="EGB425" s="15"/>
      <c r="EGC425" s="15"/>
      <c r="EGD425" s="15"/>
      <c r="EGE425" s="15"/>
      <c r="EGF425" s="15"/>
      <c r="EGG425" s="15"/>
      <c r="EGH425" s="15"/>
      <c r="EGI425" s="15"/>
      <c r="EGJ425" s="15"/>
      <c r="EGK425" s="15"/>
      <c r="EGL425" s="15"/>
      <c r="EGM425" s="15"/>
      <c r="EGN425" s="15"/>
      <c r="EGO425" s="15"/>
      <c r="EGP425" s="15"/>
      <c r="EGQ425" s="15"/>
      <c r="EGR425" s="15"/>
      <c r="EGS425" s="15"/>
      <c r="EGT425" s="15"/>
      <c r="EGU425" s="15"/>
      <c r="EGV425" s="15"/>
      <c r="EGW425" s="15"/>
      <c r="EGX425" s="15"/>
      <c r="EGY425" s="15"/>
      <c r="EGZ425" s="15"/>
      <c r="EHA425" s="15"/>
      <c r="EHB425" s="15"/>
      <c r="EHC425" s="15"/>
      <c r="EHD425" s="15"/>
      <c r="EHE425" s="15"/>
      <c r="EHF425" s="15"/>
      <c r="EHG425" s="15"/>
      <c r="EHH425" s="15"/>
      <c r="EHI425" s="15"/>
      <c r="EHJ425" s="15"/>
      <c r="EHK425" s="15"/>
      <c r="EHL425" s="15"/>
      <c r="EHM425" s="15"/>
      <c r="EHN425" s="15"/>
      <c r="EHO425" s="15"/>
      <c r="EHP425" s="15"/>
      <c r="EHQ425" s="15"/>
      <c r="EHR425" s="15"/>
      <c r="EHS425" s="15"/>
      <c r="EHT425" s="15"/>
      <c r="EHU425" s="15"/>
      <c r="EHV425" s="15"/>
      <c r="EHW425" s="15"/>
      <c r="EHX425" s="15"/>
      <c r="EHY425" s="15"/>
      <c r="EHZ425" s="15"/>
      <c r="EIA425" s="15"/>
      <c r="EIB425" s="15"/>
      <c r="EIC425" s="15"/>
      <c r="EID425" s="15"/>
      <c r="EIE425" s="15"/>
      <c r="EIF425" s="15"/>
      <c r="EIG425" s="15"/>
      <c r="EIH425" s="15"/>
      <c r="EII425" s="15"/>
      <c r="EIJ425" s="15"/>
      <c r="EIK425" s="15"/>
      <c r="EIL425" s="15"/>
      <c r="EIM425" s="15"/>
      <c r="EIN425" s="15"/>
      <c r="EIO425" s="15"/>
      <c r="EIP425" s="15"/>
      <c r="EIQ425" s="15"/>
      <c r="EIR425" s="15"/>
      <c r="EIS425" s="15"/>
      <c r="EIT425" s="15"/>
      <c r="EIU425" s="15"/>
      <c r="EIV425" s="15"/>
      <c r="EIW425" s="15"/>
      <c r="EIX425" s="15"/>
      <c r="EIY425" s="15"/>
      <c r="EIZ425" s="15"/>
      <c r="EJA425" s="15"/>
      <c r="EJB425" s="15"/>
      <c r="EJC425" s="15"/>
      <c r="EJD425" s="15"/>
      <c r="EJE425" s="15"/>
      <c r="EJF425" s="15"/>
      <c r="EJG425" s="15"/>
      <c r="EJH425" s="15"/>
      <c r="EJI425" s="15"/>
      <c r="EJJ425" s="15"/>
      <c r="EJK425" s="15"/>
      <c r="EJL425" s="15"/>
      <c r="EJM425" s="15"/>
      <c r="EJN425" s="15"/>
      <c r="EJO425" s="15"/>
      <c r="EJP425" s="15"/>
      <c r="EJQ425" s="15"/>
      <c r="EJR425" s="15"/>
      <c r="EJS425" s="15"/>
      <c r="EJT425" s="15"/>
      <c r="EJU425" s="15"/>
      <c r="EJV425" s="15"/>
      <c r="EJW425" s="15"/>
      <c r="EJX425" s="15"/>
      <c r="EJY425" s="15"/>
      <c r="EJZ425" s="15"/>
      <c r="EKA425" s="15"/>
      <c r="EKB425" s="15"/>
      <c r="EKC425" s="15"/>
      <c r="EKD425" s="15"/>
      <c r="EKE425" s="15"/>
      <c r="EKF425" s="15"/>
      <c r="EKG425" s="15"/>
      <c r="EKH425" s="15"/>
      <c r="EKI425" s="15"/>
      <c r="EKJ425" s="15"/>
      <c r="EKK425" s="15"/>
      <c r="EKL425" s="15"/>
      <c r="EKM425" s="15"/>
      <c r="EKN425" s="15"/>
      <c r="EKO425" s="15"/>
      <c r="EKP425" s="15"/>
      <c r="EKQ425" s="15"/>
      <c r="EKR425" s="15"/>
      <c r="EKS425" s="15"/>
      <c r="EKT425" s="15"/>
      <c r="EKU425" s="15"/>
      <c r="EKV425" s="15"/>
      <c r="EKW425" s="15"/>
      <c r="EKX425" s="15"/>
      <c r="EKY425" s="15"/>
      <c r="EKZ425" s="15"/>
      <c r="ELA425" s="15"/>
      <c r="ELB425" s="15"/>
      <c r="ELC425" s="15"/>
      <c r="ELD425" s="15"/>
      <c r="ELE425" s="15"/>
      <c r="ELF425" s="15"/>
      <c r="ELG425" s="15"/>
      <c r="ELH425" s="15"/>
      <c r="ELI425" s="15"/>
      <c r="ELJ425" s="15"/>
      <c r="ELK425" s="15"/>
      <c r="ELL425" s="15"/>
      <c r="ELM425" s="15"/>
      <c r="ELN425" s="15"/>
      <c r="ELO425" s="15"/>
      <c r="ELP425" s="15"/>
      <c r="ELQ425" s="15"/>
      <c r="ELR425" s="15"/>
      <c r="ELS425" s="15"/>
      <c r="ELT425" s="15"/>
      <c r="ELU425" s="15"/>
      <c r="ELV425" s="15"/>
      <c r="ELW425" s="15"/>
      <c r="ELX425" s="15"/>
      <c r="ELY425" s="15"/>
      <c r="ELZ425" s="15"/>
      <c r="EMA425" s="15"/>
      <c r="EMB425" s="15"/>
      <c r="EMC425" s="15"/>
      <c r="EMD425" s="15"/>
      <c r="EME425" s="15"/>
      <c r="EMF425" s="15"/>
      <c r="EMG425" s="15"/>
      <c r="EMH425" s="15"/>
      <c r="EMI425" s="15"/>
      <c r="EMJ425" s="15"/>
      <c r="EMK425" s="15"/>
      <c r="EML425" s="15"/>
      <c r="EMM425" s="15"/>
      <c r="EMN425" s="15"/>
      <c r="EMO425" s="15"/>
      <c r="EMP425" s="15"/>
      <c r="EMQ425" s="15"/>
      <c r="EMR425" s="15"/>
      <c r="EMS425" s="15"/>
      <c r="EMT425" s="15"/>
      <c r="EMU425" s="15"/>
      <c r="EMV425" s="15"/>
      <c r="EMW425" s="15"/>
      <c r="EMX425" s="15"/>
      <c r="EMY425" s="15"/>
      <c r="EMZ425" s="15"/>
      <c r="ENA425" s="15"/>
      <c r="ENB425" s="15"/>
      <c r="ENC425" s="15"/>
      <c r="END425" s="15"/>
      <c r="ENE425" s="15"/>
      <c r="ENF425" s="15"/>
      <c r="ENG425" s="15"/>
      <c r="ENH425" s="15"/>
      <c r="ENI425" s="15"/>
      <c r="ENJ425" s="15"/>
      <c r="ENK425" s="15"/>
      <c r="ENL425" s="15"/>
      <c r="ENM425" s="15"/>
      <c r="ENN425" s="15"/>
      <c r="ENO425" s="15"/>
      <c r="ENP425" s="15"/>
      <c r="ENQ425" s="15"/>
      <c r="ENR425" s="15"/>
      <c r="ENS425" s="15"/>
      <c r="ENT425" s="15"/>
      <c r="ENU425" s="15"/>
      <c r="ENV425" s="15"/>
      <c r="ENW425" s="15"/>
      <c r="ENX425" s="15"/>
      <c r="ENY425" s="15"/>
      <c r="ENZ425" s="15"/>
      <c r="EOA425" s="15"/>
      <c r="EOB425" s="15"/>
      <c r="EOC425" s="15"/>
      <c r="EOD425" s="15"/>
      <c r="EOE425" s="15"/>
      <c r="EOF425" s="15"/>
      <c r="EOG425" s="15"/>
      <c r="EOH425" s="15"/>
      <c r="EOI425" s="15"/>
      <c r="EOJ425" s="15"/>
      <c r="EOK425" s="15"/>
      <c r="EOL425" s="15"/>
      <c r="EOM425" s="15"/>
      <c r="EON425" s="15"/>
      <c r="EOO425" s="15"/>
      <c r="EOP425" s="15"/>
      <c r="EOQ425" s="15"/>
      <c r="EOR425" s="15"/>
      <c r="EOS425" s="15"/>
      <c r="EOT425" s="15"/>
      <c r="EOU425" s="15"/>
      <c r="EOV425" s="15"/>
      <c r="EOW425" s="15"/>
      <c r="EOX425" s="15"/>
      <c r="EOY425" s="15"/>
      <c r="EOZ425" s="15"/>
      <c r="EPA425" s="15"/>
      <c r="EPB425" s="15"/>
      <c r="EPC425" s="15"/>
      <c r="EPD425" s="15"/>
      <c r="EPE425" s="15"/>
      <c r="EPF425" s="15"/>
      <c r="EPG425" s="15"/>
      <c r="EPH425" s="15"/>
      <c r="EPI425" s="15"/>
      <c r="EPJ425" s="15"/>
      <c r="EPK425" s="15"/>
      <c r="EPL425" s="15"/>
      <c r="EPM425" s="15"/>
      <c r="EPN425" s="15"/>
      <c r="EPO425" s="15"/>
      <c r="EPP425" s="15"/>
      <c r="EPQ425" s="15"/>
      <c r="EPR425" s="15"/>
      <c r="EPS425" s="15"/>
      <c r="EPT425" s="15"/>
      <c r="EPU425" s="15"/>
      <c r="EPV425" s="15"/>
      <c r="EPW425" s="15"/>
      <c r="EPX425" s="15"/>
      <c r="EPY425" s="15"/>
      <c r="EPZ425" s="15"/>
      <c r="EQA425" s="15"/>
      <c r="EQB425" s="15"/>
      <c r="EQC425" s="15"/>
      <c r="EQD425" s="15"/>
      <c r="EQE425" s="15"/>
      <c r="EQF425" s="15"/>
      <c r="EQG425" s="15"/>
      <c r="EQH425" s="15"/>
      <c r="EQI425" s="15"/>
      <c r="EQJ425" s="15"/>
      <c r="EQK425" s="15"/>
      <c r="EQL425" s="15"/>
      <c r="EQM425" s="15"/>
      <c r="EQN425" s="15"/>
      <c r="EQO425" s="15"/>
      <c r="EQP425" s="15"/>
      <c r="EQQ425" s="15"/>
      <c r="EQR425" s="15"/>
      <c r="EQS425" s="15"/>
      <c r="EQT425" s="15"/>
      <c r="EQU425" s="15"/>
      <c r="EQV425" s="15"/>
      <c r="EQW425" s="15"/>
      <c r="EQX425" s="15"/>
      <c r="EQY425" s="15"/>
      <c r="EQZ425" s="15"/>
      <c r="ERA425" s="15"/>
      <c r="ERB425" s="15"/>
      <c r="ERC425" s="15"/>
      <c r="ERD425" s="15"/>
      <c r="ERE425" s="15"/>
      <c r="ERF425" s="15"/>
      <c r="ERG425" s="15"/>
      <c r="ERH425" s="15"/>
      <c r="ERI425" s="15"/>
      <c r="ERJ425" s="15"/>
      <c r="ERK425" s="15"/>
      <c r="ERL425" s="15"/>
      <c r="ERM425" s="15"/>
      <c r="ERN425" s="15"/>
      <c r="ERO425" s="15"/>
      <c r="ERP425" s="15"/>
      <c r="ERQ425" s="15"/>
      <c r="ERR425" s="15"/>
      <c r="ERS425" s="15"/>
      <c r="ERT425" s="15"/>
      <c r="ERU425" s="15"/>
      <c r="ERV425" s="15"/>
      <c r="ERW425" s="15"/>
      <c r="ERX425" s="15"/>
      <c r="ERY425" s="15"/>
      <c r="ERZ425" s="15"/>
      <c r="ESA425" s="15"/>
      <c r="ESB425" s="15"/>
      <c r="ESC425" s="15"/>
      <c r="ESD425" s="15"/>
      <c r="ESE425" s="15"/>
      <c r="ESF425" s="15"/>
      <c r="ESG425" s="15"/>
      <c r="ESH425" s="15"/>
      <c r="ESI425" s="15"/>
      <c r="ESJ425" s="15"/>
      <c r="ESK425" s="15"/>
      <c r="ESL425" s="15"/>
      <c r="ESM425" s="15"/>
      <c r="ESN425" s="15"/>
      <c r="ESO425" s="15"/>
      <c r="ESP425" s="15"/>
      <c r="ESQ425" s="15"/>
      <c r="ESR425" s="15"/>
      <c r="ESS425" s="15"/>
      <c r="EST425" s="15"/>
      <c r="ESU425" s="15"/>
      <c r="ESV425" s="15"/>
      <c r="ESW425" s="15"/>
      <c r="ESX425" s="15"/>
      <c r="ESY425" s="15"/>
      <c r="ESZ425" s="15"/>
      <c r="ETA425" s="15"/>
      <c r="ETB425" s="15"/>
      <c r="ETC425" s="15"/>
      <c r="ETD425" s="15"/>
      <c r="ETE425" s="15"/>
      <c r="ETF425" s="15"/>
      <c r="ETG425" s="15"/>
      <c r="ETH425" s="15"/>
      <c r="ETI425" s="15"/>
      <c r="ETJ425" s="15"/>
      <c r="ETK425" s="15"/>
      <c r="ETL425" s="15"/>
      <c r="ETM425" s="15"/>
      <c r="ETN425" s="15"/>
      <c r="ETO425" s="15"/>
      <c r="ETP425" s="15"/>
      <c r="ETQ425" s="15"/>
      <c r="ETR425" s="15"/>
      <c r="ETS425" s="15"/>
      <c r="ETT425" s="15"/>
      <c r="ETU425" s="15"/>
      <c r="ETV425" s="15"/>
      <c r="ETW425" s="15"/>
      <c r="ETX425" s="15"/>
      <c r="ETY425" s="15"/>
      <c r="ETZ425" s="15"/>
      <c r="EUA425" s="15"/>
      <c r="EUB425" s="15"/>
      <c r="EUC425" s="15"/>
      <c r="EUD425" s="15"/>
      <c r="EUE425" s="15"/>
      <c r="EUF425" s="15"/>
      <c r="EUG425" s="15"/>
      <c r="EUH425" s="15"/>
      <c r="EUI425" s="15"/>
      <c r="EUJ425" s="15"/>
      <c r="EUK425" s="15"/>
      <c r="EUL425" s="15"/>
      <c r="EUM425" s="15"/>
      <c r="EUN425" s="15"/>
      <c r="EUO425" s="15"/>
      <c r="EUP425" s="15"/>
      <c r="EUQ425" s="15"/>
      <c r="EUR425" s="15"/>
      <c r="EUS425" s="15"/>
      <c r="EUT425" s="15"/>
      <c r="EUU425" s="15"/>
      <c r="EUV425" s="15"/>
      <c r="EUW425" s="15"/>
      <c r="EUX425" s="15"/>
      <c r="EUY425" s="15"/>
      <c r="EUZ425" s="15"/>
      <c r="EVA425" s="15"/>
      <c r="EVB425" s="15"/>
      <c r="EVC425" s="15"/>
      <c r="EVD425" s="15"/>
      <c r="EVE425" s="15"/>
      <c r="EVF425" s="15"/>
      <c r="EVG425" s="15"/>
      <c r="EVH425" s="15"/>
      <c r="EVI425" s="15"/>
      <c r="EVJ425" s="15"/>
      <c r="EVK425" s="15"/>
      <c r="EVL425" s="15"/>
      <c r="EVM425" s="15"/>
      <c r="EVN425" s="15"/>
      <c r="EVO425" s="15"/>
      <c r="EVP425" s="15"/>
      <c r="EVQ425" s="15"/>
      <c r="EVR425" s="15"/>
      <c r="EVS425" s="15"/>
      <c r="EVT425" s="15"/>
      <c r="EVU425" s="15"/>
      <c r="EVV425" s="15"/>
      <c r="EVW425" s="15"/>
      <c r="EVX425" s="15"/>
      <c r="EVY425" s="15"/>
      <c r="EVZ425" s="15"/>
      <c r="EWA425" s="15"/>
      <c r="EWB425" s="15"/>
      <c r="EWC425" s="15"/>
      <c r="EWD425" s="15"/>
      <c r="EWE425" s="15"/>
      <c r="EWF425" s="15"/>
      <c r="EWG425" s="15"/>
      <c r="EWH425" s="15"/>
      <c r="EWI425" s="15"/>
      <c r="EWJ425" s="15"/>
      <c r="EWK425" s="15"/>
      <c r="EWL425" s="15"/>
      <c r="EWM425" s="15"/>
      <c r="EWN425" s="15"/>
      <c r="EWO425" s="15"/>
      <c r="EWP425" s="15"/>
      <c r="EWQ425" s="15"/>
      <c r="EWR425" s="15"/>
      <c r="EWS425" s="15"/>
      <c r="EWT425" s="15"/>
      <c r="EWU425" s="15"/>
      <c r="EWV425" s="15"/>
      <c r="EWW425" s="15"/>
      <c r="EWX425" s="15"/>
      <c r="EWY425" s="15"/>
      <c r="EWZ425" s="15"/>
      <c r="EXA425" s="15"/>
      <c r="EXB425" s="15"/>
      <c r="EXC425" s="15"/>
      <c r="EXD425" s="15"/>
      <c r="EXE425" s="15"/>
      <c r="EXF425" s="15"/>
      <c r="EXG425" s="15"/>
      <c r="EXH425" s="15"/>
      <c r="EXI425" s="15"/>
      <c r="EXJ425" s="15"/>
      <c r="EXK425" s="15"/>
      <c r="EXL425" s="15"/>
      <c r="EXM425" s="15"/>
      <c r="EXN425" s="15"/>
      <c r="EXO425" s="15"/>
      <c r="EXP425" s="15"/>
      <c r="EXQ425" s="15"/>
      <c r="EXR425" s="15"/>
      <c r="EXS425" s="15"/>
      <c r="EXT425" s="15"/>
      <c r="EXU425" s="15"/>
      <c r="EXV425" s="15"/>
      <c r="EXW425" s="15"/>
      <c r="EXX425" s="15"/>
      <c r="EXY425" s="15"/>
      <c r="EXZ425" s="15"/>
      <c r="EYA425" s="15"/>
      <c r="EYB425" s="15"/>
      <c r="EYC425" s="15"/>
      <c r="EYD425" s="15"/>
      <c r="EYE425" s="15"/>
      <c r="EYF425" s="15"/>
      <c r="EYG425" s="15"/>
      <c r="EYH425" s="15"/>
      <c r="EYI425" s="15"/>
      <c r="EYJ425" s="15"/>
      <c r="EYK425" s="15"/>
      <c r="EYL425" s="15"/>
      <c r="EYM425" s="15"/>
      <c r="EYN425" s="15"/>
      <c r="EYO425" s="15"/>
      <c r="EYP425" s="15"/>
      <c r="EYQ425" s="15"/>
      <c r="EYR425" s="15"/>
      <c r="EYS425" s="15"/>
      <c r="EYT425" s="15"/>
      <c r="EYU425" s="15"/>
      <c r="EYV425" s="15"/>
      <c r="EYW425" s="15"/>
      <c r="EYX425" s="15"/>
      <c r="EYY425" s="15"/>
      <c r="EYZ425" s="15"/>
      <c r="EZA425" s="15"/>
      <c r="EZB425" s="15"/>
      <c r="EZC425" s="15"/>
      <c r="EZD425" s="15"/>
      <c r="EZE425" s="15"/>
      <c r="EZF425" s="15"/>
      <c r="EZG425" s="15"/>
      <c r="EZH425" s="15"/>
      <c r="EZI425" s="15"/>
      <c r="EZJ425" s="15"/>
      <c r="EZK425" s="15"/>
      <c r="EZL425" s="15"/>
      <c r="EZM425" s="15"/>
      <c r="EZN425" s="15"/>
      <c r="EZO425" s="15"/>
      <c r="EZP425" s="15"/>
      <c r="EZQ425" s="15"/>
      <c r="EZR425" s="15"/>
      <c r="EZS425" s="15"/>
      <c r="EZT425" s="15"/>
      <c r="EZU425" s="15"/>
      <c r="EZV425" s="15"/>
      <c r="EZW425" s="15"/>
      <c r="EZX425" s="15"/>
      <c r="EZY425" s="15"/>
      <c r="EZZ425" s="15"/>
      <c r="FAA425" s="15"/>
      <c r="FAB425" s="15"/>
      <c r="FAC425" s="15"/>
      <c r="FAD425" s="15"/>
      <c r="FAE425" s="15"/>
      <c r="FAF425" s="15"/>
      <c r="FAG425" s="15"/>
      <c r="FAH425" s="15"/>
      <c r="FAI425" s="15"/>
      <c r="FAJ425" s="15"/>
      <c r="FAK425" s="15"/>
      <c r="FAL425" s="15"/>
      <c r="FAM425" s="15"/>
      <c r="FAN425" s="15"/>
      <c r="FAO425" s="15"/>
      <c r="FAP425" s="15"/>
      <c r="FAQ425" s="15"/>
      <c r="FAR425" s="15"/>
      <c r="FAS425" s="15"/>
      <c r="FAT425" s="15"/>
      <c r="FAU425" s="15"/>
      <c r="FAV425" s="15"/>
      <c r="FAW425" s="15"/>
      <c r="FAX425" s="15"/>
      <c r="FAY425" s="15"/>
      <c r="FAZ425" s="15"/>
      <c r="FBA425" s="15"/>
      <c r="FBB425" s="15"/>
      <c r="FBC425" s="15"/>
      <c r="FBD425" s="15"/>
      <c r="FBE425" s="15"/>
      <c r="FBF425" s="15"/>
      <c r="FBG425" s="15"/>
      <c r="FBH425" s="15"/>
      <c r="FBI425" s="15"/>
      <c r="FBJ425" s="15"/>
      <c r="FBK425" s="15"/>
      <c r="FBL425" s="15"/>
      <c r="FBM425" s="15"/>
      <c r="FBN425" s="15"/>
      <c r="FBO425" s="15"/>
      <c r="FBP425" s="15"/>
      <c r="FBQ425" s="15"/>
      <c r="FBR425" s="15"/>
      <c r="FBS425" s="15"/>
      <c r="FBT425" s="15"/>
      <c r="FBU425" s="15"/>
      <c r="FBV425" s="15"/>
      <c r="FBW425" s="15"/>
      <c r="FBX425" s="15"/>
      <c r="FBY425" s="15"/>
      <c r="FBZ425" s="15"/>
      <c r="FCA425" s="15"/>
      <c r="FCB425" s="15"/>
      <c r="FCC425" s="15"/>
      <c r="FCD425" s="15"/>
      <c r="FCE425" s="15"/>
      <c r="FCF425" s="15"/>
      <c r="FCG425" s="15"/>
      <c r="FCH425" s="15"/>
      <c r="FCI425" s="15"/>
      <c r="FCJ425" s="15"/>
      <c r="FCK425" s="15"/>
      <c r="FCL425" s="15"/>
      <c r="FCM425" s="15"/>
      <c r="FCN425" s="15"/>
      <c r="FCO425" s="15"/>
      <c r="FCP425" s="15"/>
      <c r="FCQ425" s="15"/>
      <c r="FCR425" s="15"/>
      <c r="FCS425" s="15"/>
      <c r="FCT425" s="15"/>
      <c r="FCU425" s="15"/>
      <c r="FCV425" s="15"/>
      <c r="FCW425" s="15"/>
      <c r="FCX425" s="15"/>
      <c r="FCY425" s="15"/>
      <c r="FCZ425" s="15"/>
      <c r="FDA425" s="15"/>
      <c r="FDB425" s="15"/>
      <c r="FDC425" s="15"/>
      <c r="FDD425" s="15"/>
      <c r="FDE425" s="15"/>
      <c r="FDF425" s="15"/>
      <c r="FDG425" s="15"/>
      <c r="FDH425" s="15"/>
      <c r="FDI425" s="15"/>
      <c r="FDJ425" s="15"/>
      <c r="FDK425" s="15"/>
      <c r="FDL425" s="15"/>
      <c r="FDM425" s="15"/>
      <c r="FDN425" s="15"/>
      <c r="FDO425" s="15"/>
      <c r="FDP425" s="15"/>
      <c r="FDQ425" s="15"/>
      <c r="FDR425" s="15"/>
      <c r="FDS425" s="15"/>
      <c r="FDT425" s="15"/>
      <c r="FDU425" s="15"/>
      <c r="FDV425" s="15"/>
      <c r="FDW425" s="15"/>
      <c r="FDX425" s="15"/>
      <c r="FDY425" s="15"/>
      <c r="FDZ425" s="15"/>
      <c r="FEA425" s="15"/>
      <c r="FEB425" s="15"/>
      <c r="FEC425" s="15"/>
      <c r="FED425" s="15"/>
      <c r="FEE425" s="15"/>
      <c r="FEF425" s="15"/>
      <c r="FEG425" s="15"/>
      <c r="FEH425" s="15"/>
      <c r="FEI425" s="15"/>
      <c r="FEJ425" s="15"/>
      <c r="FEK425" s="15"/>
      <c r="FEL425" s="15"/>
      <c r="FEM425" s="15"/>
      <c r="FEN425" s="15"/>
      <c r="FEO425" s="15"/>
      <c r="FEP425" s="15"/>
      <c r="FEQ425" s="15"/>
      <c r="FER425" s="15"/>
      <c r="FES425" s="15"/>
      <c r="FET425" s="15"/>
      <c r="FEU425" s="15"/>
      <c r="FEV425" s="15"/>
      <c r="FEW425" s="15"/>
      <c r="FEX425" s="15"/>
      <c r="FEY425" s="15"/>
      <c r="FEZ425" s="15"/>
      <c r="FFA425" s="15"/>
      <c r="FFB425" s="15"/>
      <c r="FFC425" s="15"/>
      <c r="FFD425" s="15"/>
      <c r="FFE425" s="15"/>
      <c r="FFF425" s="15"/>
      <c r="FFG425" s="15"/>
      <c r="FFH425" s="15"/>
      <c r="FFI425" s="15"/>
      <c r="FFJ425" s="15"/>
      <c r="FFK425" s="15"/>
      <c r="FFL425" s="15"/>
      <c r="FFM425" s="15"/>
      <c r="FFN425" s="15"/>
      <c r="FFO425" s="15"/>
      <c r="FFP425" s="15"/>
      <c r="FFQ425" s="15"/>
      <c r="FFR425" s="15"/>
      <c r="FFS425" s="15"/>
      <c r="FFT425" s="15"/>
      <c r="FFU425" s="15"/>
      <c r="FFV425" s="15"/>
      <c r="FFW425" s="15"/>
      <c r="FFX425" s="15"/>
      <c r="FFY425" s="15"/>
      <c r="FFZ425" s="15"/>
      <c r="FGA425" s="15"/>
      <c r="FGB425" s="15"/>
      <c r="FGC425" s="15"/>
      <c r="FGD425" s="15"/>
      <c r="FGE425" s="15"/>
      <c r="FGF425" s="15"/>
      <c r="FGG425" s="15"/>
      <c r="FGH425" s="15"/>
      <c r="FGI425" s="15"/>
      <c r="FGJ425" s="15"/>
      <c r="FGK425" s="15"/>
      <c r="FGL425" s="15"/>
      <c r="FGM425" s="15"/>
      <c r="FGN425" s="15"/>
      <c r="FGO425" s="15"/>
      <c r="FGP425" s="15"/>
      <c r="FGQ425" s="15"/>
      <c r="FGR425" s="15"/>
      <c r="FGS425" s="15"/>
      <c r="FGT425" s="15"/>
      <c r="FGU425" s="15"/>
      <c r="FGV425" s="15"/>
      <c r="FGW425" s="15"/>
      <c r="FGX425" s="15"/>
      <c r="FGY425" s="15"/>
      <c r="FGZ425" s="15"/>
      <c r="FHA425" s="15"/>
      <c r="FHB425" s="15"/>
      <c r="FHC425" s="15"/>
      <c r="FHD425" s="15"/>
      <c r="FHE425" s="15"/>
      <c r="FHF425" s="15"/>
      <c r="FHG425" s="15"/>
      <c r="FHH425" s="15"/>
      <c r="FHI425" s="15"/>
      <c r="FHJ425" s="15"/>
      <c r="FHK425" s="15"/>
      <c r="FHL425" s="15"/>
      <c r="FHM425" s="15"/>
      <c r="FHN425" s="15"/>
      <c r="FHO425" s="15"/>
      <c r="FHP425" s="15"/>
      <c r="FHQ425" s="15"/>
      <c r="FHR425" s="15"/>
      <c r="FHS425" s="15"/>
      <c r="FHT425" s="15"/>
      <c r="FHU425" s="15"/>
      <c r="FHV425" s="15"/>
      <c r="FHW425" s="15"/>
      <c r="FHX425" s="15"/>
      <c r="FHY425" s="15"/>
      <c r="FHZ425" s="15"/>
      <c r="FIA425" s="15"/>
      <c r="FIB425" s="15"/>
      <c r="FIC425" s="15"/>
      <c r="FID425" s="15"/>
      <c r="FIE425" s="15"/>
      <c r="FIF425" s="15"/>
      <c r="FIG425" s="15"/>
      <c r="FIH425" s="15"/>
      <c r="FII425" s="15"/>
      <c r="FIJ425" s="15"/>
      <c r="FIK425" s="15"/>
      <c r="FIL425" s="15"/>
      <c r="FIM425" s="15"/>
      <c r="FIN425" s="15"/>
      <c r="FIO425" s="15"/>
      <c r="FIP425" s="15"/>
      <c r="FIQ425" s="15"/>
      <c r="FIR425" s="15"/>
      <c r="FIS425" s="15"/>
      <c r="FIT425" s="15"/>
      <c r="FIU425" s="15"/>
      <c r="FIV425" s="15"/>
      <c r="FIW425" s="15"/>
      <c r="FIX425" s="15"/>
      <c r="FIY425" s="15"/>
      <c r="FIZ425" s="15"/>
      <c r="FJA425" s="15"/>
      <c r="FJB425" s="15"/>
      <c r="FJC425" s="15"/>
      <c r="FJD425" s="15"/>
      <c r="FJE425" s="15"/>
      <c r="FJF425" s="15"/>
      <c r="FJG425" s="15"/>
      <c r="FJH425" s="15"/>
      <c r="FJI425" s="15"/>
      <c r="FJJ425" s="15"/>
      <c r="FJK425" s="15"/>
      <c r="FJL425" s="15"/>
      <c r="FJM425" s="15"/>
      <c r="FJN425" s="15"/>
      <c r="FJO425" s="15"/>
      <c r="FJP425" s="15"/>
      <c r="FJQ425" s="15"/>
      <c r="FJR425" s="15"/>
      <c r="FJS425" s="15"/>
      <c r="FJT425" s="15"/>
      <c r="FJU425" s="15"/>
      <c r="FJV425" s="15"/>
      <c r="FJW425" s="15"/>
      <c r="FJX425" s="15"/>
      <c r="FJY425" s="15"/>
      <c r="FJZ425" s="15"/>
      <c r="FKA425" s="15"/>
      <c r="FKB425" s="15"/>
      <c r="FKC425" s="15"/>
      <c r="FKD425" s="15"/>
      <c r="FKE425" s="15"/>
      <c r="FKF425" s="15"/>
      <c r="FKG425" s="15"/>
      <c r="FKH425" s="15"/>
      <c r="FKI425" s="15"/>
      <c r="FKJ425" s="15"/>
      <c r="FKK425" s="15"/>
      <c r="FKL425" s="15"/>
      <c r="FKM425" s="15"/>
      <c r="FKN425" s="15"/>
      <c r="FKO425" s="15"/>
      <c r="FKP425" s="15"/>
      <c r="FKQ425" s="15"/>
      <c r="FKR425" s="15"/>
      <c r="FKS425" s="15"/>
      <c r="FKT425" s="15"/>
      <c r="FKU425" s="15"/>
      <c r="FKV425" s="15"/>
      <c r="FKW425" s="15"/>
      <c r="FKX425" s="15"/>
      <c r="FKY425" s="15"/>
      <c r="FKZ425" s="15"/>
      <c r="FLA425" s="15"/>
      <c r="FLB425" s="15"/>
      <c r="FLC425" s="15"/>
      <c r="FLD425" s="15"/>
      <c r="FLE425" s="15"/>
      <c r="FLF425" s="15"/>
      <c r="FLG425" s="15"/>
      <c r="FLH425" s="15"/>
      <c r="FLI425" s="15"/>
      <c r="FLJ425" s="15"/>
      <c r="FLK425" s="15"/>
      <c r="FLL425" s="15"/>
      <c r="FLM425" s="15"/>
      <c r="FLN425" s="15"/>
      <c r="FLO425" s="15"/>
      <c r="FLP425" s="15"/>
      <c r="FLQ425" s="15"/>
      <c r="FLR425" s="15"/>
      <c r="FLS425" s="15"/>
      <c r="FLT425" s="15"/>
      <c r="FLU425" s="15"/>
      <c r="FLV425" s="15"/>
      <c r="FLW425" s="15"/>
      <c r="FLX425" s="15"/>
      <c r="FLY425" s="15"/>
      <c r="FLZ425" s="15"/>
      <c r="FMA425" s="15"/>
      <c r="FMB425" s="15"/>
      <c r="FMC425" s="15"/>
      <c r="FMD425" s="15"/>
      <c r="FME425" s="15"/>
      <c r="FMF425" s="15"/>
      <c r="FMG425" s="15"/>
      <c r="FMH425" s="15"/>
      <c r="FMI425" s="15"/>
      <c r="FMJ425" s="15"/>
      <c r="FMK425" s="15"/>
      <c r="FML425" s="15"/>
      <c r="FMM425" s="15"/>
      <c r="FMN425" s="15"/>
      <c r="FMO425" s="15"/>
      <c r="FMP425" s="15"/>
      <c r="FMQ425" s="15"/>
      <c r="FMR425" s="15"/>
      <c r="FMS425" s="15"/>
      <c r="FMT425" s="15"/>
      <c r="FMU425" s="15"/>
      <c r="FMV425" s="15"/>
      <c r="FMW425" s="15"/>
      <c r="FMX425" s="15"/>
      <c r="FMY425" s="15"/>
      <c r="FMZ425" s="15"/>
      <c r="FNA425" s="15"/>
      <c r="FNB425" s="15"/>
      <c r="FNC425" s="15"/>
      <c r="FND425" s="15"/>
      <c r="FNE425" s="15"/>
      <c r="FNF425" s="15"/>
      <c r="FNG425" s="15"/>
      <c r="FNH425" s="15"/>
      <c r="FNI425" s="15"/>
      <c r="FNJ425" s="15"/>
      <c r="FNK425" s="15"/>
      <c r="FNL425" s="15"/>
      <c r="FNM425" s="15"/>
      <c r="FNN425" s="15"/>
      <c r="FNO425" s="15"/>
      <c r="FNP425" s="15"/>
      <c r="FNQ425" s="15"/>
      <c r="FNR425" s="15"/>
      <c r="FNS425" s="15"/>
      <c r="FNT425" s="15"/>
      <c r="FNU425" s="15"/>
      <c r="FNV425" s="15"/>
      <c r="FNW425" s="15"/>
      <c r="FNX425" s="15"/>
      <c r="FNY425" s="15"/>
      <c r="FNZ425" s="15"/>
      <c r="FOA425" s="15"/>
      <c r="FOB425" s="15"/>
      <c r="FOC425" s="15"/>
      <c r="FOD425" s="15"/>
      <c r="FOE425" s="15"/>
      <c r="FOF425" s="15"/>
      <c r="FOG425" s="15"/>
      <c r="FOH425" s="15"/>
      <c r="FOI425" s="15"/>
      <c r="FOJ425" s="15"/>
      <c r="FOK425" s="15"/>
      <c r="FOL425" s="15"/>
      <c r="FOM425" s="15"/>
      <c r="FON425" s="15"/>
      <c r="FOO425" s="15"/>
      <c r="FOP425" s="15"/>
      <c r="FOQ425" s="15"/>
      <c r="FOR425" s="15"/>
      <c r="FOS425" s="15"/>
      <c r="FOT425" s="15"/>
      <c r="FOU425" s="15"/>
      <c r="FOV425" s="15"/>
      <c r="FOW425" s="15"/>
      <c r="FOX425" s="15"/>
      <c r="FOY425" s="15"/>
      <c r="FOZ425" s="15"/>
      <c r="FPA425" s="15"/>
      <c r="FPB425" s="15"/>
      <c r="FPC425" s="15"/>
      <c r="FPD425" s="15"/>
      <c r="FPE425" s="15"/>
      <c r="FPF425" s="15"/>
      <c r="FPG425" s="15"/>
      <c r="FPH425" s="15"/>
      <c r="FPI425" s="15"/>
      <c r="FPJ425" s="15"/>
      <c r="FPK425" s="15"/>
      <c r="FPL425" s="15"/>
      <c r="FPM425" s="15"/>
      <c r="FPN425" s="15"/>
      <c r="FPO425" s="15"/>
      <c r="FPP425" s="15"/>
      <c r="FPQ425" s="15"/>
      <c r="FPR425" s="15"/>
      <c r="FPS425" s="15"/>
      <c r="FPT425" s="15"/>
      <c r="FPU425" s="15"/>
      <c r="FPV425" s="15"/>
      <c r="FPW425" s="15"/>
      <c r="FPX425" s="15"/>
      <c r="FPY425" s="15"/>
      <c r="FPZ425" s="15"/>
      <c r="FQA425" s="15"/>
      <c r="FQB425" s="15"/>
      <c r="FQC425" s="15"/>
      <c r="FQD425" s="15"/>
      <c r="FQE425" s="15"/>
      <c r="FQF425" s="15"/>
      <c r="FQG425" s="15"/>
      <c r="FQH425" s="15"/>
      <c r="FQI425" s="15"/>
      <c r="FQJ425" s="15"/>
      <c r="FQK425" s="15"/>
      <c r="FQL425" s="15"/>
      <c r="FQM425" s="15"/>
      <c r="FQN425" s="15"/>
      <c r="FQO425" s="15"/>
      <c r="FQP425" s="15"/>
      <c r="FQQ425" s="15"/>
      <c r="FQR425" s="15"/>
      <c r="FQS425" s="15"/>
      <c r="FQT425" s="15"/>
      <c r="FQU425" s="15"/>
      <c r="FQV425" s="15"/>
      <c r="FQW425" s="15"/>
      <c r="FQX425" s="15"/>
      <c r="FQY425" s="15"/>
      <c r="FQZ425" s="15"/>
      <c r="FRA425" s="15"/>
      <c r="FRB425" s="15"/>
      <c r="FRC425" s="15"/>
      <c r="FRD425" s="15"/>
      <c r="FRE425" s="15"/>
      <c r="FRF425" s="15"/>
      <c r="FRG425" s="15"/>
      <c r="FRH425" s="15"/>
      <c r="FRI425" s="15"/>
      <c r="FRJ425" s="15"/>
      <c r="FRK425" s="15"/>
      <c r="FRL425" s="15"/>
      <c r="FRM425" s="15"/>
      <c r="FRN425" s="15"/>
      <c r="FRO425" s="15"/>
      <c r="FRP425" s="15"/>
      <c r="FRQ425" s="15"/>
      <c r="FRR425" s="15"/>
      <c r="FRS425" s="15"/>
      <c r="FRT425" s="15"/>
      <c r="FRU425" s="15"/>
      <c r="FRV425" s="15"/>
      <c r="FRW425" s="15"/>
      <c r="FRX425" s="15"/>
      <c r="FRY425" s="15"/>
      <c r="FRZ425" s="15"/>
      <c r="FSA425" s="15"/>
      <c r="FSB425" s="15"/>
      <c r="FSC425" s="15"/>
      <c r="FSD425" s="15"/>
      <c r="FSE425" s="15"/>
      <c r="FSF425" s="15"/>
      <c r="FSG425" s="15"/>
      <c r="FSH425" s="15"/>
      <c r="FSI425" s="15"/>
      <c r="FSJ425" s="15"/>
      <c r="FSK425" s="15"/>
      <c r="FSL425" s="15"/>
      <c r="FSM425" s="15"/>
      <c r="FSN425" s="15"/>
      <c r="FSO425" s="15"/>
      <c r="FSP425" s="15"/>
      <c r="FSQ425" s="15"/>
      <c r="FSR425" s="15"/>
      <c r="FSS425" s="15"/>
      <c r="FST425" s="15"/>
      <c r="FSU425" s="15"/>
      <c r="FSV425" s="15"/>
      <c r="FSW425" s="15"/>
      <c r="FSX425" s="15"/>
      <c r="FSY425" s="15"/>
      <c r="FSZ425" s="15"/>
      <c r="FTA425" s="15"/>
      <c r="FTB425" s="15"/>
      <c r="FTC425" s="15"/>
      <c r="FTD425" s="15"/>
      <c r="FTE425" s="15"/>
      <c r="FTF425" s="15"/>
      <c r="FTG425" s="15"/>
      <c r="FTH425" s="15"/>
      <c r="FTI425" s="15"/>
      <c r="FTJ425" s="15"/>
      <c r="FTK425" s="15"/>
      <c r="FTL425" s="15"/>
      <c r="FTM425" s="15"/>
      <c r="FTN425" s="15"/>
      <c r="FTO425" s="15"/>
      <c r="FTP425" s="15"/>
      <c r="FTQ425" s="15"/>
      <c r="FTR425" s="15"/>
      <c r="FTS425" s="15"/>
      <c r="FTT425" s="15"/>
      <c r="FTU425" s="15"/>
      <c r="FTV425" s="15"/>
      <c r="FTW425" s="15"/>
      <c r="FTX425" s="15"/>
      <c r="FTY425" s="15"/>
      <c r="FTZ425" s="15"/>
      <c r="FUA425" s="15"/>
      <c r="FUB425" s="15"/>
      <c r="FUC425" s="15"/>
      <c r="FUD425" s="15"/>
      <c r="FUE425" s="15"/>
      <c r="FUF425" s="15"/>
      <c r="FUG425" s="15"/>
      <c r="FUH425" s="15"/>
      <c r="FUI425" s="15"/>
      <c r="FUJ425" s="15"/>
      <c r="FUK425" s="15"/>
      <c r="FUL425" s="15"/>
      <c r="FUM425" s="15"/>
      <c r="FUN425" s="15"/>
      <c r="FUO425" s="15"/>
      <c r="FUP425" s="15"/>
      <c r="FUQ425" s="15"/>
      <c r="FUR425" s="15"/>
      <c r="FUS425" s="15"/>
      <c r="FUT425" s="15"/>
      <c r="FUU425" s="15"/>
      <c r="FUV425" s="15"/>
      <c r="FUW425" s="15"/>
      <c r="FUX425" s="15"/>
      <c r="FUY425" s="15"/>
      <c r="FUZ425" s="15"/>
      <c r="FVA425" s="15"/>
      <c r="FVB425" s="15"/>
      <c r="FVC425" s="15"/>
      <c r="FVD425" s="15"/>
      <c r="FVE425" s="15"/>
      <c r="FVF425" s="15"/>
      <c r="FVG425" s="15"/>
      <c r="FVH425" s="15"/>
      <c r="FVI425" s="15"/>
      <c r="FVJ425" s="15"/>
      <c r="FVK425" s="15"/>
      <c r="FVL425" s="15"/>
      <c r="FVM425" s="15"/>
      <c r="FVN425" s="15"/>
      <c r="FVO425" s="15"/>
      <c r="FVP425" s="15"/>
      <c r="FVQ425" s="15"/>
      <c r="FVR425" s="15"/>
      <c r="FVS425" s="15"/>
      <c r="FVT425" s="15"/>
      <c r="FVU425" s="15"/>
      <c r="FVV425" s="15"/>
      <c r="FVW425" s="15"/>
      <c r="FVX425" s="15"/>
      <c r="FVY425" s="15"/>
      <c r="FVZ425" s="15"/>
      <c r="FWA425" s="15"/>
      <c r="FWB425" s="15"/>
      <c r="FWC425" s="15"/>
      <c r="FWD425" s="15"/>
      <c r="FWE425" s="15"/>
      <c r="FWF425" s="15"/>
      <c r="FWG425" s="15"/>
      <c r="FWH425" s="15"/>
      <c r="FWI425" s="15"/>
      <c r="FWJ425" s="15"/>
      <c r="FWK425" s="15"/>
      <c r="FWL425" s="15"/>
      <c r="FWM425" s="15"/>
      <c r="FWN425" s="15"/>
      <c r="FWO425" s="15"/>
      <c r="FWP425" s="15"/>
      <c r="FWQ425" s="15"/>
      <c r="FWR425" s="15"/>
      <c r="FWS425" s="15"/>
      <c r="FWT425" s="15"/>
      <c r="FWU425" s="15"/>
      <c r="FWV425" s="15"/>
      <c r="FWW425" s="15"/>
      <c r="FWX425" s="15"/>
      <c r="FWY425" s="15"/>
      <c r="FWZ425" s="15"/>
      <c r="FXA425" s="15"/>
      <c r="FXB425" s="15"/>
      <c r="FXC425" s="15"/>
      <c r="FXD425" s="15"/>
      <c r="FXE425" s="15"/>
      <c r="FXF425" s="15"/>
      <c r="FXG425" s="15"/>
      <c r="FXH425" s="15"/>
      <c r="FXI425" s="15"/>
      <c r="FXJ425" s="15"/>
      <c r="FXK425" s="15"/>
      <c r="FXL425" s="15"/>
      <c r="FXM425" s="15"/>
      <c r="FXN425" s="15"/>
      <c r="FXO425" s="15"/>
      <c r="FXP425" s="15"/>
      <c r="FXQ425" s="15"/>
      <c r="FXR425" s="15"/>
      <c r="FXS425" s="15"/>
      <c r="FXT425" s="15"/>
      <c r="FXU425" s="15"/>
      <c r="FXV425" s="15"/>
      <c r="FXW425" s="15"/>
      <c r="FXX425" s="15"/>
      <c r="FXY425" s="15"/>
      <c r="FXZ425" s="15"/>
      <c r="FYA425" s="15"/>
      <c r="FYB425" s="15"/>
      <c r="FYC425" s="15"/>
      <c r="FYD425" s="15"/>
      <c r="FYE425" s="15"/>
      <c r="FYF425" s="15"/>
      <c r="FYG425" s="15"/>
      <c r="FYH425" s="15"/>
      <c r="FYI425" s="15"/>
      <c r="FYJ425" s="15"/>
      <c r="FYK425" s="15"/>
      <c r="FYL425" s="15"/>
      <c r="FYM425" s="15"/>
      <c r="FYN425" s="15"/>
      <c r="FYO425" s="15"/>
      <c r="FYP425" s="15"/>
      <c r="FYQ425" s="15"/>
      <c r="FYR425" s="15"/>
      <c r="FYS425" s="15"/>
      <c r="FYT425" s="15"/>
      <c r="FYU425" s="15"/>
      <c r="FYV425" s="15"/>
      <c r="FYW425" s="15"/>
      <c r="FYX425" s="15"/>
      <c r="FYY425" s="15"/>
      <c r="FYZ425" s="15"/>
      <c r="FZA425" s="15"/>
      <c r="FZB425" s="15"/>
      <c r="FZC425" s="15"/>
      <c r="FZD425" s="15"/>
      <c r="FZE425" s="15"/>
      <c r="FZF425" s="15"/>
      <c r="FZG425" s="15"/>
      <c r="FZH425" s="15"/>
      <c r="FZI425" s="15"/>
      <c r="FZJ425" s="15"/>
      <c r="FZK425" s="15"/>
      <c r="FZL425" s="15"/>
      <c r="FZM425" s="15"/>
      <c r="FZN425" s="15"/>
      <c r="FZO425" s="15"/>
      <c r="FZP425" s="15"/>
      <c r="FZQ425" s="15"/>
      <c r="FZR425" s="15"/>
      <c r="FZS425" s="15"/>
      <c r="FZT425" s="15"/>
      <c r="FZU425" s="15"/>
      <c r="FZV425" s="15"/>
      <c r="FZW425" s="15"/>
      <c r="FZX425" s="15"/>
      <c r="FZY425" s="15"/>
      <c r="FZZ425" s="15"/>
      <c r="GAA425" s="15"/>
      <c r="GAB425" s="15"/>
      <c r="GAC425" s="15"/>
      <c r="GAD425" s="15"/>
      <c r="GAE425" s="15"/>
      <c r="GAF425" s="15"/>
      <c r="GAG425" s="15"/>
      <c r="GAH425" s="15"/>
      <c r="GAI425" s="15"/>
      <c r="GAJ425" s="15"/>
      <c r="GAK425" s="15"/>
      <c r="GAL425" s="15"/>
      <c r="GAM425" s="15"/>
      <c r="GAN425" s="15"/>
      <c r="GAO425" s="15"/>
      <c r="GAP425" s="15"/>
      <c r="GAQ425" s="15"/>
      <c r="GAR425" s="15"/>
      <c r="GAS425" s="15"/>
      <c r="GAT425" s="15"/>
      <c r="GAU425" s="15"/>
      <c r="GAV425" s="15"/>
      <c r="GAW425" s="15"/>
      <c r="GAX425" s="15"/>
      <c r="GAY425" s="15"/>
      <c r="GAZ425" s="15"/>
      <c r="GBA425" s="15"/>
      <c r="GBB425" s="15"/>
      <c r="GBC425" s="15"/>
      <c r="GBD425" s="15"/>
      <c r="GBE425" s="15"/>
      <c r="GBF425" s="15"/>
      <c r="GBG425" s="15"/>
      <c r="GBH425" s="15"/>
      <c r="GBI425" s="15"/>
      <c r="GBJ425" s="15"/>
      <c r="GBK425" s="15"/>
      <c r="GBL425" s="15"/>
      <c r="GBM425" s="15"/>
      <c r="GBN425" s="15"/>
      <c r="GBO425" s="15"/>
      <c r="GBP425" s="15"/>
      <c r="GBQ425" s="15"/>
      <c r="GBR425" s="15"/>
      <c r="GBS425" s="15"/>
      <c r="GBT425" s="15"/>
      <c r="GBU425" s="15"/>
      <c r="GBV425" s="15"/>
      <c r="GBW425" s="15"/>
      <c r="GBX425" s="15"/>
      <c r="GBY425" s="15"/>
      <c r="GBZ425" s="15"/>
      <c r="GCA425" s="15"/>
      <c r="GCB425" s="15"/>
      <c r="GCC425" s="15"/>
      <c r="GCD425" s="15"/>
      <c r="GCE425" s="15"/>
      <c r="GCF425" s="15"/>
      <c r="GCG425" s="15"/>
      <c r="GCH425" s="15"/>
      <c r="GCI425" s="15"/>
      <c r="GCJ425" s="15"/>
      <c r="GCK425" s="15"/>
      <c r="GCL425" s="15"/>
      <c r="GCM425" s="15"/>
      <c r="GCN425" s="15"/>
      <c r="GCO425" s="15"/>
      <c r="GCP425" s="15"/>
      <c r="GCQ425" s="15"/>
      <c r="GCR425" s="15"/>
      <c r="GCS425" s="15"/>
      <c r="GCT425" s="15"/>
      <c r="GCU425" s="15"/>
      <c r="GCV425" s="15"/>
      <c r="GCW425" s="15"/>
      <c r="GCX425" s="15"/>
      <c r="GCY425" s="15"/>
      <c r="GCZ425" s="15"/>
      <c r="GDA425" s="15"/>
      <c r="GDB425" s="15"/>
      <c r="GDC425" s="15"/>
      <c r="GDD425" s="15"/>
      <c r="GDE425" s="15"/>
      <c r="GDF425" s="15"/>
      <c r="GDG425" s="15"/>
      <c r="GDH425" s="15"/>
      <c r="GDI425" s="15"/>
      <c r="GDJ425" s="15"/>
      <c r="GDK425" s="15"/>
      <c r="GDL425" s="15"/>
      <c r="GDM425" s="15"/>
      <c r="GDN425" s="15"/>
      <c r="GDO425" s="15"/>
      <c r="GDP425" s="15"/>
      <c r="GDQ425" s="15"/>
      <c r="GDR425" s="15"/>
      <c r="GDS425" s="15"/>
      <c r="GDT425" s="15"/>
      <c r="GDU425" s="15"/>
      <c r="GDV425" s="15"/>
      <c r="GDW425" s="15"/>
      <c r="GDX425" s="15"/>
      <c r="GDY425" s="15"/>
      <c r="GDZ425" s="15"/>
      <c r="GEA425" s="15"/>
      <c r="GEB425" s="15"/>
      <c r="GEC425" s="15"/>
      <c r="GED425" s="15"/>
      <c r="GEE425" s="15"/>
      <c r="GEF425" s="15"/>
      <c r="GEG425" s="15"/>
      <c r="GEH425" s="15"/>
      <c r="GEI425" s="15"/>
      <c r="GEJ425" s="15"/>
      <c r="GEK425" s="15"/>
      <c r="GEL425" s="15"/>
      <c r="GEM425" s="15"/>
      <c r="GEN425" s="15"/>
      <c r="GEO425" s="15"/>
      <c r="GEP425" s="15"/>
      <c r="GEQ425" s="15"/>
      <c r="GER425" s="15"/>
      <c r="GES425" s="15"/>
      <c r="GET425" s="15"/>
      <c r="GEU425" s="15"/>
      <c r="GEV425" s="15"/>
      <c r="GEW425" s="15"/>
      <c r="GEX425" s="15"/>
      <c r="GEY425" s="15"/>
      <c r="GEZ425" s="15"/>
      <c r="GFA425" s="15"/>
      <c r="GFB425" s="15"/>
      <c r="GFC425" s="15"/>
      <c r="GFD425" s="15"/>
      <c r="GFE425" s="15"/>
      <c r="GFF425" s="15"/>
      <c r="GFG425" s="15"/>
      <c r="GFH425" s="15"/>
      <c r="GFI425" s="15"/>
      <c r="GFJ425" s="15"/>
      <c r="GFK425" s="15"/>
      <c r="GFL425" s="15"/>
      <c r="GFM425" s="15"/>
      <c r="GFN425" s="15"/>
      <c r="GFO425" s="15"/>
      <c r="GFP425" s="15"/>
      <c r="GFQ425" s="15"/>
      <c r="GFR425" s="15"/>
      <c r="GFS425" s="15"/>
      <c r="GFT425" s="15"/>
      <c r="GFU425" s="15"/>
      <c r="GFV425" s="15"/>
      <c r="GFW425" s="15"/>
      <c r="GFX425" s="15"/>
      <c r="GFY425" s="15"/>
      <c r="GFZ425" s="15"/>
      <c r="GGA425" s="15"/>
      <c r="GGB425" s="15"/>
      <c r="GGC425" s="15"/>
      <c r="GGD425" s="15"/>
      <c r="GGE425" s="15"/>
      <c r="GGF425" s="15"/>
      <c r="GGG425" s="15"/>
      <c r="GGH425" s="15"/>
      <c r="GGI425" s="15"/>
      <c r="GGJ425" s="15"/>
      <c r="GGK425" s="15"/>
      <c r="GGL425" s="15"/>
      <c r="GGM425" s="15"/>
      <c r="GGN425" s="15"/>
      <c r="GGO425" s="15"/>
      <c r="GGP425" s="15"/>
      <c r="GGQ425" s="15"/>
      <c r="GGR425" s="15"/>
      <c r="GGS425" s="15"/>
      <c r="GGT425" s="15"/>
      <c r="GGU425" s="15"/>
      <c r="GGV425" s="15"/>
      <c r="GGW425" s="15"/>
      <c r="GGX425" s="15"/>
      <c r="GGY425" s="15"/>
      <c r="GGZ425" s="15"/>
      <c r="GHA425" s="15"/>
      <c r="GHB425" s="15"/>
      <c r="GHC425" s="15"/>
      <c r="GHD425" s="15"/>
      <c r="GHE425" s="15"/>
      <c r="GHF425" s="15"/>
      <c r="GHG425" s="15"/>
      <c r="GHH425" s="15"/>
      <c r="GHI425" s="15"/>
      <c r="GHJ425" s="15"/>
      <c r="GHK425" s="15"/>
      <c r="GHL425" s="15"/>
      <c r="GHM425" s="15"/>
      <c r="GHN425" s="15"/>
      <c r="GHO425" s="15"/>
      <c r="GHP425" s="15"/>
      <c r="GHQ425" s="15"/>
      <c r="GHR425" s="15"/>
      <c r="GHS425" s="15"/>
      <c r="GHT425" s="15"/>
      <c r="GHU425" s="15"/>
      <c r="GHV425" s="15"/>
      <c r="GHW425" s="15"/>
      <c r="GHX425" s="15"/>
      <c r="GHY425" s="15"/>
      <c r="GHZ425" s="15"/>
      <c r="GIA425" s="15"/>
      <c r="GIB425" s="15"/>
      <c r="GIC425" s="15"/>
      <c r="GID425" s="15"/>
      <c r="GIE425" s="15"/>
      <c r="GIF425" s="15"/>
      <c r="GIG425" s="15"/>
      <c r="GIH425" s="15"/>
      <c r="GII425" s="15"/>
      <c r="GIJ425" s="15"/>
      <c r="GIK425" s="15"/>
      <c r="GIL425" s="15"/>
      <c r="GIM425" s="15"/>
      <c r="GIN425" s="15"/>
      <c r="GIO425" s="15"/>
      <c r="GIP425" s="15"/>
      <c r="GIQ425" s="15"/>
      <c r="GIR425" s="15"/>
      <c r="GIS425" s="15"/>
      <c r="GIT425" s="15"/>
      <c r="GIU425" s="15"/>
      <c r="GIV425" s="15"/>
      <c r="GIW425" s="15"/>
      <c r="GIX425" s="15"/>
      <c r="GIY425" s="15"/>
      <c r="GIZ425" s="15"/>
      <c r="GJA425" s="15"/>
      <c r="GJB425" s="15"/>
      <c r="GJC425" s="15"/>
      <c r="GJD425" s="15"/>
      <c r="GJE425" s="15"/>
      <c r="GJF425" s="15"/>
      <c r="GJG425" s="15"/>
      <c r="GJH425" s="15"/>
      <c r="GJI425" s="15"/>
      <c r="GJJ425" s="15"/>
      <c r="GJK425" s="15"/>
      <c r="GJL425" s="15"/>
      <c r="GJM425" s="15"/>
      <c r="GJN425" s="15"/>
      <c r="GJO425" s="15"/>
      <c r="GJP425" s="15"/>
      <c r="GJQ425" s="15"/>
      <c r="GJR425" s="15"/>
      <c r="GJS425" s="15"/>
      <c r="GJT425" s="15"/>
      <c r="GJU425" s="15"/>
      <c r="GJV425" s="15"/>
      <c r="GJW425" s="15"/>
      <c r="GJX425" s="15"/>
      <c r="GJY425" s="15"/>
      <c r="GJZ425" s="15"/>
      <c r="GKA425" s="15"/>
      <c r="GKB425" s="15"/>
      <c r="GKC425" s="15"/>
      <c r="GKD425" s="15"/>
      <c r="GKE425" s="15"/>
      <c r="GKF425" s="15"/>
      <c r="GKG425" s="15"/>
      <c r="GKH425" s="15"/>
      <c r="GKI425" s="15"/>
      <c r="GKJ425" s="15"/>
      <c r="GKK425" s="15"/>
      <c r="GKL425" s="15"/>
      <c r="GKM425" s="15"/>
      <c r="GKN425" s="15"/>
      <c r="GKO425" s="15"/>
      <c r="GKP425" s="15"/>
      <c r="GKQ425" s="15"/>
      <c r="GKR425" s="15"/>
      <c r="GKS425" s="15"/>
      <c r="GKT425" s="15"/>
      <c r="GKU425" s="15"/>
      <c r="GKV425" s="15"/>
      <c r="GKW425" s="15"/>
      <c r="GKX425" s="15"/>
      <c r="GKY425" s="15"/>
      <c r="GKZ425" s="15"/>
      <c r="GLA425" s="15"/>
      <c r="GLB425" s="15"/>
      <c r="GLC425" s="15"/>
      <c r="GLD425" s="15"/>
      <c r="GLE425" s="15"/>
      <c r="GLF425" s="15"/>
      <c r="GLG425" s="15"/>
      <c r="GLH425" s="15"/>
      <c r="GLI425" s="15"/>
      <c r="GLJ425" s="15"/>
      <c r="GLK425" s="15"/>
      <c r="GLL425" s="15"/>
      <c r="GLM425" s="15"/>
      <c r="GLN425" s="15"/>
      <c r="GLO425" s="15"/>
      <c r="GLP425" s="15"/>
      <c r="GLQ425" s="15"/>
      <c r="GLR425" s="15"/>
      <c r="GLS425" s="15"/>
      <c r="GLT425" s="15"/>
      <c r="GLU425" s="15"/>
      <c r="GLV425" s="15"/>
      <c r="GLW425" s="15"/>
      <c r="GLX425" s="15"/>
      <c r="GLY425" s="15"/>
      <c r="GLZ425" s="15"/>
      <c r="GMA425" s="15"/>
      <c r="GMB425" s="15"/>
      <c r="GMC425" s="15"/>
      <c r="GMD425" s="15"/>
      <c r="GME425" s="15"/>
      <c r="GMF425" s="15"/>
      <c r="GMG425" s="15"/>
      <c r="GMH425" s="15"/>
      <c r="GMI425" s="15"/>
      <c r="GMJ425" s="15"/>
      <c r="GMK425" s="15"/>
      <c r="GML425" s="15"/>
      <c r="GMM425" s="15"/>
      <c r="GMN425" s="15"/>
      <c r="GMO425" s="15"/>
      <c r="GMP425" s="15"/>
      <c r="GMQ425" s="15"/>
      <c r="GMR425" s="15"/>
      <c r="GMS425" s="15"/>
      <c r="GMT425" s="15"/>
      <c r="GMU425" s="15"/>
      <c r="GMV425" s="15"/>
      <c r="GMW425" s="15"/>
      <c r="GMX425" s="15"/>
      <c r="GMY425" s="15"/>
      <c r="GMZ425" s="15"/>
      <c r="GNA425" s="15"/>
      <c r="GNB425" s="15"/>
      <c r="GNC425" s="15"/>
      <c r="GND425" s="15"/>
      <c r="GNE425" s="15"/>
      <c r="GNF425" s="15"/>
      <c r="GNG425" s="15"/>
      <c r="GNH425" s="15"/>
      <c r="GNI425" s="15"/>
      <c r="GNJ425" s="15"/>
      <c r="GNK425" s="15"/>
      <c r="GNL425" s="15"/>
      <c r="GNM425" s="15"/>
      <c r="GNN425" s="15"/>
      <c r="GNO425" s="15"/>
      <c r="GNP425" s="15"/>
      <c r="GNQ425" s="15"/>
      <c r="GNR425" s="15"/>
      <c r="GNS425" s="15"/>
      <c r="GNT425" s="15"/>
      <c r="GNU425" s="15"/>
      <c r="GNV425" s="15"/>
      <c r="GNW425" s="15"/>
      <c r="GNX425" s="15"/>
      <c r="GNY425" s="15"/>
      <c r="GNZ425" s="15"/>
      <c r="GOA425" s="15"/>
      <c r="GOB425" s="15"/>
      <c r="GOC425" s="15"/>
      <c r="GOD425" s="15"/>
      <c r="GOE425" s="15"/>
      <c r="GOF425" s="15"/>
      <c r="GOG425" s="15"/>
      <c r="GOH425" s="15"/>
      <c r="GOI425" s="15"/>
      <c r="GOJ425" s="15"/>
      <c r="GOK425" s="15"/>
      <c r="GOL425" s="15"/>
      <c r="GOM425" s="15"/>
      <c r="GON425" s="15"/>
      <c r="GOO425" s="15"/>
      <c r="GOP425" s="15"/>
      <c r="GOQ425" s="15"/>
      <c r="GOR425" s="15"/>
      <c r="GOS425" s="15"/>
      <c r="GOT425" s="15"/>
      <c r="GOU425" s="15"/>
      <c r="GOV425" s="15"/>
      <c r="GOW425" s="15"/>
      <c r="GOX425" s="15"/>
      <c r="GOY425" s="15"/>
      <c r="GOZ425" s="15"/>
      <c r="GPA425" s="15"/>
      <c r="GPB425" s="15"/>
      <c r="GPC425" s="15"/>
      <c r="GPD425" s="15"/>
      <c r="GPE425" s="15"/>
      <c r="GPF425" s="15"/>
      <c r="GPG425" s="15"/>
      <c r="GPH425" s="15"/>
      <c r="GPI425" s="15"/>
      <c r="GPJ425" s="15"/>
      <c r="GPK425" s="15"/>
      <c r="GPL425" s="15"/>
      <c r="GPM425" s="15"/>
      <c r="GPN425" s="15"/>
      <c r="GPO425" s="15"/>
      <c r="GPP425" s="15"/>
      <c r="GPQ425" s="15"/>
      <c r="GPR425" s="15"/>
      <c r="GPS425" s="15"/>
      <c r="GPT425" s="15"/>
      <c r="GPU425" s="15"/>
      <c r="GPV425" s="15"/>
      <c r="GPW425" s="15"/>
      <c r="GPX425" s="15"/>
      <c r="GPY425" s="15"/>
      <c r="GPZ425" s="15"/>
      <c r="GQA425" s="15"/>
      <c r="GQB425" s="15"/>
      <c r="GQC425" s="15"/>
      <c r="GQD425" s="15"/>
      <c r="GQE425" s="15"/>
      <c r="GQF425" s="15"/>
      <c r="GQG425" s="15"/>
      <c r="GQH425" s="15"/>
      <c r="GQI425" s="15"/>
      <c r="GQJ425" s="15"/>
      <c r="GQK425" s="15"/>
      <c r="GQL425" s="15"/>
      <c r="GQM425" s="15"/>
      <c r="GQN425" s="15"/>
      <c r="GQO425" s="15"/>
      <c r="GQP425" s="15"/>
      <c r="GQQ425" s="15"/>
      <c r="GQR425" s="15"/>
      <c r="GQS425" s="15"/>
      <c r="GQT425" s="15"/>
      <c r="GQU425" s="15"/>
      <c r="GQV425" s="15"/>
      <c r="GQW425" s="15"/>
      <c r="GQX425" s="15"/>
      <c r="GQY425" s="15"/>
      <c r="GQZ425" s="15"/>
      <c r="GRA425" s="15"/>
      <c r="GRB425" s="15"/>
      <c r="GRC425" s="15"/>
      <c r="GRD425" s="15"/>
      <c r="GRE425" s="15"/>
      <c r="GRF425" s="15"/>
      <c r="GRG425" s="15"/>
      <c r="GRH425" s="15"/>
      <c r="GRI425" s="15"/>
      <c r="GRJ425" s="15"/>
      <c r="GRK425" s="15"/>
      <c r="GRL425" s="15"/>
      <c r="GRM425" s="15"/>
      <c r="GRN425" s="15"/>
      <c r="GRO425" s="15"/>
      <c r="GRP425" s="15"/>
      <c r="GRQ425" s="15"/>
      <c r="GRR425" s="15"/>
      <c r="GRS425" s="15"/>
      <c r="GRT425" s="15"/>
      <c r="GRU425" s="15"/>
      <c r="GRV425" s="15"/>
      <c r="GRW425" s="15"/>
      <c r="GRX425" s="15"/>
      <c r="GRY425" s="15"/>
      <c r="GRZ425" s="15"/>
      <c r="GSA425" s="15"/>
      <c r="GSB425" s="15"/>
      <c r="GSC425" s="15"/>
      <c r="GSD425" s="15"/>
      <c r="GSE425" s="15"/>
      <c r="GSF425" s="15"/>
      <c r="GSG425" s="15"/>
      <c r="GSH425" s="15"/>
      <c r="GSI425" s="15"/>
      <c r="GSJ425" s="15"/>
      <c r="GSK425" s="15"/>
      <c r="GSL425" s="15"/>
      <c r="GSM425" s="15"/>
      <c r="GSN425" s="15"/>
      <c r="GSO425" s="15"/>
      <c r="GSP425" s="15"/>
      <c r="GSQ425" s="15"/>
      <c r="GSR425" s="15"/>
      <c r="GSS425" s="15"/>
      <c r="GST425" s="15"/>
      <c r="GSU425" s="15"/>
      <c r="GSV425" s="15"/>
      <c r="GSW425" s="15"/>
      <c r="GSX425" s="15"/>
      <c r="GSY425" s="15"/>
      <c r="GSZ425" s="15"/>
      <c r="GTA425" s="15"/>
      <c r="GTB425" s="15"/>
      <c r="GTC425" s="15"/>
      <c r="GTD425" s="15"/>
      <c r="GTE425" s="15"/>
      <c r="GTF425" s="15"/>
      <c r="GTG425" s="15"/>
      <c r="GTH425" s="15"/>
      <c r="GTI425" s="15"/>
      <c r="GTJ425" s="15"/>
      <c r="GTK425" s="15"/>
      <c r="GTL425" s="15"/>
      <c r="GTM425" s="15"/>
      <c r="GTN425" s="15"/>
      <c r="GTO425" s="15"/>
      <c r="GTP425" s="15"/>
      <c r="GTQ425" s="15"/>
      <c r="GTR425" s="15"/>
      <c r="GTS425" s="15"/>
      <c r="GTT425" s="15"/>
      <c r="GTU425" s="15"/>
      <c r="GTV425" s="15"/>
      <c r="GTW425" s="15"/>
      <c r="GTX425" s="15"/>
      <c r="GTY425" s="15"/>
      <c r="GTZ425" s="15"/>
      <c r="GUA425" s="15"/>
      <c r="GUB425" s="15"/>
      <c r="GUC425" s="15"/>
      <c r="GUD425" s="15"/>
      <c r="GUE425" s="15"/>
      <c r="GUF425" s="15"/>
      <c r="GUG425" s="15"/>
      <c r="GUH425" s="15"/>
      <c r="GUI425" s="15"/>
      <c r="GUJ425" s="15"/>
      <c r="GUK425" s="15"/>
      <c r="GUL425" s="15"/>
      <c r="GUM425" s="15"/>
      <c r="GUN425" s="15"/>
      <c r="GUO425" s="15"/>
      <c r="GUP425" s="15"/>
      <c r="GUQ425" s="15"/>
      <c r="GUR425" s="15"/>
      <c r="GUS425" s="15"/>
      <c r="GUT425" s="15"/>
      <c r="GUU425" s="15"/>
      <c r="GUV425" s="15"/>
      <c r="GUW425" s="15"/>
      <c r="GUX425" s="15"/>
      <c r="GUY425" s="15"/>
      <c r="GUZ425" s="15"/>
      <c r="GVA425" s="15"/>
      <c r="GVB425" s="15"/>
      <c r="GVC425" s="15"/>
      <c r="GVD425" s="15"/>
      <c r="GVE425" s="15"/>
      <c r="GVF425" s="15"/>
      <c r="GVG425" s="15"/>
      <c r="GVH425" s="15"/>
      <c r="GVI425" s="15"/>
      <c r="GVJ425" s="15"/>
      <c r="GVK425" s="15"/>
      <c r="GVL425" s="15"/>
      <c r="GVM425" s="15"/>
      <c r="GVN425" s="15"/>
      <c r="GVO425" s="15"/>
      <c r="GVP425" s="15"/>
      <c r="GVQ425" s="15"/>
      <c r="GVR425" s="15"/>
      <c r="GVS425" s="15"/>
      <c r="GVT425" s="15"/>
      <c r="GVU425" s="15"/>
      <c r="GVV425" s="15"/>
      <c r="GVW425" s="15"/>
      <c r="GVX425" s="15"/>
      <c r="GVY425" s="15"/>
      <c r="GVZ425" s="15"/>
      <c r="GWA425" s="15"/>
      <c r="GWB425" s="15"/>
      <c r="GWC425" s="15"/>
      <c r="GWD425" s="15"/>
      <c r="GWE425" s="15"/>
      <c r="GWF425" s="15"/>
      <c r="GWG425" s="15"/>
      <c r="GWH425" s="15"/>
      <c r="GWI425" s="15"/>
      <c r="GWJ425" s="15"/>
      <c r="GWK425" s="15"/>
      <c r="GWL425" s="15"/>
      <c r="GWM425" s="15"/>
      <c r="GWN425" s="15"/>
      <c r="GWO425" s="15"/>
      <c r="GWP425" s="15"/>
      <c r="GWQ425" s="15"/>
      <c r="GWR425" s="15"/>
      <c r="GWS425" s="15"/>
      <c r="GWT425" s="15"/>
      <c r="GWU425" s="15"/>
      <c r="GWV425" s="15"/>
      <c r="GWW425" s="15"/>
      <c r="GWX425" s="15"/>
      <c r="GWY425" s="15"/>
      <c r="GWZ425" s="15"/>
      <c r="GXA425" s="15"/>
      <c r="GXB425" s="15"/>
      <c r="GXC425" s="15"/>
      <c r="GXD425" s="15"/>
      <c r="GXE425" s="15"/>
      <c r="GXF425" s="15"/>
      <c r="GXG425" s="15"/>
      <c r="GXH425" s="15"/>
      <c r="GXI425" s="15"/>
      <c r="GXJ425" s="15"/>
      <c r="GXK425" s="15"/>
      <c r="GXL425" s="15"/>
      <c r="GXM425" s="15"/>
      <c r="GXN425" s="15"/>
      <c r="GXO425" s="15"/>
      <c r="GXP425" s="15"/>
      <c r="GXQ425" s="15"/>
      <c r="GXR425" s="15"/>
      <c r="GXS425" s="15"/>
      <c r="GXT425" s="15"/>
      <c r="GXU425" s="15"/>
      <c r="GXV425" s="15"/>
      <c r="GXW425" s="15"/>
      <c r="GXX425" s="15"/>
      <c r="GXY425" s="15"/>
      <c r="GXZ425" s="15"/>
      <c r="GYA425" s="15"/>
      <c r="GYB425" s="15"/>
      <c r="GYC425" s="15"/>
      <c r="GYD425" s="15"/>
      <c r="GYE425" s="15"/>
      <c r="GYF425" s="15"/>
      <c r="GYG425" s="15"/>
      <c r="GYH425" s="15"/>
      <c r="GYI425" s="15"/>
      <c r="GYJ425" s="15"/>
      <c r="GYK425" s="15"/>
      <c r="GYL425" s="15"/>
      <c r="GYM425" s="15"/>
      <c r="GYN425" s="15"/>
      <c r="GYO425" s="15"/>
      <c r="GYP425" s="15"/>
      <c r="GYQ425" s="15"/>
      <c r="GYR425" s="15"/>
      <c r="GYS425" s="15"/>
      <c r="GYT425" s="15"/>
      <c r="GYU425" s="15"/>
      <c r="GYV425" s="15"/>
      <c r="GYW425" s="15"/>
      <c r="GYX425" s="15"/>
      <c r="GYY425" s="15"/>
      <c r="GYZ425" s="15"/>
      <c r="GZA425" s="15"/>
      <c r="GZB425" s="15"/>
      <c r="GZC425" s="15"/>
      <c r="GZD425" s="15"/>
      <c r="GZE425" s="15"/>
      <c r="GZF425" s="15"/>
      <c r="GZG425" s="15"/>
      <c r="GZH425" s="15"/>
      <c r="GZI425" s="15"/>
      <c r="GZJ425" s="15"/>
      <c r="GZK425" s="15"/>
      <c r="GZL425" s="15"/>
      <c r="GZM425" s="15"/>
      <c r="GZN425" s="15"/>
      <c r="GZO425" s="15"/>
      <c r="GZP425" s="15"/>
      <c r="GZQ425" s="15"/>
      <c r="GZR425" s="15"/>
      <c r="GZS425" s="15"/>
      <c r="GZT425" s="15"/>
      <c r="GZU425" s="15"/>
      <c r="GZV425" s="15"/>
      <c r="GZW425" s="15"/>
      <c r="GZX425" s="15"/>
      <c r="GZY425" s="15"/>
      <c r="GZZ425" s="15"/>
      <c r="HAA425" s="15"/>
      <c r="HAB425" s="15"/>
      <c r="HAC425" s="15"/>
      <c r="HAD425" s="15"/>
      <c r="HAE425" s="15"/>
      <c r="HAF425" s="15"/>
      <c r="HAG425" s="15"/>
      <c r="HAH425" s="15"/>
      <c r="HAI425" s="15"/>
      <c r="HAJ425" s="15"/>
      <c r="HAK425" s="15"/>
      <c r="HAL425" s="15"/>
      <c r="HAM425" s="15"/>
      <c r="HAN425" s="15"/>
      <c r="HAO425" s="15"/>
      <c r="HAP425" s="15"/>
      <c r="HAQ425" s="15"/>
      <c r="HAR425" s="15"/>
      <c r="HAS425" s="15"/>
      <c r="HAT425" s="15"/>
      <c r="HAU425" s="15"/>
      <c r="HAV425" s="15"/>
      <c r="HAW425" s="15"/>
      <c r="HAX425" s="15"/>
      <c r="HAY425" s="15"/>
      <c r="HAZ425" s="15"/>
      <c r="HBA425" s="15"/>
      <c r="HBB425" s="15"/>
      <c r="HBC425" s="15"/>
      <c r="HBD425" s="15"/>
      <c r="HBE425" s="15"/>
      <c r="HBF425" s="15"/>
      <c r="HBG425" s="15"/>
      <c r="HBH425" s="15"/>
      <c r="HBI425" s="15"/>
      <c r="HBJ425" s="15"/>
      <c r="HBK425" s="15"/>
      <c r="HBL425" s="15"/>
      <c r="HBM425" s="15"/>
      <c r="HBN425" s="15"/>
      <c r="HBO425" s="15"/>
      <c r="HBP425" s="15"/>
      <c r="HBQ425" s="15"/>
      <c r="HBR425" s="15"/>
      <c r="HBS425" s="15"/>
      <c r="HBT425" s="15"/>
      <c r="HBU425" s="15"/>
      <c r="HBV425" s="15"/>
      <c r="HBW425" s="15"/>
      <c r="HBX425" s="15"/>
      <c r="HBY425" s="15"/>
      <c r="HBZ425" s="15"/>
      <c r="HCA425" s="15"/>
      <c r="HCB425" s="15"/>
      <c r="HCC425" s="15"/>
      <c r="HCD425" s="15"/>
      <c r="HCE425" s="15"/>
      <c r="HCF425" s="15"/>
      <c r="HCG425" s="15"/>
      <c r="HCH425" s="15"/>
      <c r="HCI425" s="15"/>
      <c r="HCJ425" s="15"/>
      <c r="HCK425" s="15"/>
      <c r="HCL425" s="15"/>
      <c r="HCM425" s="15"/>
      <c r="HCN425" s="15"/>
      <c r="HCO425" s="15"/>
      <c r="HCP425" s="15"/>
      <c r="HCQ425" s="15"/>
      <c r="HCR425" s="15"/>
      <c r="HCS425" s="15"/>
      <c r="HCT425" s="15"/>
      <c r="HCU425" s="15"/>
      <c r="HCV425" s="15"/>
      <c r="HCW425" s="15"/>
      <c r="HCX425" s="15"/>
      <c r="HCY425" s="15"/>
      <c r="HCZ425" s="15"/>
      <c r="HDA425" s="15"/>
      <c r="HDB425" s="15"/>
      <c r="HDC425" s="15"/>
      <c r="HDD425" s="15"/>
      <c r="HDE425" s="15"/>
      <c r="HDF425" s="15"/>
      <c r="HDG425" s="15"/>
      <c r="HDH425" s="15"/>
      <c r="HDI425" s="15"/>
      <c r="HDJ425" s="15"/>
      <c r="HDK425" s="15"/>
      <c r="HDL425" s="15"/>
      <c r="HDM425" s="15"/>
      <c r="HDN425" s="15"/>
      <c r="HDO425" s="15"/>
      <c r="HDP425" s="15"/>
      <c r="HDQ425" s="15"/>
      <c r="HDR425" s="15"/>
      <c r="HDS425" s="15"/>
      <c r="HDT425" s="15"/>
      <c r="HDU425" s="15"/>
      <c r="HDV425" s="15"/>
      <c r="HDW425" s="15"/>
      <c r="HDX425" s="15"/>
      <c r="HDY425" s="15"/>
      <c r="HDZ425" s="15"/>
      <c r="HEA425" s="15"/>
      <c r="HEB425" s="15"/>
      <c r="HEC425" s="15"/>
      <c r="HED425" s="15"/>
      <c r="HEE425" s="15"/>
      <c r="HEF425" s="15"/>
      <c r="HEG425" s="15"/>
      <c r="HEH425" s="15"/>
      <c r="HEI425" s="15"/>
      <c r="HEJ425" s="15"/>
      <c r="HEK425" s="15"/>
      <c r="HEL425" s="15"/>
      <c r="HEM425" s="15"/>
      <c r="HEN425" s="15"/>
      <c r="HEO425" s="15"/>
      <c r="HEP425" s="15"/>
      <c r="HEQ425" s="15"/>
      <c r="HER425" s="15"/>
      <c r="HES425" s="15"/>
      <c r="HET425" s="15"/>
      <c r="HEU425" s="15"/>
      <c r="HEV425" s="15"/>
      <c r="HEW425" s="15"/>
      <c r="HEX425" s="15"/>
      <c r="HEY425" s="15"/>
      <c r="HEZ425" s="15"/>
      <c r="HFA425" s="15"/>
      <c r="HFB425" s="15"/>
      <c r="HFC425" s="15"/>
      <c r="HFD425" s="15"/>
      <c r="HFE425" s="15"/>
      <c r="HFF425" s="15"/>
      <c r="HFG425" s="15"/>
      <c r="HFH425" s="15"/>
      <c r="HFI425" s="15"/>
      <c r="HFJ425" s="15"/>
      <c r="HFK425" s="15"/>
      <c r="HFL425" s="15"/>
      <c r="HFM425" s="15"/>
      <c r="HFN425" s="15"/>
      <c r="HFO425" s="15"/>
      <c r="HFP425" s="15"/>
      <c r="HFQ425" s="15"/>
      <c r="HFR425" s="15"/>
      <c r="HFS425" s="15"/>
      <c r="HFT425" s="15"/>
      <c r="HFU425" s="15"/>
      <c r="HFV425" s="15"/>
      <c r="HFW425" s="15"/>
      <c r="HFX425" s="15"/>
      <c r="HFY425" s="15"/>
      <c r="HFZ425" s="15"/>
      <c r="HGA425" s="15"/>
      <c r="HGB425" s="15"/>
      <c r="HGC425" s="15"/>
      <c r="HGD425" s="15"/>
      <c r="HGE425" s="15"/>
      <c r="HGF425" s="15"/>
      <c r="HGG425" s="15"/>
      <c r="HGH425" s="15"/>
      <c r="HGI425" s="15"/>
      <c r="HGJ425" s="15"/>
      <c r="HGK425" s="15"/>
      <c r="HGL425" s="15"/>
      <c r="HGM425" s="15"/>
      <c r="HGN425" s="15"/>
      <c r="HGO425" s="15"/>
      <c r="HGP425" s="15"/>
      <c r="HGQ425" s="15"/>
      <c r="HGR425" s="15"/>
      <c r="HGS425" s="15"/>
      <c r="HGT425" s="15"/>
      <c r="HGU425" s="15"/>
      <c r="HGV425" s="15"/>
      <c r="HGW425" s="15"/>
      <c r="HGX425" s="15"/>
      <c r="HGY425" s="15"/>
      <c r="HGZ425" s="15"/>
      <c r="HHA425" s="15"/>
      <c r="HHB425" s="15"/>
      <c r="HHC425" s="15"/>
      <c r="HHD425" s="15"/>
      <c r="HHE425" s="15"/>
      <c r="HHF425" s="15"/>
      <c r="HHG425" s="15"/>
      <c r="HHH425" s="15"/>
      <c r="HHI425" s="15"/>
      <c r="HHJ425" s="15"/>
      <c r="HHK425" s="15"/>
      <c r="HHL425" s="15"/>
      <c r="HHM425" s="15"/>
      <c r="HHN425" s="15"/>
      <c r="HHO425" s="15"/>
      <c r="HHP425" s="15"/>
      <c r="HHQ425" s="15"/>
      <c r="HHR425" s="15"/>
      <c r="HHS425" s="15"/>
      <c r="HHT425" s="15"/>
      <c r="HHU425" s="15"/>
      <c r="HHV425" s="15"/>
      <c r="HHW425" s="15"/>
      <c r="HHX425" s="15"/>
      <c r="HHY425" s="15"/>
      <c r="HHZ425" s="15"/>
      <c r="HIA425" s="15"/>
      <c r="HIB425" s="15"/>
      <c r="HIC425" s="15"/>
      <c r="HID425" s="15"/>
      <c r="HIE425" s="15"/>
      <c r="HIF425" s="15"/>
      <c r="HIG425" s="15"/>
      <c r="HIH425" s="15"/>
      <c r="HII425" s="15"/>
      <c r="HIJ425" s="15"/>
      <c r="HIK425" s="15"/>
      <c r="HIL425" s="15"/>
      <c r="HIM425" s="15"/>
      <c r="HIN425" s="15"/>
      <c r="HIO425" s="15"/>
      <c r="HIP425" s="15"/>
      <c r="HIQ425" s="15"/>
      <c r="HIR425" s="15"/>
      <c r="HIS425" s="15"/>
      <c r="HIT425" s="15"/>
      <c r="HIU425" s="15"/>
      <c r="HIV425" s="15"/>
      <c r="HIW425" s="15"/>
      <c r="HIX425" s="15"/>
      <c r="HIY425" s="15"/>
      <c r="HIZ425" s="15"/>
      <c r="HJA425" s="15"/>
      <c r="HJB425" s="15"/>
      <c r="HJC425" s="15"/>
      <c r="HJD425" s="15"/>
      <c r="HJE425" s="15"/>
      <c r="HJF425" s="15"/>
      <c r="HJG425" s="15"/>
      <c r="HJH425" s="15"/>
      <c r="HJI425" s="15"/>
      <c r="HJJ425" s="15"/>
      <c r="HJK425" s="15"/>
      <c r="HJL425" s="15"/>
      <c r="HJM425" s="15"/>
      <c r="HJN425" s="15"/>
      <c r="HJO425" s="15"/>
      <c r="HJP425" s="15"/>
      <c r="HJQ425" s="15"/>
      <c r="HJR425" s="15"/>
      <c r="HJS425" s="15"/>
      <c r="HJT425" s="15"/>
      <c r="HJU425" s="15"/>
      <c r="HJV425" s="15"/>
      <c r="HJW425" s="15"/>
      <c r="HJX425" s="15"/>
      <c r="HJY425" s="15"/>
      <c r="HJZ425" s="15"/>
      <c r="HKA425" s="15"/>
      <c r="HKB425" s="15"/>
      <c r="HKC425" s="15"/>
      <c r="HKD425" s="15"/>
      <c r="HKE425" s="15"/>
      <c r="HKF425" s="15"/>
      <c r="HKG425" s="15"/>
      <c r="HKH425" s="15"/>
      <c r="HKI425" s="15"/>
      <c r="HKJ425" s="15"/>
      <c r="HKK425" s="15"/>
      <c r="HKL425" s="15"/>
      <c r="HKM425" s="15"/>
      <c r="HKN425" s="15"/>
      <c r="HKO425" s="15"/>
      <c r="HKP425" s="15"/>
      <c r="HKQ425" s="15"/>
      <c r="HKR425" s="15"/>
      <c r="HKS425" s="15"/>
      <c r="HKT425" s="15"/>
      <c r="HKU425" s="15"/>
      <c r="HKV425" s="15"/>
      <c r="HKW425" s="15"/>
      <c r="HKX425" s="15"/>
      <c r="HKY425" s="15"/>
      <c r="HKZ425" s="15"/>
      <c r="HLA425" s="15"/>
      <c r="HLB425" s="15"/>
      <c r="HLC425" s="15"/>
      <c r="HLD425" s="15"/>
      <c r="HLE425" s="15"/>
      <c r="HLF425" s="15"/>
      <c r="HLG425" s="15"/>
      <c r="HLH425" s="15"/>
      <c r="HLI425" s="15"/>
      <c r="HLJ425" s="15"/>
      <c r="HLK425" s="15"/>
      <c r="HLL425" s="15"/>
      <c r="HLM425" s="15"/>
      <c r="HLN425" s="15"/>
      <c r="HLO425" s="15"/>
      <c r="HLP425" s="15"/>
      <c r="HLQ425" s="15"/>
      <c r="HLR425" s="15"/>
      <c r="HLS425" s="15"/>
      <c r="HLT425" s="15"/>
      <c r="HLU425" s="15"/>
      <c r="HLV425" s="15"/>
      <c r="HLW425" s="15"/>
      <c r="HLX425" s="15"/>
      <c r="HLY425" s="15"/>
      <c r="HLZ425" s="15"/>
      <c r="HMA425" s="15"/>
      <c r="HMB425" s="15"/>
      <c r="HMC425" s="15"/>
      <c r="HMD425" s="15"/>
      <c r="HME425" s="15"/>
      <c r="HMF425" s="15"/>
      <c r="HMG425" s="15"/>
      <c r="HMH425" s="15"/>
      <c r="HMI425" s="15"/>
      <c r="HMJ425" s="15"/>
      <c r="HMK425" s="15"/>
      <c r="HML425" s="15"/>
      <c r="HMM425" s="15"/>
      <c r="HMN425" s="15"/>
      <c r="HMO425" s="15"/>
      <c r="HMP425" s="15"/>
      <c r="HMQ425" s="15"/>
      <c r="HMR425" s="15"/>
      <c r="HMS425" s="15"/>
      <c r="HMT425" s="15"/>
      <c r="HMU425" s="15"/>
      <c r="HMV425" s="15"/>
      <c r="HMW425" s="15"/>
      <c r="HMX425" s="15"/>
      <c r="HMY425" s="15"/>
      <c r="HMZ425" s="15"/>
      <c r="HNA425" s="15"/>
      <c r="HNB425" s="15"/>
      <c r="HNC425" s="15"/>
      <c r="HND425" s="15"/>
      <c r="HNE425" s="15"/>
      <c r="HNF425" s="15"/>
      <c r="HNG425" s="15"/>
      <c r="HNH425" s="15"/>
      <c r="HNI425" s="15"/>
      <c r="HNJ425" s="15"/>
      <c r="HNK425" s="15"/>
      <c r="HNL425" s="15"/>
      <c r="HNM425" s="15"/>
      <c r="HNN425" s="15"/>
      <c r="HNO425" s="15"/>
      <c r="HNP425" s="15"/>
      <c r="HNQ425" s="15"/>
      <c r="HNR425" s="15"/>
      <c r="HNS425" s="15"/>
      <c r="HNT425" s="15"/>
      <c r="HNU425" s="15"/>
      <c r="HNV425" s="15"/>
      <c r="HNW425" s="15"/>
      <c r="HNX425" s="15"/>
      <c r="HNY425" s="15"/>
      <c r="HNZ425" s="15"/>
      <c r="HOA425" s="15"/>
      <c r="HOB425" s="15"/>
      <c r="HOC425" s="15"/>
      <c r="HOD425" s="15"/>
      <c r="HOE425" s="15"/>
      <c r="HOF425" s="15"/>
      <c r="HOG425" s="15"/>
      <c r="HOH425" s="15"/>
      <c r="HOI425" s="15"/>
      <c r="HOJ425" s="15"/>
      <c r="HOK425" s="15"/>
      <c r="HOL425" s="15"/>
      <c r="HOM425" s="15"/>
      <c r="HON425" s="15"/>
      <c r="HOO425" s="15"/>
      <c r="HOP425" s="15"/>
      <c r="HOQ425" s="15"/>
      <c r="HOR425" s="15"/>
      <c r="HOS425" s="15"/>
      <c r="HOT425" s="15"/>
      <c r="HOU425" s="15"/>
      <c r="HOV425" s="15"/>
      <c r="HOW425" s="15"/>
      <c r="HOX425" s="15"/>
      <c r="HOY425" s="15"/>
      <c r="HOZ425" s="15"/>
      <c r="HPA425" s="15"/>
      <c r="HPB425" s="15"/>
      <c r="HPC425" s="15"/>
      <c r="HPD425" s="15"/>
      <c r="HPE425" s="15"/>
      <c r="HPF425" s="15"/>
      <c r="HPG425" s="15"/>
      <c r="HPH425" s="15"/>
      <c r="HPI425" s="15"/>
      <c r="HPJ425" s="15"/>
      <c r="HPK425" s="15"/>
      <c r="HPL425" s="15"/>
      <c r="HPM425" s="15"/>
      <c r="HPN425" s="15"/>
      <c r="HPO425" s="15"/>
      <c r="HPP425" s="15"/>
      <c r="HPQ425" s="15"/>
      <c r="HPR425" s="15"/>
      <c r="HPS425" s="15"/>
      <c r="HPT425" s="15"/>
      <c r="HPU425" s="15"/>
      <c r="HPV425" s="15"/>
      <c r="HPW425" s="15"/>
      <c r="HPX425" s="15"/>
      <c r="HPY425" s="15"/>
      <c r="HPZ425" s="15"/>
      <c r="HQA425" s="15"/>
      <c r="HQB425" s="15"/>
      <c r="HQC425" s="15"/>
      <c r="HQD425" s="15"/>
      <c r="HQE425" s="15"/>
      <c r="HQF425" s="15"/>
      <c r="HQG425" s="15"/>
      <c r="HQH425" s="15"/>
      <c r="HQI425" s="15"/>
      <c r="HQJ425" s="15"/>
      <c r="HQK425" s="15"/>
      <c r="HQL425" s="15"/>
      <c r="HQM425" s="15"/>
      <c r="HQN425" s="15"/>
      <c r="HQO425" s="15"/>
      <c r="HQP425" s="15"/>
      <c r="HQQ425" s="15"/>
      <c r="HQR425" s="15"/>
      <c r="HQS425" s="15"/>
      <c r="HQT425" s="15"/>
      <c r="HQU425" s="15"/>
      <c r="HQV425" s="15"/>
      <c r="HQW425" s="15"/>
      <c r="HQX425" s="15"/>
      <c r="HQY425" s="15"/>
      <c r="HQZ425" s="15"/>
      <c r="HRA425" s="15"/>
      <c r="HRB425" s="15"/>
      <c r="HRC425" s="15"/>
      <c r="HRD425" s="15"/>
      <c r="HRE425" s="15"/>
      <c r="HRF425" s="15"/>
      <c r="HRG425" s="15"/>
      <c r="HRH425" s="15"/>
      <c r="HRI425" s="15"/>
      <c r="HRJ425" s="15"/>
      <c r="HRK425" s="15"/>
      <c r="HRL425" s="15"/>
      <c r="HRM425" s="15"/>
      <c r="HRN425" s="15"/>
      <c r="HRO425" s="15"/>
      <c r="HRP425" s="15"/>
      <c r="HRQ425" s="15"/>
      <c r="HRR425" s="15"/>
      <c r="HRS425" s="15"/>
      <c r="HRT425" s="15"/>
      <c r="HRU425" s="15"/>
      <c r="HRV425" s="15"/>
      <c r="HRW425" s="15"/>
      <c r="HRX425" s="15"/>
      <c r="HRY425" s="15"/>
      <c r="HRZ425" s="15"/>
      <c r="HSA425" s="15"/>
      <c r="HSB425" s="15"/>
      <c r="HSC425" s="15"/>
      <c r="HSD425" s="15"/>
      <c r="HSE425" s="15"/>
      <c r="HSF425" s="15"/>
      <c r="HSG425" s="15"/>
      <c r="HSH425" s="15"/>
      <c r="HSI425" s="15"/>
      <c r="HSJ425" s="15"/>
      <c r="HSK425" s="15"/>
      <c r="HSL425" s="15"/>
      <c r="HSM425" s="15"/>
      <c r="HSN425" s="15"/>
      <c r="HSO425" s="15"/>
      <c r="HSP425" s="15"/>
      <c r="HSQ425" s="15"/>
      <c r="HSR425" s="15"/>
      <c r="HSS425" s="15"/>
      <c r="HST425" s="15"/>
      <c r="HSU425" s="15"/>
      <c r="HSV425" s="15"/>
      <c r="HSW425" s="15"/>
      <c r="HSX425" s="15"/>
      <c r="HSY425" s="15"/>
      <c r="HSZ425" s="15"/>
      <c r="HTA425" s="15"/>
      <c r="HTB425" s="15"/>
      <c r="HTC425" s="15"/>
      <c r="HTD425" s="15"/>
      <c r="HTE425" s="15"/>
      <c r="HTF425" s="15"/>
      <c r="HTG425" s="15"/>
      <c r="HTH425" s="15"/>
      <c r="HTI425" s="15"/>
      <c r="HTJ425" s="15"/>
      <c r="HTK425" s="15"/>
      <c r="HTL425" s="15"/>
      <c r="HTM425" s="15"/>
      <c r="HTN425" s="15"/>
      <c r="HTO425" s="15"/>
      <c r="HTP425" s="15"/>
      <c r="HTQ425" s="15"/>
      <c r="HTR425" s="15"/>
      <c r="HTS425" s="15"/>
      <c r="HTT425" s="15"/>
      <c r="HTU425" s="15"/>
      <c r="HTV425" s="15"/>
      <c r="HTW425" s="15"/>
      <c r="HTX425" s="15"/>
      <c r="HTY425" s="15"/>
      <c r="HTZ425" s="15"/>
      <c r="HUA425" s="15"/>
      <c r="HUB425" s="15"/>
      <c r="HUC425" s="15"/>
      <c r="HUD425" s="15"/>
      <c r="HUE425" s="15"/>
      <c r="HUF425" s="15"/>
      <c r="HUG425" s="15"/>
      <c r="HUH425" s="15"/>
      <c r="HUI425" s="15"/>
      <c r="HUJ425" s="15"/>
      <c r="HUK425" s="15"/>
      <c r="HUL425" s="15"/>
      <c r="HUM425" s="15"/>
      <c r="HUN425" s="15"/>
      <c r="HUO425" s="15"/>
      <c r="HUP425" s="15"/>
      <c r="HUQ425" s="15"/>
      <c r="HUR425" s="15"/>
      <c r="HUS425" s="15"/>
      <c r="HUT425" s="15"/>
      <c r="HUU425" s="15"/>
      <c r="HUV425" s="15"/>
      <c r="HUW425" s="15"/>
      <c r="HUX425" s="15"/>
      <c r="HUY425" s="15"/>
      <c r="HUZ425" s="15"/>
      <c r="HVA425" s="15"/>
      <c r="HVB425" s="15"/>
      <c r="HVC425" s="15"/>
      <c r="HVD425" s="15"/>
      <c r="HVE425" s="15"/>
      <c r="HVF425" s="15"/>
      <c r="HVG425" s="15"/>
      <c r="HVH425" s="15"/>
      <c r="HVI425" s="15"/>
      <c r="HVJ425" s="15"/>
      <c r="HVK425" s="15"/>
      <c r="HVL425" s="15"/>
      <c r="HVM425" s="15"/>
      <c r="HVN425" s="15"/>
      <c r="HVO425" s="15"/>
      <c r="HVP425" s="15"/>
      <c r="HVQ425" s="15"/>
      <c r="HVR425" s="15"/>
      <c r="HVS425" s="15"/>
      <c r="HVT425" s="15"/>
      <c r="HVU425" s="15"/>
      <c r="HVV425" s="15"/>
      <c r="HVW425" s="15"/>
      <c r="HVX425" s="15"/>
      <c r="HVY425" s="15"/>
      <c r="HVZ425" s="15"/>
      <c r="HWA425" s="15"/>
      <c r="HWB425" s="15"/>
      <c r="HWC425" s="15"/>
      <c r="HWD425" s="15"/>
      <c r="HWE425" s="15"/>
      <c r="HWF425" s="15"/>
      <c r="HWG425" s="15"/>
      <c r="HWH425" s="15"/>
      <c r="HWI425" s="15"/>
      <c r="HWJ425" s="15"/>
      <c r="HWK425" s="15"/>
      <c r="HWL425" s="15"/>
      <c r="HWM425" s="15"/>
      <c r="HWN425" s="15"/>
      <c r="HWO425" s="15"/>
      <c r="HWP425" s="15"/>
      <c r="HWQ425" s="15"/>
      <c r="HWR425" s="15"/>
      <c r="HWS425" s="15"/>
      <c r="HWT425" s="15"/>
      <c r="HWU425" s="15"/>
      <c r="HWV425" s="15"/>
      <c r="HWW425" s="15"/>
      <c r="HWX425" s="15"/>
      <c r="HWY425" s="15"/>
      <c r="HWZ425" s="15"/>
      <c r="HXA425" s="15"/>
      <c r="HXB425" s="15"/>
      <c r="HXC425" s="15"/>
      <c r="HXD425" s="15"/>
      <c r="HXE425" s="15"/>
      <c r="HXF425" s="15"/>
      <c r="HXG425" s="15"/>
      <c r="HXH425" s="15"/>
      <c r="HXI425" s="15"/>
      <c r="HXJ425" s="15"/>
      <c r="HXK425" s="15"/>
      <c r="HXL425" s="15"/>
      <c r="HXM425" s="15"/>
      <c r="HXN425" s="15"/>
      <c r="HXO425" s="15"/>
      <c r="HXP425" s="15"/>
      <c r="HXQ425" s="15"/>
      <c r="HXR425" s="15"/>
      <c r="HXS425" s="15"/>
      <c r="HXT425" s="15"/>
      <c r="HXU425" s="15"/>
      <c r="HXV425" s="15"/>
      <c r="HXW425" s="15"/>
      <c r="HXX425" s="15"/>
      <c r="HXY425" s="15"/>
      <c r="HXZ425" s="15"/>
      <c r="HYA425" s="15"/>
      <c r="HYB425" s="15"/>
      <c r="HYC425" s="15"/>
      <c r="HYD425" s="15"/>
      <c r="HYE425" s="15"/>
      <c r="HYF425" s="15"/>
      <c r="HYG425" s="15"/>
      <c r="HYH425" s="15"/>
      <c r="HYI425" s="15"/>
      <c r="HYJ425" s="15"/>
      <c r="HYK425" s="15"/>
      <c r="HYL425" s="15"/>
      <c r="HYM425" s="15"/>
      <c r="HYN425" s="15"/>
      <c r="HYO425" s="15"/>
      <c r="HYP425" s="15"/>
      <c r="HYQ425" s="15"/>
      <c r="HYR425" s="15"/>
      <c r="HYS425" s="15"/>
      <c r="HYT425" s="15"/>
      <c r="HYU425" s="15"/>
      <c r="HYV425" s="15"/>
      <c r="HYW425" s="15"/>
      <c r="HYX425" s="15"/>
      <c r="HYY425" s="15"/>
      <c r="HYZ425" s="15"/>
      <c r="HZA425" s="15"/>
      <c r="HZB425" s="15"/>
      <c r="HZC425" s="15"/>
      <c r="HZD425" s="15"/>
      <c r="HZE425" s="15"/>
      <c r="HZF425" s="15"/>
      <c r="HZG425" s="15"/>
      <c r="HZH425" s="15"/>
      <c r="HZI425" s="15"/>
      <c r="HZJ425" s="15"/>
      <c r="HZK425" s="15"/>
      <c r="HZL425" s="15"/>
      <c r="HZM425" s="15"/>
      <c r="HZN425" s="15"/>
      <c r="HZO425" s="15"/>
      <c r="HZP425" s="15"/>
      <c r="HZQ425" s="15"/>
      <c r="HZR425" s="15"/>
      <c r="HZS425" s="15"/>
      <c r="HZT425" s="15"/>
      <c r="HZU425" s="15"/>
      <c r="HZV425" s="15"/>
      <c r="HZW425" s="15"/>
      <c r="HZX425" s="15"/>
      <c r="HZY425" s="15"/>
      <c r="HZZ425" s="15"/>
      <c r="IAA425" s="15"/>
      <c r="IAB425" s="15"/>
      <c r="IAC425" s="15"/>
      <c r="IAD425" s="15"/>
      <c r="IAE425" s="15"/>
      <c r="IAF425" s="15"/>
      <c r="IAG425" s="15"/>
      <c r="IAH425" s="15"/>
      <c r="IAI425" s="15"/>
      <c r="IAJ425" s="15"/>
      <c r="IAK425" s="15"/>
      <c r="IAL425" s="15"/>
      <c r="IAM425" s="15"/>
      <c r="IAN425" s="15"/>
      <c r="IAO425" s="15"/>
      <c r="IAP425" s="15"/>
      <c r="IAQ425" s="15"/>
      <c r="IAR425" s="15"/>
      <c r="IAS425" s="15"/>
      <c r="IAT425" s="15"/>
      <c r="IAU425" s="15"/>
      <c r="IAV425" s="15"/>
      <c r="IAW425" s="15"/>
      <c r="IAX425" s="15"/>
      <c r="IAY425" s="15"/>
      <c r="IAZ425" s="15"/>
      <c r="IBA425" s="15"/>
      <c r="IBB425" s="15"/>
      <c r="IBC425" s="15"/>
      <c r="IBD425" s="15"/>
      <c r="IBE425" s="15"/>
      <c r="IBF425" s="15"/>
      <c r="IBG425" s="15"/>
      <c r="IBH425" s="15"/>
      <c r="IBI425" s="15"/>
      <c r="IBJ425" s="15"/>
      <c r="IBK425" s="15"/>
      <c r="IBL425" s="15"/>
      <c r="IBM425" s="15"/>
      <c r="IBN425" s="15"/>
      <c r="IBO425" s="15"/>
      <c r="IBP425" s="15"/>
      <c r="IBQ425" s="15"/>
      <c r="IBR425" s="15"/>
      <c r="IBS425" s="15"/>
      <c r="IBT425" s="15"/>
      <c r="IBU425" s="15"/>
      <c r="IBV425" s="15"/>
      <c r="IBW425" s="15"/>
      <c r="IBX425" s="15"/>
      <c r="IBY425" s="15"/>
      <c r="IBZ425" s="15"/>
      <c r="ICA425" s="15"/>
      <c r="ICB425" s="15"/>
      <c r="ICC425" s="15"/>
      <c r="ICD425" s="15"/>
      <c r="ICE425" s="15"/>
      <c r="ICF425" s="15"/>
      <c r="ICG425" s="15"/>
      <c r="ICH425" s="15"/>
      <c r="ICI425" s="15"/>
      <c r="ICJ425" s="15"/>
      <c r="ICK425" s="15"/>
      <c r="ICL425" s="15"/>
      <c r="ICM425" s="15"/>
      <c r="ICN425" s="15"/>
      <c r="ICO425" s="15"/>
      <c r="ICP425" s="15"/>
      <c r="ICQ425" s="15"/>
      <c r="ICR425" s="15"/>
      <c r="ICS425" s="15"/>
      <c r="ICT425" s="15"/>
      <c r="ICU425" s="15"/>
      <c r="ICV425" s="15"/>
      <c r="ICW425" s="15"/>
      <c r="ICX425" s="15"/>
      <c r="ICY425" s="15"/>
      <c r="ICZ425" s="15"/>
      <c r="IDA425" s="15"/>
      <c r="IDB425" s="15"/>
      <c r="IDC425" s="15"/>
      <c r="IDD425" s="15"/>
      <c r="IDE425" s="15"/>
      <c r="IDF425" s="15"/>
      <c r="IDG425" s="15"/>
      <c r="IDH425" s="15"/>
      <c r="IDI425" s="15"/>
      <c r="IDJ425" s="15"/>
      <c r="IDK425" s="15"/>
      <c r="IDL425" s="15"/>
      <c r="IDM425" s="15"/>
      <c r="IDN425" s="15"/>
      <c r="IDO425" s="15"/>
      <c r="IDP425" s="15"/>
      <c r="IDQ425" s="15"/>
      <c r="IDR425" s="15"/>
      <c r="IDS425" s="15"/>
      <c r="IDT425" s="15"/>
      <c r="IDU425" s="15"/>
      <c r="IDV425" s="15"/>
      <c r="IDW425" s="15"/>
      <c r="IDX425" s="15"/>
      <c r="IDY425" s="15"/>
      <c r="IDZ425" s="15"/>
      <c r="IEA425" s="15"/>
      <c r="IEB425" s="15"/>
      <c r="IEC425" s="15"/>
      <c r="IED425" s="15"/>
      <c r="IEE425" s="15"/>
      <c r="IEF425" s="15"/>
      <c r="IEG425" s="15"/>
      <c r="IEH425" s="15"/>
      <c r="IEI425" s="15"/>
      <c r="IEJ425" s="15"/>
      <c r="IEK425" s="15"/>
      <c r="IEL425" s="15"/>
      <c r="IEM425" s="15"/>
      <c r="IEN425" s="15"/>
      <c r="IEO425" s="15"/>
      <c r="IEP425" s="15"/>
      <c r="IEQ425" s="15"/>
      <c r="IER425" s="15"/>
      <c r="IES425" s="15"/>
      <c r="IET425" s="15"/>
      <c r="IEU425" s="15"/>
      <c r="IEV425" s="15"/>
      <c r="IEW425" s="15"/>
      <c r="IEX425" s="15"/>
      <c r="IEY425" s="15"/>
      <c r="IEZ425" s="15"/>
      <c r="IFA425" s="15"/>
      <c r="IFB425" s="15"/>
      <c r="IFC425" s="15"/>
      <c r="IFD425" s="15"/>
      <c r="IFE425" s="15"/>
      <c r="IFF425" s="15"/>
      <c r="IFG425" s="15"/>
      <c r="IFH425" s="15"/>
      <c r="IFI425" s="15"/>
      <c r="IFJ425" s="15"/>
      <c r="IFK425" s="15"/>
      <c r="IFL425" s="15"/>
      <c r="IFM425" s="15"/>
      <c r="IFN425" s="15"/>
      <c r="IFO425" s="15"/>
      <c r="IFP425" s="15"/>
      <c r="IFQ425" s="15"/>
      <c r="IFR425" s="15"/>
      <c r="IFS425" s="15"/>
      <c r="IFT425" s="15"/>
      <c r="IFU425" s="15"/>
      <c r="IFV425" s="15"/>
      <c r="IFW425" s="15"/>
      <c r="IFX425" s="15"/>
      <c r="IFY425" s="15"/>
      <c r="IFZ425" s="15"/>
      <c r="IGA425" s="15"/>
      <c r="IGB425" s="15"/>
      <c r="IGC425" s="15"/>
      <c r="IGD425" s="15"/>
      <c r="IGE425" s="15"/>
      <c r="IGF425" s="15"/>
      <c r="IGG425" s="15"/>
      <c r="IGH425" s="15"/>
      <c r="IGI425" s="15"/>
      <c r="IGJ425" s="15"/>
      <c r="IGK425" s="15"/>
      <c r="IGL425" s="15"/>
      <c r="IGM425" s="15"/>
      <c r="IGN425" s="15"/>
      <c r="IGO425" s="15"/>
      <c r="IGP425" s="15"/>
      <c r="IGQ425" s="15"/>
      <c r="IGR425" s="15"/>
      <c r="IGS425" s="15"/>
      <c r="IGT425" s="15"/>
      <c r="IGU425" s="15"/>
      <c r="IGV425" s="15"/>
      <c r="IGW425" s="15"/>
      <c r="IGX425" s="15"/>
      <c r="IGY425" s="15"/>
      <c r="IGZ425" s="15"/>
      <c r="IHA425" s="15"/>
      <c r="IHB425" s="15"/>
      <c r="IHC425" s="15"/>
      <c r="IHD425" s="15"/>
      <c r="IHE425" s="15"/>
      <c r="IHF425" s="15"/>
      <c r="IHG425" s="15"/>
      <c r="IHH425" s="15"/>
      <c r="IHI425" s="15"/>
      <c r="IHJ425" s="15"/>
      <c r="IHK425" s="15"/>
      <c r="IHL425" s="15"/>
      <c r="IHM425" s="15"/>
      <c r="IHN425" s="15"/>
      <c r="IHO425" s="15"/>
      <c r="IHP425" s="15"/>
      <c r="IHQ425" s="15"/>
      <c r="IHR425" s="15"/>
      <c r="IHS425" s="15"/>
      <c r="IHT425" s="15"/>
      <c r="IHU425" s="15"/>
      <c r="IHV425" s="15"/>
      <c r="IHW425" s="15"/>
      <c r="IHX425" s="15"/>
      <c r="IHY425" s="15"/>
      <c r="IHZ425" s="15"/>
      <c r="IIA425" s="15"/>
      <c r="IIB425" s="15"/>
      <c r="IIC425" s="15"/>
      <c r="IID425" s="15"/>
      <c r="IIE425" s="15"/>
      <c r="IIF425" s="15"/>
      <c r="IIG425" s="15"/>
      <c r="IIH425" s="15"/>
      <c r="III425" s="15"/>
      <c r="IIJ425" s="15"/>
      <c r="IIK425" s="15"/>
      <c r="IIL425" s="15"/>
      <c r="IIM425" s="15"/>
      <c r="IIN425" s="15"/>
      <c r="IIO425" s="15"/>
      <c r="IIP425" s="15"/>
      <c r="IIQ425" s="15"/>
      <c r="IIR425" s="15"/>
      <c r="IIS425" s="15"/>
      <c r="IIT425" s="15"/>
      <c r="IIU425" s="15"/>
      <c r="IIV425" s="15"/>
      <c r="IIW425" s="15"/>
      <c r="IIX425" s="15"/>
      <c r="IIY425" s="15"/>
      <c r="IIZ425" s="15"/>
      <c r="IJA425" s="15"/>
      <c r="IJB425" s="15"/>
      <c r="IJC425" s="15"/>
      <c r="IJD425" s="15"/>
      <c r="IJE425" s="15"/>
      <c r="IJF425" s="15"/>
      <c r="IJG425" s="15"/>
      <c r="IJH425" s="15"/>
      <c r="IJI425" s="15"/>
      <c r="IJJ425" s="15"/>
      <c r="IJK425" s="15"/>
      <c r="IJL425" s="15"/>
      <c r="IJM425" s="15"/>
      <c r="IJN425" s="15"/>
      <c r="IJO425" s="15"/>
      <c r="IJP425" s="15"/>
      <c r="IJQ425" s="15"/>
      <c r="IJR425" s="15"/>
      <c r="IJS425" s="15"/>
      <c r="IJT425" s="15"/>
      <c r="IJU425" s="15"/>
      <c r="IJV425" s="15"/>
      <c r="IJW425" s="15"/>
      <c r="IJX425" s="15"/>
      <c r="IJY425" s="15"/>
      <c r="IJZ425" s="15"/>
      <c r="IKA425" s="15"/>
      <c r="IKB425" s="15"/>
      <c r="IKC425" s="15"/>
      <c r="IKD425" s="15"/>
      <c r="IKE425" s="15"/>
      <c r="IKF425" s="15"/>
      <c r="IKG425" s="15"/>
      <c r="IKH425" s="15"/>
      <c r="IKI425" s="15"/>
      <c r="IKJ425" s="15"/>
      <c r="IKK425" s="15"/>
      <c r="IKL425" s="15"/>
      <c r="IKM425" s="15"/>
      <c r="IKN425" s="15"/>
      <c r="IKO425" s="15"/>
      <c r="IKP425" s="15"/>
      <c r="IKQ425" s="15"/>
      <c r="IKR425" s="15"/>
      <c r="IKS425" s="15"/>
      <c r="IKT425" s="15"/>
      <c r="IKU425" s="15"/>
      <c r="IKV425" s="15"/>
      <c r="IKW425" s="15"/>
      <c r="IKX425" s="15"/>
      <c r="IKY425" s="15"/>
      <c r="IKZ425" s="15"/>
      <c r="ILA425" s="15"/>
      <c r="ILB425" s="15"/>
      <c r="ILC425" s="15"/>
      <c r="ILD425" s="15"/>
      <c r="ILE425" s="15"/>
      <c r="ILF425" s="15"/>
      <c r="ILG425" s="15"/>
      <c r="ILH425" s="15"/>
      <c r="ILI425" s="15"/>
      <c r="ILJ425" s="15"/>
      <c r="ILK425" s="15"/>
      <c r="ILL425" s="15"/>
      <c r="ILM425" s="15"/>
      <c r="ILN425" s="15"/>
      <c r="ILO425" s="15"/>
      <c r="ILP425" s="15"/>
      <c r="ILQ425" s="15"/>
      <c r="ILR425" s="15"/>
      <c r="ILS425" s="15"/>
      <c r="ILT425" s="15"/>
      <c r="ILU425" s="15"/>
      <c r="ILV425" s="15"/>
      <c r="ILW425" s="15"/>
      <c r="ILX425" s="15"/>
      <c r="ILY425" s="15"/>
      <c r="ILZ425" s="15"/>
      <c r="IMA425" s="15"/>
      <c r="IMB425" s="15"/>
      <c r="IMC425" s="15"/>
      <c r="IMD425" s="15"/>
      <c r="IME425" s="15"/>
      <c r="IMF425" s="15"/>
      <c r="IMG425" s="15"/>
      <c r="IMH425" s="15"/>
      <c r="IMI425" s="15"/>
      <c r="IMJ425" s="15"/>
      <c r="IMK425" s="15"/>
      <c r="IML425" s="15"/>
      <c r="IMM425" s="15"/>
      <c r="IMN425" s="15"/>
      <c r="IMO425" s="15"/>
      <c r="IMP425" s="15"/>
      <c r="IMQ425" s="15"/>
      <c r="IMR425" s="15"/>
      <c r="IMS425" s="15"/>
      <c r="IMT425" s="15"/>
      <c r="IMU425" s="15"/>
      <c r="IMV425" s="15"/>
      <c r="IMW425" s="15"/>
      <c r="IMX425" s="15"/>
      <c r="IMY425" s="15"/>
      <c r="IMZ425" s="15"/>
      <c r="INA425" s="15"/>
      <c r="INB425" s="15"/>
      <c r="INC425" s="15"/>
      <c r="IND425" s="15"/>
      <c r="INE425" s="15"/>
      <c r="INF425" s="15"/>
      <c r="ING425" s="15"/>
      <c r="INH425" s="15"/>
      <c r="INI425" s="15"/>
      <c r="INJ425" s="15"/>
      <c r="INK425" s="15"/>
      <c r="INL425" s="15"/>
      <c r="INM425" s="15"/>
      <c r="INN425" s="15"/>
      <c r="INO425" s="15"/>
      <c r="INP425" s="15"/>
      <c r="INQ425" s="15"/>
      <c r="INR425" s="15"/>
      <c r="INS425" s="15"/>
      <c r="INT425" s="15"/>
      <c r="INU425" s="15"/>
      <c r="INV425" s="15"/>
      <c r="INW425" s="15"/>
      <c r="INX425" s="15"/>
      <c r="INY425" s="15"/>
      <c r="INZ425" s="15"/>
      <c r="IOA425" s="15"/>
      <c r="IOB425" s="15"/>
      <c r="IOC425" s="15"/>
      <c r="IOD425" s="15"/>
      <c r="IOE425" s="15"/>
      <c r="IOF425" s="15"/>
      <c r="IOG425" s="15"/>
      <c r="IOH425" s="15"/>
      <c r="IOI425" s="15"/>
      <c r="IOJ425" s="15"/>
      <c r="IOK425" s="15"/>
      <c r="IOL425" s="15"/>
      <c r="IOM425" s="15"/>
      <c r="ION425" s="15"/>
      <c r="IOO425" s="15"/>
      <c r="IOP425" s="15"/>
      <c r="IOQ425" s="15"/>
      <c r="IOR425" s="15"/>
      <c r="IOS425" s="15"/>
      <c r="IOT425" s="15"/>
      <c r="IOU425" s="15"/>
      <c r="IOV425" s="15"/>
      <c r="IOW425" s="15"/>
      <c r="IOX425" s="15"/>
      <c r="IOY425" s="15"/>
      <c r="IOZ425" s="15"/>
      <c r="IPA425" s="15"/>
      <c r="IPB425" s="15"/>
      <c r="IPC425" s="15"/>
      <c r="IPD425" s="15"/>
      <c r="IPE425" s="15"/>
      <c r="IPF425" s="15"/>
      <c r="IPG425" s="15"/>
      <c r="IPH425" s="15"/>
      <c r="IPI425" s="15"/>
      <c r="IPJ425" s="15"/>
      <c r="IPK425" s="15"/>
      <c r="IPL425" s="15"/>
      <c r="IPM425" s="15"/>
      <c r="IPN425" s="15"/>
      <c r="IPO425" s="15"/>
      <c r="IPP425" s="15"/>
      <c r="IPQ425" s="15"/>
      <c r="IPR425" s="15"/>
      <c r="IPS425" s="15"/>
      <c r="IPT425" s="15"/>
      <c r="IPU425" s="15"/>
      <c r="IPV425" s="15"/>
      <c r="IPW425" s="15"/>
      <c r="IPX425" s="15"/>
      <c r="IPY425" s="15"/>
      <c r="IPZ425" s="15"/>
      <c r="IQA425" s="15"/>
      <c r="IQB425" s="15"/>
      <c r="IQC425" s="15"/>
      <c r="IQD425" s="15"/>
      <c r="IQE425" s="15"/>
      <c r="IQF425" s="15"/>
      <c r="IQG425" s="15"/>
      <c r="IQH425" s="15"/>
      <c r="IQI425" s="15"/>
      <c r="IQJ425" s="15"/>
      <c r="IQK425" s="15"/>
      <c r="IQL425" s="15"/>
      <c r="IQM425" s="15"/>
      <c r="IQN425" s="15"/>
      <c r="IQO425" s="15"/>
      <c r="IQP425" s="15"/>
      <c r="IQQ425" s="15"/>
      <c r="IQR425" s="15"/>
      <c r="IQS425" s="15"/>
      <c r="IQT425" s="15"/>
      <c r="IQU425" s="15"/>
      <c r="IQV425" s="15"/>
      <c r="IQW425" s="15"/>
      <c r="IQX425" s="15"/>
      <c r="IQY425" s="15"/>
      <c r="IQZ425" s="15"/>
      <c r="IRA425" s="15"/>
      <c r="IRB425" s="15"/>
      <c r="IRC425" s="15"/>
      <c r="IRD425" s="15"/>
      <c r="IRE425" s="15"/>
      <c r="IRF425" s="15"/>
      <c r="IRG425" s="15"/>
      <c r="IRH425" s="15"/>
      <c r="IRI425" s="15"/>
      <c r="IRJ425" s="15"/>
      <c r="IRK425" s="15"/>
      <c r="IRL425" s="15"/>
      <c r="IRM425" s="15"/>
      <c r="IRN425" s="15"/>
      <c r="IRO425" s="15"/>
      <c r="IRP425" s="15"/>
      <c r="IRQ425" s="15"/>
      <c r="IRR425" s="15"/>
      <c r="IRS425" s="15"/>
      <c r="IRT425" s="15"/>
      <c r="IRU425" s="15"/>
      <c r="IRV425" s="15"/>
      <c r="IRW425" s="15"/>
      <c r="IRX425" s="15"/>
      <c r="IRY425" s="15"/>
      <c r="IRZ425" s="15"/>
      <c r="ISA425" s="15"/>
      <c r="ISB425" s="15"/>
      <c r="ISC425" s="15"/>
      <c r="ISD425" s="15"/>
      <c r="ISE425" s="15"/>
      <c r="ISF425" s="15"/>
      <c r="ISG425" s="15"/>
      <c r="ISH425" s="15"/>
      <c r="ISI425" s="15"/>
      <c r="ISJ425" s="15"/>
      <c r="ISK425" s="15"/>
      <c r="ISL425" s="15"/>
      <c r="ISM425" s="15"/>
      <c r="ISN425" s="15"/>
      <c r="ISO425" s="15"/>
      <c r="ISP425" s="15"/>
      <c r="ISQ425" s="15"/>
      <c r="ISR425" s="15"/>
      <c r="ISS425" s="15"/>
      <c r="IST425" s="15"/>
      <c r="ISU425" s="15"/>
      <c r="ISV425" s="15"/>
      <c r="ISW425" s="15"/>
      <c r="ISX425" s="15"/>
      <c r="ISY425" s="15"/>
      <c r="ISZ425" s="15"/>
      <c r="ITA425" s="15"/>
      <c r="ITB425" s="15"/>
      <c r="ITC425" s="15"/>
      <c r="ITD425" s="15"/>
      <c r="ITE425" s="15"/>
      <c r="ITF425" s="15"/>
      <c r="ITG425" s="15"/>
      <c r="ITH425" s="15"/>
      <c r="ITI425" s="15"/>
      <c r="ITJ425" s="15"/>
      <c r="ITK425" s="15"/>
      <c r="ITL425" s="15"/>
      <c r="ITM425" s="15"/>
      <c r="ITN425" s="15"/>
      <c r="ITO425" s="15"/>
      <c r="ITP425" s="15"/>
      <c r="ITQ425" s="15"/>
      <c r="ITR425" s="15"/>
      <c r="ITS425" s="15"/>
      <c r="ITT425" s="15"/>
      <c r="ITU425" s="15"/>
      <c r="ITV425" s="15"/>
      <c r="ITW425" s="15"/>
      <c r="ITX425" s="15"/>
      <c r="ITY425" s="15"/>
      <c r="ITZ425" s="15"/>
      <c r="IUA425" s="15"/>
      <c r="IUB425" s="15"/>
      <c r="IUC425" s="15"/>
      <c r="IUD425" s="15"/>
      <c r="IUE425" s="15"/>
      <c r="IUF425" s="15"/>
      <c r="IUG425" s="15"/>
      <c r="IUH425" s="15"/>
      <c r="IUI425" s="15"/>
      <c r="IUJ425" s="15"/>
      <c r="IUK425" s="15"/>
      <c r="IUL425" s="15"/>
      <c r="IUM425" s="15"/>
      <c r="IUN425" s="15"/>
      <c r="IUO425" s="15"/>
      <c r="IUP425" s="15"/>
      <c r="IUQ425" s="15"/>
      <c r="IUR425" s="15"/>
      <c r="IUS425" s="15"/>
      <c r="IUT425" s="15"/>
      <c r="IUU425" s="15"/>
      <c r="IUV425" s="15"/>
      <c r="IUW425" s="15"/>
      <c r="IUX425" s="15"/>
      <c r="IUY425" s="15"/>
      <c r="IUZ425" s="15"/>
      <c r="IVA425" s="15"/>
      <c r="IVB425" s="15"/>
      <c r="IVC425" s="15"/>
      <c r="IVD425" s="15"/>
      <c r="IVE425" s="15"/>
      <c r="IVF425" s="15"/>
      <c r="IVG425" s="15"/>
      <c r="IVH425" s="15"/>
      <c r="IVI425" s="15"/>
      <c r="IVJ425" s="15"/>
      <c r="IVK425" s="15"/>
      <c r="IVL425" s="15"/>
      <c r="IVM425" s="15"/>
      <c r="IVN425" s="15"/>
      <c r="IVO425" s="15"/>
      <c r="IVP425" s="15"/>
      <c r="IVQ425" s="15"/>
      <c r="IVR425" s="15"/>
      <c r="IVS425" s="15"/>
      <c r="IVT425" s="15"/>
      <c r="IVU425" s="15"/>
      <c r="IVV425" s="15"/>
      <c r="IVW425" s="15"/>
      <c r="IVX425" s="15"/>
      <c r="IVY425" s="15"/>
      <c r="IVZ425" s="15"/>
      <c r="IWA425" s="15"/>
      <c r="IWB425" s="15"/>
      <c r="IWC425" s="15"/>
      <c r="IWD425" s="15"/>
      <c r="IWE425" s="15"/>
      <c r="IWF425" s="15"/>
      <c r="IWG425" s="15"/>
      <c r="IWH425" s="15"/>
      <c r="IWI425" s="15"/>
      <c r="IWJ425" s="15"/>
      <c r="IWK425" s="15"/>
      <c r="IWL425" s="15"/>
      <c r="IWM425" s="15"/>
      <c r="IWN425" s="15"/>
      <c r="IWO425" s="15"/>
      <c r="IWP425" s="15"/>
      <c r="IWQ425" s="15"/>
      <c r="IWR425" s="15"/>
      <c r="IWS425" s="15"/>
      <c r="IWT425" s="15"/>
      <c r="IWU425" s="15"/>
      <c r="IWV425" s="15"/>
      <c r="IWW425" s="15"/>
      <c r="IWX425" s="15"/>
      <c r="IWY425" s="15"/>
      <c r="IWZ425" s="15"/>
      <c r="IXA425" s="15"/>
      <c r="IXB425" s="15"/>
      <c r="IXC425" s="15"/>
      <c r="IXD425" s="15"/>
      <c r="IXE425" s="15"/>
      <c r="IXF425" s="15"/>
      <c r="IXG425" s="15"/>
      <c r="IXH425" s="15"/>
      <c r="IXI425" s="15"/>
      <c r="IXJ425" s="15"/>
      <c r="IXK425" s="15"/>
      <c r="IXL425" s="15"/>
      <c r="IXM425" s="15"/>
      <c r="IXN425" s="15"/>
      <c r="IXO425" s="15"/>
      <c r="IXP425" s="15"/>
      <c r="IXQ425" s="15"/>
      <c r="IXR425" s="15"/>
      <c r="IXS425" s="15"/>
      <c r="IXT425" s="15"/>
      <c r="IXU425" s="15"/>
      <c r="IXV425" s="15"/>
      <c r="IXW425" s="15"/>
      <c r="IXX425" s="15"/>
      <c r="IXY425" s="15"/>
      <c r="IXZ425" s="15"/>
      <c r="IYA425" s="15"/>
      <c r="IYB425" s="15"/>
      <c r="IYC425" s="15"/>
      <c r="IYD425" s="15"/>
      <c r="IYE425" s="15"/>
      <c r="IYF425" s="15"/>
      <c r="IYG425" s="15"/>
      <c r="IYH425" s="15"/>
      <c r="IYI425" s="15"/>
      <c r="IYJ425" s="15"/>
      <c r="IYK425" s="15"/>
      <c r="IYL425" s="15"/>
      <c r="IYM425" s="15"/>
      <c r="IYN425" s="15"/>
      <c r="IYO425" s="15"/>
      <c r="IYP425" s="15"/>
      <c r="IYQ425" s="15"/>
      <c r="IYR425" s="15"/>
      <c r="IYS425" s="15"/>
      <c r="IYT425" s="15"/>
      <c r="IYU425" s="15"/>
      <c r="IYV425" s="15"/>
      <c r="IYW425" s="15"/>
      <c r="IYX425" s="15"/>
      <c r="IYY425" s="15"/>
      <c r="IYZ425" s="15"/>
      <c r="IZA425" s="15"/>
      <c r="IZB425" s="15"/>
      <c r="IZC425" s="15"/>
      <c r="IZD425" s="15"/>
      <c r="IZE425" s="15"/>
      <c r="IZF425" s="15"/>
      <c r="IZG425" s="15"/>
      <c r="IZH425" s="15"/>
      <c r="IZI425" s="15"/>
      <c r="IZJ425" s="15"/>
      <c r="IZK425" s="15"/>
      <c r="IZL425" s="15"/>
      <c r="IZM425" s="15"/>
      <c r="IZN425" s="15"/>
      <c r="IZO425" s="15"/>
      <c r="IZP425" s="15"/>
      <c r="IZQ425" s="15"/>
      <c r="IZR425" s="15"/>
      <c r="IZS425" s="15"/>
      <c r="IZT425" s="15"/>
      <c r="IZU425" s="15"/>
      <c r="IZV425" s="15"/>
      <c r="IZW425" s="15"/>
      <c r="IZX425" s="15"/>
      <c r="IZY425" s="15"/>
      <c r="IZZ425" s="15"/>
      <c r="JAA425" s="15"/>
      <c r="JAB425" s="15"/>
      <c r="JAC425" s="15"/>
      <c r="JAD425" s="15"/>
      <c r="JAE425" s="15"/>
      <c r="JAF425" s="15"/>
      <c r="JAG425" s="15"/>
      <c r="JAH425" s="15"/>
      <c r="JAI425" s="15"/>
      <c r="JAJ425" s="15"/>
      <c r="JAK425" s="15"/>
      <c r="JAL425" s="15"/>
      <c r="JAM425" s="15"/>
      <c r="JAN425" s="15"/>
      <c r="JAO425" s="15"/>
      <c r="JAP425" s="15"/>
      <c r="JAQ425" s="15"/>
      <c r="JAR425" s="15"/>
      <c r="JAS425" s="15"/>
      <c r="JAT425" s="15"/>
      <c r="JAU425" s="15"/>
      <c r="JAV425" s="15"/>
      <c r="JAW425" s="15"/>
      <c r="JAX425" s="15"/>
      <c r="JAY425" s="15"/>
      <c r="JAZ425" s="15"/>
      <c r="JBA425" s="15"/>
      <c r="JBB425" s="15"/>
      <c r="JBC425" s="15"/>
      <c r="JBD425" s="15"/>
      <c r="JBE425" s="15"/>
      <c r="JBF425" s="15"/>
      <c r="JBG425" s="15"/>
      <c r="JBH425" s="15"/>
      <c r="JBI425" s="15"/>
      <c r="JBJ425" s="15"/>
      <c r="JBK425" s="15"/>
      <c r="JBL425" s="15"/>
      <c r="JBM425" s="15"/>
      <c r="JBN425" s="15"/>
      <c r="JBO425" s="15"/>
      <c r="JBP425" s="15"/>
      <c r="JBQ425" s="15"/>
      <c r="JBR425" s="15"/>
      <c r="JBS425" s="15"/>
      <c r="JBT425" s="15"/>
      <c r="JBU425" s="15"/>
      <c r="JBV425" s="15"/>
      <c r="JBW425" s="15"/>
      <c r="JBX425" s="15"/>
      <c r="JBY425" s="15"/>
      <c r="JBZ425" s="15"/>
      <c r="JCA425" s="15"/>
      <c r="JCB425" s="15"/>
      <c r="JCC425" s="15"/>
      <c r="JCD425" s="15"/>
      <c r="JCE425" s="15"/>
      <c r="JCF425" s="15"/>
      <c r="JCG425" s="15"/>
      <c r="JCH425" s="15"/>
      <c r="JCI425" s="15"/>
      <c r="JCJ425" s="15"/>
      <c r="JCK425" s="15"/>
      <c r="JCL425" s="15"/>
      <c r="JCM425" s="15"/>
      <c r="JCN425" s="15"/>
      <c r="JCO425" s="15"/>
      <c r="JCP425" s="15"/>
      <c r="JCQ425" s="15"/>
      <c r="JCR425" s="15"/>
      <c r="JCS425" s="15"/>
      <c r="JCT425" s="15"/>
      <c r="JCU425" s="15"/>
      <c r="JCV425" s="15"/>
      <c r="JCW425" s="15"/>
      <c r="JCX425" s="15"/>
      <c r="JCY425" s="15"/>
      <c r="JCZ425" s="15"/>
      <c r="JDA425" s="15"/>
      <c r="JDB425" s="15"/>
      <c r="JDC425" s="15"/>
      <c r="JDD425" s="15"/>
      <c r="JDE425" s="15"/>
      <c r="JDF425" s="15"/>
      <c r="JDG425" s="15"/>
      <c r="JDH425" s="15"/>
      <c r="JDI425" s="15"/>
      <c r="JDJ425" s="15"/>
      <c r="JDK425" s="15"/>
      <c r="JDL425" s="15"/>
      <c r="JDM425" s="15"/>
      <c r="JDN425" s="15"/>
      <c r="JDO425" s="15"/>
      <c r="JDP425" s="15"/>
      <c r="JDQ425" s="15"/>
      <c r="JDR425" s="15"/>
      <c r="JDS425" s="15"/>
      <c r="JDT425" s="15"/>
      <c r="JDU425" s="15"/>
      <c r="JDV425" s="15"/>
      <c r="JDW425" s="15"/>
      <c r="JDX425" s="15"/>
      <c r="JDY425" s="15"/>
      <c r="JDZ425" s="15"/>
      <c r="JEA425" s="15"/>
      <c r="JEB425" s="15"/>
      <c r="JEC425" s="15"/>
      <c r="JED425" s="15"/>
      <c r="JEE425" s="15"/>
      <c r="JEF425" s="15"/>
      <c r="JEG425" s="15"/>
      <c r="JEH425" s="15"/>
      <c r="JEI425" s="15"/>
      <c r="JEJ425" s="15"/>
      <c r="JEK425" s="15"/>
      <c r="JEL425" s="15"/>
      <c r="JEM425" s="15"/>
      <c r="JEN425" s="15"/>
      <c r="JEO425" s="15"/>
      <c r="JEP425" s="15"/>
      <c r="JEQ425" s="15"/>
      <c r="JER425" s="15"/>
      <c r="JES425" s="15"/>
      <c r="JET425" s="15"/>
      <c r="JEU425" s="15"/>
      <c r="JEV425" s="15"/>
      <c r="JEW425" s="15"/>
      <c r="JEX425" s="15"/>
      <c r="JEY425" s="15"/>
      <c r="JEZ425" s="15"/>
      <c r="JFA425" s="15"/>
      <c r="JFB425" s="15"/>
      <c r="JFC425" s="15"/>
      <c r="JFD425" s="15"/>
      <c r="JFE425" s="15"/>
      <c r="JFF425" s="15"/>
      <c r="JFG425" s="15"/>
      <c r="JFH425" s="15"/>
      <c r="JFI425" s="15"/>
      <c r="JFJ425" s="15"/>
      <c r="JFK425" s="15"/>
      <c r="JFL425" s="15"/>
      <c r="JFM425" s="15"/>
      <c r="JFN425" s="15"/>
      <c r="JFO425" s="15"/>
      <c r="JFP425" s="15"/>
      <c r="JFQ425" s="15"/>
      <c r="JFR425" s="15"/>
      <c r="JFS425" s="15"/>
      <c r="JFT425" s="15"/>
      <c r="JFU425" s="15"/>
      <c r="JFV425" s="15"/>
      <c r="JFW425" s="15"/>
      <c r="JFX425" s="15"/>
      <c r="JFY425" s="15"/>
      <c r="JFZ425" s="15"/>
      <c r="JGA425" s="15"/>
      <c r="JGB425" s="15"/>
      <c r="JGC425" s="15"/>
      <c r="JGD425" s="15"/>
      <c r="JGE425" s="15"/>
      <c r="JGF425" s="15"/>
      <c r="JGG425" s="15"/>
      <c r="JGH425" s="15"/>
      <c r="JGI425" s="15"/>
      <c r="JGJ425" s="15"/>
      <c r="JGK425" s="15"/>
      <c r="JGL425" s="15"/>
      <c r="JGM425" s="15"/>
      <c r="JGN425" s="15"/>
      <c r="JGO425" s="15"/>
      <c r="JGP425" s="15"/>
      <c r="JGQ425" s="15"/>
      <c r="JGR425" s="15"/>
      <c r="JGS425" s="15"/>
      <c r="JGT425" s="15"/>
      <c r="JGU425" s="15"/>
      <c r="JGV425" s="15"/>
      <c r="JGW425" s="15"/>
      <c r="JGX425" s="15"/>
      <c r="JGY425" s="15"/>
      <c r="JGZ425" s="15"/>
      <c r="JHA425" s="15"/>
      <c r="JHB425" s="15"/>
      <c r="JHC425" s="15"/>
      <c r="JHD425" s="15"/>
      <c r="JHE425" s="15"/>
      <c r="JHF425" s="15"/>
      <c r="JHG425" s="15"/>
      <c r="JHH425" s="15"/>
      <c r="JHI425" s="15"/>
      <c r="JHJ425" s="15"/>
      <c r="JHK425" s="15"/>
      <c r="JHL425" s="15"/>
      <c r="JHM425" s="15"/>
      <c r="JHN425" s="15"/>
      <c r="JHO425" s="15"/>
      <c r="JHP425" s="15"/>
      <c r="JHQ425" s="15"/>
      <c r="JHR425" s="15"/>
      <c r="JHS425" s="15"/>
      <c r="JHT425" s="15"/>
      <c r="JHU425" s="15"/>
      <c r="JHV425" s="15"/>
      <c r="JHW425" s="15"/>
      <c r="JHX425" s="15"/>
      <c r="JHY425" s="15"/>
      <c r="JHZ425" s="15"/>
      <c r="JIA425" s="15"/>
      <c r="JIB425" s="15"/>
      <c r="JIC425" s="15"/>
      <c r="JID425" s="15"/>
      <c r="JIE425" s="15"/>
      <c r="JIF425" s="15"/>
      <c r="JIG425" s="15"/>
      <c r="JIH425" s="15"/>
      <c r="JII425" s="15"/>
      <c r="JIJ425" s="15"/>
      <c r="JIK425" s="15"/>
      <c r="JIL425" s="15"/>
      <c r="JIM425" s="15"/>
      <c r="JIN425" s="15"/>
      <c r="JIO425" s="15"/>
      <c r="JIP425" s="15"/>
      <c r="JIQ425" s="15"/>
      <c r="JIR425" s="15"/>
      <c r="JIS425" s="15"/>
      <c r="JIT425" s="15"/>
      <c r="JIU425" s="15"/>
      <c r="JIV425" s="15"/>
      <c r="JIW425" s="15"/>
      <c r="JIX425" s="15"/>
      <c r="JIY425" s="15"/>
      <c r="JIZ425" s="15"/>
      <c r="JJA425" s="15"/>
      <c r="JJB425" s="15"/>
      <c r="JJC425" s="15"/>
      <c r="JJD425" s="15"/>
      <c r="JJE425" s="15"/>
      <c r="JJF425" s="15"/>
      <c r="JJG425" s="15"/>
      <c r="JJH425" s="15"/>
      <c r="JJI425" s="15"/>
      <c r="JJJ425" s="15"/>
      <c r="JJK425" s="15"/>
      <c r="JJL425" s="15"/>
      <c r="JJM425" s="15"/>
      <c r="JJN425" s="15"/>
      <c r="JJO425" s="15"/>
      <c r="JJP425" s="15"/>
      <c r="JJQ425" s="15"/>
      <c r="JJR425" s="15"/>
      <c r="JJS425" s="15"/>
      <c r="JJT425" s="15"/>
      <c r="JJU425" s="15"/>
      <c r="JJV425" s="15"/>
      <c r="JJW425" s="15"/>
      <c r="JJX425" s="15"/>
      <c r="JJY425" s="15"/>
      <c r="JJZ425" s="15"/>
      <c r="JKA425" s="15"/>
      <c r="JKB425" s="15"/>
      <c r="JKC425" s="15"/>
      <c r="JKD425" s="15"/>
      <c r="JKE425" s="15"/>
      <c r="JKF425" s="15"/>
      <c r="JKG425" s="15"/>
      <c r="JKH425" s="15"/>
      <c r="JKI425" s="15"/>
      <c r="JKJ425" s="15"/>
      <c r="JKK425" s="15"/>
      <c r="JKL425" s="15"/>
      <c r="JKM425" s="15"/>
      <c r="JKN425" s="15"/>
      <c r="JKO425" s="15"/>
      <c r="JKP425" s="15"/>
      <c r="JKQ425" s="15"/>
      <c r="JKR425" s="15"/>
      <c r="JKS425" s="15"/>
      <c r="JKT425" s="15"/>
      <c r="JKU425" s="15"/>
      <c r="JKV425" s="15"/>
      <c r="JKW425" s="15"/>
      <c r="JKX425" s="15"/>
      <c r="JKY425" s="15"/>
      <c r="JKZ425" s="15"/>
      <c r="JLA425" s="15"/>
      <c r="JLB425" s="15"/>
      <c r="JLC425" s="15"/>
      <c r="JLD425" s="15"/>
      <c r="JLE425" s="15"/>
      <c r="JLF425" s="15"/>
      <c r="JLG425" s="15"/>
      <c r="JLH425" s="15"/>
      <c r="JLI425" s="15"/>
      <c r="JLJ425" s="15"/>
      <c r="JLK425" s="15"/>
      <c r="JLL425" s="15"/>
      <c r="JLM425" s="15"/>
      <c r="JLN425" s="15"/>
      <c r="JLO425" s="15"/>
      <c r="JLP425" s="15"/>
      <c r="JLQ425" s="15"/>
      <c r="JLR425" s="15"/>
      <c r="JLS425" s="15"/>
      <c r="JLT425" s="15"/>
      <c r="JLU425" s="15"/>
      <c r="JLV425" s="15"/>
      <c r="JLW425" s="15"/>
      <c r="JLX425" s="15"/>
      <c r="JLY425" s="15"/>
      <c r="JLZ425" s="15"/>
      <c r="JMA425" s="15"/>
      <c r="JMB425" s="15"/>
      <c r="JMC425" s="15"/>
      <c r="JMD425" s="15"/>
      <c r="JME425" s="15"/>
      <c r="JMF425" s="15"/>
      <c r="JMG425" s="15"/>
      <c r="JMH425" s="15"/>
      <c r="JMI425" s="15"/>
      <c r="JMJ425" s="15"/>
      <c r="JMK425" s="15"/>
      <c r="JML425" s="15"/>
      <c r="JMM425" s="15"/>
      <c r="JMN425" s="15"/>
      <c r="JMO425" s="15"/>
      <c r="JMP425" s="15"/>
      <c r="JMQ425" s="15"/>
      <c r="JMR425" s="15"/>
      <c r="JMS425" s="15"/>
      <c r="JMT425" s="15"/>
      <c r="JMU425" s="15"/>
      <c r="JMV425" s="15"/>
      <c r="JMW425" s="15"/>
      <c r="JMX425" s="15"/>
      <c r="JMY425" s="15"/>
      <c r="JMZ425" s="15"/>
      <c r="JNA425" s="15"/>
      <c r="JNB425" s="15"/>
      <c r="JNC425" s="15"/>
      <c r="JND425" s="15"/>
      <c r="JNE425" s="15"/>
      <c r="JNF425" s="15"/>
      <c r="JNG425" s="15"/>
      <c r="JNH425" s="15"/>
      <c r="JNI425" s="15"/>
      <c r="JNJ425" s="15"/>
      <c r="JNK425" s="15"/>
      <c r="JNL425" s="15"/>
      <c r="JNM425" s="15"/>
      <c r="JNN425" s="15"/>
      <c r="JNO425" s="15"/>
      <c r="JNP425" s="15"/>
      <c r="JNQ425" s="15"/>
      <c r="JNR425" s="15"/>
      <c r="JNS425" s="15"/>
      <c r="JNT425" s="15"/>
      <c r="JNU425" s="15"/>
      <c r="JNV425" s="15"/>
      <c r="JNW425" s="15"/>
      <c r="JNX425" s="15"/>
      <c r="JNY425" s="15"/>
      <c r="JNZ425" s="15"/>
      <c r="JOA425" s="15"/>
      <c r="JOB425" s="15"/>
      <c r="JOC425" s="15"/>
      <c r="JOD425" s="15"/>
      <c r="JOE425" s="15"/>
      <c r="JOF425" s="15"/>
      <c r="JOG425" s="15"/>
      <c r="JOH425" s="15"/>
      <c r="JOI425" s="15"/>
      <c r="JOJ425" s="15"/>
      <c r="JOK425" s="15"/>
      <c r="JOL425" s="15"/>
      <c r="JOM425" s="15"/>
      <c r="JON425" s="15"/>
      <c r="JOO425" s="15"/>
      <c r="JOP425" s="15"/>
      <c r="JOQ425" s="15"/>
      <c r="JOR425" s="15"/>
      <c r="JOS425" s="15"/>
      <c r="JOT425" s="15"/>
      <c r="JOU425" s="15"/>
      <c r="JOV425" s="15"/>
      <c r="JOW425" s="15"/>
      <c r="JOX425" s="15"/>
      <c r="JOY425" s="15"/>
      <c r="JOZ425" s="15"/>
      <c r="JPA425" s="15"/>
      <c r="JPB425" s="15"/>
      <c r="JPC425" s="15"/>
      <c r="JPD425" s="15"/>
      <c r="JPE425" s="15"/>
      <c r="JPF425" s="15"/>
      <c r="JPG425" s="15"/>
      <c r="JPH425" s="15"/>
      <c r="JPI425" s="15"/>
      <c r="JPJ425" s="15"/>
      <c r="JPK425" s="15"/>
      <c r="JPL425" s="15"/>
      <c r="JPM425" s="15"/>
      <c r="JPN425" s="15"/>
      <c r="JPO425" s="15"/>
      <c r="JPP425" s="15"/>
      <c r="JPQ425" s="15"/>
      <c r="JPR425" s="15"/>
      <c r="JPS425" s="15"/>
      <c r="JPT425" s="15"/>
      <c r="JPU425" s="15"/>
      <c r="JPV425" s="15"/>
      <c r="JPW425" s="15"/>
      <c r="JPX425" s="15"/>
      <c r="JPY425" s="15"/>
      <c r="JPZ425" s="15"/>
      <c r="JQA425" s="15"/>
      <c r="JQB425" s="15"/>
      <c r="JQC425" s="15"/>
      <c r="JQD425" s="15"/>
      <c r="JQE425" s="15"/>
      <c r="JQF425" s="15"/>
      <c r="JQG425" s="15"/>
      <c r="JQH425" s="15"/>
      <c r="JQI425" s="15"/>
      <c r="JQJ425" s="15"/>
      <c r="JQK425" s="15"/>
      <c r="JQL425" s="15"/>
      <c r="JQM425" s="15"/>
      <c r="JQN425" s="15"/>
      <c r="JQO425" s="15"/>
      <c r="JQP425" s="15"/>
      <c r="JQQ425" s="15"/>
      <c r="JQR425" s="15"/>
      <c r="JQS425" s="15"/>
      <c r="JQT425" s="15"/>
      <c r="JQU425" s="15"/>
      <c r="JQV425" s="15"/>
      <c r="JQW425" s="15"/>
      <c r="JQX425" s="15"/>
      <c r="JQY425" s="15"/>
      <c r="JQZ425" s="15"/>
      <c r="JRA425" s="15"/>
      <c r="JRB425" s="15"/>
      <c r="JRC425" s="15"/>
      <c r="JRD425" s="15"/>
      <c r="JRE425" s="15"/>
      <c r="JRF425" s="15"/>
      <c r="JRG425" s="15"/>
      <c r="JRH425" s="15"/>
      <c r="JRI425" s="15"/>
      <c r="JRJ425" s="15"/>
      <c r="JRK425" s="15"/>
      <c r="JRL425" s="15"/>
      <c r="JRM425" s="15"/>
      <c r="JRN425" s="15"/>
      <c r="JRO425" s="15"/>
      <c r="JRP425" s="15"/>
      <c r="JRQ425" s="15"/>
      <c r="JRR425" s="15"/>
      <c r="JRS425" s="15"/>
      <c r="JRT425" s="15"/>
      <c r="JRU425" s="15"/>
      <c r="JRV425" s="15"/>
      <c r="JRW425" s="15"/>
      <c r="JRX425" s="15"/>
      <c r="JRY425" s="15"/>
      <c r="JRZ425" s="15"/>
      <c r="JSA425" s="15"/>
      <c r="JSB425" s="15"/>
      <c r="JSC425" s="15"/>
      <c r="JSD425" s="15"/>
      <c r="JSE425" s="15"/>
      <c r="JSF425" s="15"/>
      <c r="JSG425" s="15"/>
      <c r="JSH425" s="15"/>
      <c r="JSI425" s="15"/>
      <c r="JSJ425" s="15"/>
      <c r="JSK425" s="15"/>
      <c r="JSL425" s="15"/>
      <c r="JSM425" s="15"/>
      <c r="JSN425" s="15"/>
      <c r="JSO425" s="15"/>
      <c r="JSP425" s="15"/>
      <c r="JSQ425" s="15"/>
      <c r="JSR425" s="15"/>
      <c r="JSS425" s="15"/>
      <c r="JST425" s="15"/>
      <c r="JSU425" s="15"/>
      <c r="JSV425" s="15"/>
      <c r="JSW425" s="15"/>
      <c r="JSX425" s="15"/>
      <c r="JSY425" s="15"/>
      <c r="JSZ425" s="15"/>
      <c r="JTA425" s="15"/>
      <c r="JTB425" s="15"/>
      <c r="JTC425" s="15"/>
      <c r="JTD425" s="15"/>
      <c r="JTE425" s="15"/>
      <c r="JTF425" s="15"/>
      <c r="JTG425" s="15"/>
      <c r="JTH425" s="15"/>
      <c r="JTI425" s="15"/>
      <c r="JTJ425" s="15"/>
      <c r="JTK425" s="15"/>
      <c r="JTL425" s="15"/>
      <c r="JTM425" s="15"/>
      <c r="JTN425" s="15"/>
      <c r="JTO425" s="15"/>
      <c r="JTP425" s="15"/>
      <c r="JTQ425" s="15"/>
      <c r="JTR425" s="15"/>
      <c r="JTS425" s="15"/>
      <c r="JTT425" s="15"/>
      <c r="JTU425" s="15"/>
      <c r="JTV425" s="15"/>
      <c r="JTW425" s="15"/>
      <c r="JTX425" s="15"/>
      <c r="JTY425" s="15"/>
      <c r="JTZ425" s="15"/>
      <c r="JUA425" s="15"/>
      <c r="JUB425" s="15"/>
      <c r="JUC425" s="15"/>
      <c r="JUD425" s="15"/>
      <c r="JUE425" s="15"/>
      <c r="JUF425" s="15"/>
      <c r="JUG425" s="15"/>
      <c r="JUH425" s="15"/>
      <c r="JUI425" s="15"/>
      <c r="JUJ425" s="15"/>
      <c r="JUK425" s="15"/>
      <c r="JUL425" s="15"/>
      <c r="JUM425" s="15"/>
      <c r="JUN425" s="15"/>
      <c r="JUO425" s="15"/>
      <c r="JUP425" s="15"/>
      <c r="JUQ425" s="15"/>
      <c r="JUR425" s="15"/>
      <c r="JUS425" s="15"/>
      <c r="JUT425" s="15"/>
      <c r="JUU425" s="15"/>
      <c r="JUV425" s="15"/>
      <c r="JUW425" s="15"/>
      <c r="JUX425" s="15"/>
      <c r="JUY425" s="15"/>
      <c r="JUZ425" s="15"/>
      <c r="JVA425" s="15"/>
      <c r="JVB425" s="15"/>
      <c r="JVC425" s="15"/>
      <c r="JVD425" s="15"/>
      <c r="JVE425" s="15"/>
      <c r="JVF425" s="15"/>
      <c r="JVG425" s="15"/>
      <c r="JVH425" s="15"/>
      <c r="JVI425" s="15"/>
      <c r="JVJ425" s="15"/>
      <c r="JVK425" s="15"/>
      <c r="JVL425" s="15"/>
      <c r="JVM425" s="15"/>
      <c r="JVN425" s="15"/>
      <c r="JVO425" s="15"/>
      <c r="JVP425" s="15"/>
      <c r="JVQ425" s="15"/>
      <c r="JVR425" s="15"/>
      <c r="JVS425" s="15"/>
      <c r="JVT425" s="15"/>
      <c r="JVU425" s="15"/>
      <c r="JVV425" s="15"/>
      <c r="JVW425" s="15"/>
      <c r="JVX425" s="15"/>
      <c r="JVY425" s="15"/>
      <c r="JVZ425" s="15"/>
      <c r="JWA425" s="15"/>
      <c r="JWB425" s="15"/>
      <c r="JWC425" s="15"/>
      <c r="JWD425" s="15"/>
      <c r="JWE425" s="15"/>
      <c r="JWF425" s="15"/>
      <c r="JWG425" s="15"/>
      <c r="JWH425" s="15"/>
      <c r="JWI425" s="15"/>
      <c r="JWJ425" s="15"/>
      <c r="JWK425" s="15"/>
      <c r="JWL425" s="15"/>
      <c r="JWM425" s="15"/>
      <c r="JWN425" s="15"/>
      <c r="JWO425" s="15"/>
      <c r="JWP425" s="15"/>
      <c r="JWQ425" s="15"/>
      <c r="JWR425" s="15"/>
      <c r="JWS425" s="15"/>
      <c r="JWT425" s="15"/>
      <c r="JWU425" s="15"/>
      <c r="JWV425" s="15"/>
      <c r="JWW425" s="15"/>
      <c r="JWX425" s="15"/>
      <c r="JWY425" s="15"/>
      <c r="JWZ425" s="15"/>
      <c r="JXA425" s="15"/>
      <c r="JXB425" s="15"/>
      <c r="JXC425" s="15"/>
      <c r="JXD425" s="15"/>
      <c r="JXE425" s="15"/>
      <c r="JXF425" s="15"/>
      <c r="JXG425" s="15"/>
      <c r="JXH425" s="15"/>
      <c r="JXI425" s="15"/>
      <c r="JXJ425" s="15"/>
      <c r="JXK425" s="15"/>
      <c r="JXL425" s="15"/>
      <c r="JXM425" s="15"/>
      <c r="JXN425" s="15"/>
      <c r="JXO425" s="15"/>
      <c r="JXP425" s="15"/>
      <c r="JXQ425" s="15"/>
      <c r="JXR425" s="15"/>
      <c r="JXS425" s="15"/>
      <c r="JXT425" s="15"/>
      <c r="JXU425" s="15"/>
      <c r="JXV425" s="15"/>
      <c r="JXW425" s="15"/>
      <c r="JXX425" s="15"/>
      <c r="JXY425" s="15"/>
      <c r="JXZ425" s="15"/>
      <c r="JYA425" s="15"/>
      <c r="JYB425" s="15"/>
      <c r="JYC425" s="15"/>
      <c r="JYD425" s="15"/>
      <c r="JYE425" s="15"/>
      <c r="JYF425" s="15"/>
      <c r="JYG425" s="15"/>
      <c r="JYH425" s="15"/>
      <c r="JYI425" s="15"/>
      <c r="JYJ425" s="15"/>
      <c r="JYK425" s="15"/>
      <c r="JYL425" s="15"/>
      <c r="JYM425" s="15"/>
      <c r="JYN425" s="15"/>
      <c r="JYO425" s="15"/>
      <c r="JYP425" s="15"/>
      <c r="JYQ425" s="15"/>
      <c r="JYR425" s="15"/>
      <c r="JYS425" s="15"/>
      <c r="JYT425" s="15"/>
      <c r="JYU425" s="15"/>
      <c r="JYV425" s="15"/>
      <c r="JYW425" s="15"/>
      <c r="JYX425" s="15"/>
      <c r="JYY425" s="15"/>
      <c r="JYZ425" s="15"/>
      <c r="JZA425" s="15"/>
      <c r="JZB425" s="15"/>
      <c r="JZC425" s="15"/>
      <c r="JZD425" s="15"/>
      <c r="JZE425" s="15"/>
      <c r="JZF425" s="15"/>
      <c r="JZG425" s="15"/>
      <c r="JZH425" s="15"/>
      <c r="JZI425" s="15"/>
      <c r="JZJ425" s="15"/>
      <c r="JZK425" s="15"/>
      <c r="JZL425" s="15"/>
      <c r="JZM425" s="15"/>
      <c r="JZN425" s="15"/>
      <c r="JZO425" s="15"/>
      <c r="JZP425" s="15"/>
      <c r="JZQ425" s="15"/>
      <c r="JZR425" s="15"/>
      <c r="JZS425" s="15"/>
      <c r="JZT425" s="15"/>
      <c r="JZU425" s="15"/>
      <c r="JZV425" s="15"/>
      <c r="JZW425" s="15"/>
      <c r="JZX425" s="15"/>
      <c r="JZY425" s="15"/>
      <c r="JZZ425" s="15"/>
      <c r="KAA425" s="15"/>
      <c r="KAB425" s="15"/>
      <c r="KAC425" s="15"/>
      <c r="KAD425" s="15"/>
      <c r="KAE425" s="15"/>
      <c r="KAF425" s="15"/>
      <c r="KAG425" s="15"/>
      <c r="KAH425" s="15"/>
      <c r="KAI425" s="15"/>
      <c r="KAJ425" s="15"/>
      <c r="KAK425" s="15"/>
      <c r="KAL425" s="15"/>
      <c r="KAM425" s="15"/>
      <c r="KAN425" s="15"/>
      <c r="KAO425" s="15"/>
      <c r="KAP425" s="15"/>
      <c r="KAQ425" s="15"/>
      <c r="KAR425" s="15"/>
      <c r="KAS425" s="15"/>
      <c r="KAT425" s="15"/>
      <c r="KAU425" s="15"/>
      <c r="KAV425" s="15"/>
      <c r="KAW425" s="15"/>
      <c r="KAX425" s="15"/>
      <c r="KAY425" s="15"/>
      <c r="KAZ425" s="15"/>
      <c r="KBA425" s="15"/>
      <c r="KBB425" s="15"/>
      <c r="KBC425" s="15"/>
      <c r="KBD425" s="15"/>
      <c r="KBE425" s="15"/>
      <c r="KBF425" s="15"/>
      <c r="KBG425" s="15"/>
      <c r="KBH425" s="15"/>
      <c r="KBI425" s="15"/>
      <c r="KBJ425" s="15"/>
      <c r="KBK425" s="15"/>
      <c r="KBL425" s="15"/>
      <c r="KBM425" s="15"/>
      <c r="KBN425" s="15"/>
      <c r="KBO425" s="15"/>
      <c r="KBP425" s="15"/>
      <c r="KBQ425" s="15"/>
      <c r="KBR425" s="15"/>
      <c r="KBS425" s="15"/>
      <c r="KBT425" s="15"/>
      <c r="KBU425" s="15"/>
      <c r="KBV425" s="15"/>
      <c r="KBW425" s="15"/>
      <c r="KBX425" s="15"/>
      <c r="KBY425" s="15"/>
      <c r="KBZ425" s="15"/>
      <c r="KCA425" s="15"/>
      <c r="KCB425" s="15"/>
      <c r="KCC425" s="15"/>
      <c r="KCD425" s="15"/>
      <c r="KCE425" s="15"/>
      <c r="KCF425" s="15"/>
      <c r="KCG425" s="15"/>
      <c r="KCH425" s="15"/>
      <c r="KCI425" s="15"/>
      <c r="KCJ425" s="15"/>
      <c r="KCK425" s="15"/>
      <c r="KCL425" s="15"/>
      <c r="KCM425" s="15"/>
      <c r="KCN425" s="15"/>
      <c r="KCO425" s="15"/>
      <c r="KCP425" s="15"/>
      <c r="KCQ425" s="15"/>
      <c r="KCR425" s="15"/>
      <c r="KCS425" s="15"/>
      <c r="KCT425" s="15"/>
      <c r="KCU425" s="15"/>
      <c r="KCV425" s="15"/>
      <c r="KCW425" s="15"/>
      <c r="KCX425" s="15"/>
      <c r="KCY425" s="15"/>
      <c r="KCZ425" s="15"/>
      <c r="KDA425" s="15"/>
      <c r="KDB425" s="15"/>
      <c r="KDC425" s="15"/>
      <c r="KDD425" s="15"/>
      <c r="KDE425" s="15"/>
      <c r="KDF425" s="15"/>
      <c r="KDG425" s="15"/>
      <c r="KDH425" s="15"/>
      <c r="KDI425" s="15"/>
      <c r="KDJ425" s="15"/>
      <c r="KDK425" s="15"/>
      <c r="KDL425" s="15"/>
      <c r="KDM425" s="15"/>
      <c r="KDN425" s="15"/>
      <c r="KDO425" s="15"/>
      <c r="KDP425" s="15"/>
      <c r="KDQ425" s="15"/>
      <c r="KDR425" s="15"/>
      <c r="KDS425" s="15"/>
      <c r="KDT425" s="15"/>
      <c r="KDU425" s="15"/>
      <c r="KDV425" s="15"/>
      <c r="KDW425" s="15"/>
      <c r="KDX425" s="15"/>
      <c r="KDY425" s="15"/>
      <c r="KDZ425" s="15"/>
      <c r="KEA425" s="15"/>
      <c r="KEB425" s="15"/>
      <c r="KEC425" s="15"/>
      <c r="KED425" s="15"/>
      <c r="KEE425" s="15"/>
      <c r="KEF425" s="15"/>
      <c r="KEG425" s="15"/>
      <c r="KEH425" s="15"/>
      <c r="KEI425" s="15"/>
      <c r="KEJ425" s="15"/>
      <c r="KEK425" s="15"/>
      <c r="KEL425" s="15"/>
      <c r="KEM425" s="15"/>
      <c r="KEN425" s="15"/>
      <c r="KEO425" s="15"/>
      <c r="KEP425" s="15"/>
      <c r="KEQ425" s="15"/>
      <c r="KER425" s="15"/>
      <c r="KES425" s="15"/>
      <c r="KET425" s="15"/>
      <c r="KEU425" s="15"/>
      <c r="KEV425" s="15"/>
      <c r="KEW425" s="15"/>
      <c r="KEX425" s="15"/>
      <c r="KEY425" s="15"/>
      <c r="KEZ425" s="15"/>
      <c r="KFA425" s="15"/>
      <c r="KFB425" s="15"/>
      <c r="KFC425" s="15"/>
      <c r="KFD425" s="15"/>
      <c r="KFE425" s="15"/>
      <c r="KFF425" s="15"/>
      <c r="KFG425" s="15"/>
      <c r="KFH425" s="15"/>
      <c r="KFI425" s="15"/>
      <c r="KFJ425" s="15"/>
      <c r="KFK425" s="15"/>
      <c r="KFL425" s="15"/>
      <c r="KFM425" s="15"/>
      <c r="KFN425" s="15"/>
      <c r="KFO425" s="15"/>
      <c r="KFP425" s="15"/>
      <c r="KFQ425" s="15"/>
      <c r="KFR425" s="15"/>
      <c r="KFS425" s="15"/>
      <c r="KFT425" s="15"/>
      <c r="KFU425" s="15"/>
      <c r="KFV425" s="15"/>
      <c r="KFW425" s="15"/>
      <c r="KFX425" s="15"/>
      <c r="KFY425" s="15"/>
      <c r="KFZ425" s="15"/>
      <c r="KGA425" s="15"/>
      <c r="KGB425" s="15"/>
      <c r="KGC425" s="15"/>
      <c r="KGD425" s="15"/>
      <c r="KGE425" s="15"/>
      <c r="KGF425" s="15"/>
      <c r="KGG425" s="15"/>
      <c r="KGH425" s="15"/>
      <c r="KGI425" s="15"/>
      <c r="KGJ425" s="15"/>
      <c r="KGK425" s="15"/>
      <c r="KGL425" s="15"/>
      <c r="KGM425" s="15"/>
      <c r="KGN425" s="15"/>
      <c r="KGO425" s="15"/>
      <c r="KGP425" s="15"/>
      <c r="KGQ425" s="15"/>
      <c r="KGR425" s="15"/>
      <c r="KGS425" s="15"/>
      <c r="KGT425" s="15"/>
      <c r="KGU425" s="15"/>
      <c r="KGV425" s="15"/>
      <c r="KGW425" s="15"/>
      <c r="KGX425" s="15"/>
      <c r="KGY425" s="15"/>
      <c r="KGZ425" s="15"/>
      <c r="KHA425" s="15"/>
      <c r="KHB425" s="15"/>
      <c r="KHC425" s="15"/>
      <c r="KHD425" s="15"/>
      <c r="KHE425" s="15"/>
      <c r="KHF425" s="15"/>
      <c r="KHG425" s="15"/>
      <c r="KHH425" s="15"/>
      <c r="KHI425" s="15"/>
      <c r="KHJ425" s="15"/>
      <c r="KHK425" s="15"/>
      <c r="KHL425" s="15"/>
      <c r="KHM425" s="15"/>
      <c r="KHN425" s="15"/>
      <c r="KHO425" s="15"/>
      <c r="KHP425" s="15"/>
      <c r="KHQ425" s="15"/>
      <c r="KHR425" s="15"/>
      <c r="KHS425" s="15"/>
      <c r="KHT425" s="15"/>
      <c r="KHU425" s="15"/>
      <c r="KHV425" s="15"/>
      <c r="KHW425" s="15"/>
      <c r="KHX425" s="15"/>
      <c r="KHY425" s="15"/>
      <c r="KHZ425" s="15"/>
      <c r="KIA425" s="15"/>
      <c r="KIB425" s="15"/>
      <c r="KIC425" s="15"/>
      <c r="KID425" s="15"/>
      <c r="KIE425" s="15"/>
      <c r="KIF425" s="15"/>
      <c r="KIG425" s="15"/>
      <c r="KIH425" s="15"/>
      <c r="KII425" s="15"/>
      <c r="KIJ425" s="15"/>
      <c r="KIK425" s="15"/>
      <c r="KIL425" s="15"/>
      <c r="KIM425" s="15"/>
      <c r="KIN425" s="15"/>
      <c r="KIO425" s="15"/>
      <c r="KIP425" s="15"/>
      <c r="KIQ425" s="15"/>
      <c r="KIR425" s="15"/>
      <c r="KIS425" s="15"/>
      <c r="KIT425" s="15"/>
      <c r="KIU425" s="15"/>
      <c r="KIV425" s="15"/>
      <c r="KIW425" s="15"/>
      <c r="KIX425" s="15"/>
      <c r="KIY425" s="15"/>
      <c r="KIZ425" s="15"/>
      <c r="KJA425" s="15"/>
      <c r="KJB425" s="15"/>
      <c r="KJC425" s="15"/>
      <c r="KJD425" s="15"/>
      <c r="KJE425" s="15"/>
      <c r="KJF425" s="15"/>
      <c r="KJG425" s="15"/>
      <c r="KJH425" s="15"/>
      <c r="KJI425" s="15"/>
      <c r="KJJ425" s="15"/>
      <c r="KJK425" s="15"/>
      <c r="KJL425" s="15"/>
      <c r="KJM425" s="15"/>
      <c r="KJN425" s="15"/>
      <c r="KJO425" s="15"/>
      <c r="KJP425" s="15"/>
      <c r="KJQ425" s="15"/>
      <c r="KJR425" s="15"/>
      <c r="KJS425" s="15"/>
      <c r="KJT425" s="15"/>
      <c r="KJU425" s="15"/>
      <c r="KJV425" s="15"/>
      <c r="KJW425" s="15"/>
      <c r="KJX425" s="15"/>
      <c r="KJY425" s="15"/>
      <c r="KJZ425" s="15"/>
      <c r="KKA425" s="15"/>
      <c r="KKB425" s="15"/>
      <c r="KKC425" s="15"/>
      <c r="KKD425" s="15"/>
      <c r="KKE425" s="15"/>
      <c r="KKF425" s="15"/>
      <c r="KKG425" s="15"/>
      <c r="KKH425" s="15"/>
      <c r="KKI425" s="15"/>
      <c r="KKJ425" s="15"/>
      <c r="KKK425" s="15"/>
      <c r="KKL425" s="15"/>
      <c r="KKM425" s="15"/>
      <c r="KKN425" s="15"/>
      <c r="KKO425" s="15"/>
      <c r="KKP425" s="15"/>
      <c r="KKQ425" s="15"/>
      <c r="KKR425" s="15"/>
      <c r="KKS425" s="15"/>
      <c r="KKT425" s="15"/>
      <c r="KKU425" s="15"/>
      <c r="KKV425" s="15"/>
      <c r="KKW425" s="15"/>
      <c r="KKX425" s="15"/>
      <c r="KKY425" s="15"/>
      <c r="KKZ425" s="15"/>
      <c r="KLA425" s="15"/>
      <c r="KLB425" s="15"/>
      <c r="KLC425" s="15"/>
      <c r="KLD425" s="15"/>
      <c r="KLE425" s="15"/>
      <c r="KLF425" s="15"/>
      <c r="KLG425" s="15"/>
      <c r="KLH425" s="15"/>
      <c r="KLI425" s="15"/>
      <c r="KLJ425" s="15"/>
      <c r="KLK425" s="15"/>
      <c r="KLL425" s="15"/>
      <c r="KLM425" s="15"/>
      <c r="KLN425" s="15"/>
      <c r="KLO425" s="15"/>
      <c r="KLP425" s="15"/>
      <c r="KLQ425" s="15"/>
      <c r="KLR425" s="15"/>
      <c r="KLS425" s="15"/>
      <c r="KLT425" s="15"/>
      <c r="KLU425" s="15"/>
      <c r="KLV425" s="15"/>
      <c r="KLW425" s="15"/>
      <c r="KLX425" s="15"/>
      <c r="KLY425" s="15"/>
      <c r="KLZ425" s="15"/>
      <c r="KMA425" s="15"/>
      <c r="KMB425" s="15"/>
      <c r="KMC425" s="15"/>
      <c r="KMD425" s="15"/>
      <c r="KME425" s="15"/>
      <c r="KMF425" s="15"/>
      <c r="KMG425" s="15"/>
      <c r="KMH425" s="15"/>
      <c r="KMI425" s="15"/>
      <c r="KMJ425" s="15"/>
      <c r="KMK425" s="15"/>
      <c r="KML425" s="15"/>
      <c r="KMM425" s="15"/>
      <c r="KMN425" s="15"/>
      <c r="KMO425" s="15"/>
      <c r="KMP425" s="15"/>
      <c r="KMQ425" s="15"/>
      <c r="KMR425" s="15"/>
      <c r="KMS425" s="15"/>
      <c r="KMT425" s="15"/>
      <c r="KMU425" s="15"/>
      <c r="KMV425" s="15"/>
      <c r="KMW425" s="15"/>
      <c r="KMX425" s="15"/>
      <c r="KMY425" s="15"/>
      <c r="KMZ425" s="15"/>
      <c r="KNA425" s="15"/>
      <c r="KNB425" s="15"/>
      <c r="KNC425" s="15"/>
      <c r="KND425" s="15"/>
      <c r="KNE425" s="15"/>
      <c r="KNF425" s="15"/>
      <c r="KNG425" s="15"/>
      <c r="KNH425" s="15"/>
      <c r="KNI425" s="15"/>
      <c r="KNJ425" s="15"/>
      <c r="KNK425" s="15"/>
      <c r="KNL425" s="15"/>
      <c r="KNM425" s="15"/>
      <c r="KNN425" s="15"/>
      <c r="KNO425" s="15"/>
      <c r="KNP425" s="15"/>
      <c r="KNQ425" s="15"/>
      <c r="KNR425" s="15"/>
      <c r="KNS425" s="15"/>
      <c r="KNT425" s="15"/>
      <c r="KNU425" s="15"/>
      <c r="KNV425" s="15"/>
      <c r="KNW425" s="15"/>
      <c r="KNX425" s="15"/>
      <c r="KNY425" s="15"/>
      <c r="KNZ425" s="15"/>
      <c r="KOA425" s="15"/>
      <c r="KOB425" s="15"/>
      <c r="KOC425" s="15"/>
      <c r="KOD425" s="15"/>
      <c r="KOE425" s="15"/>
      <c r="KOF425" s="15"/>
      <c r="KOG425" s="15"/>
      <c r="KOH425" s="15"/>
      <c r="KOI425" s="15"/>
      <c r="KOJ425" s="15"/>
      <c r="KOK425" s="15"/>
      <c r="KOL425" s="15"/>
      <c r="KOM425" s="15"/>
      <c r="KON425" s="15"/>
      <c r="KOO425" s="15"/>
      <c r="KOP425" s="15"/>
      <c r="KOQ425" s="15"/>
      <c r="KOR425" s="15"/>
      <c r="KOS425" s="15"/>
      <c r="KOT425" s="15"/>
      <c r="KOU425" s="15"/>
      <c r="KOV425" s="15"/>
      <c r="KOW425" s="15"/>
      <c r="KOX425" s="15"/>
      <c r="KOY425" s="15"/>
      <c r="KOZ425" s="15"/>
      <c r="KPA425" s="15"/>
      <c r="KPB425" s="15"/>
      <c r="KPC425" s="15"/>
      <c r="KPD425" s="15"/>
      <c r="KPE425" s="15"/>
      <c r="KPF425" s="15"/>
      <c r="KPG425" s="15"/>
      <c r="KPH425" s="15"/>
      <c r="KPI425" s="15"/>
      <c r="KPJ425" s="15"/>
      <c r="KPK425" s="15"/>
      <c r="KPL425" s="15"/>
      <c r="KPM425" s="15"/>
      <c r="KPN425" s="15"/>
      <c r="KPO425" s="15"/>
      <c r="KPP425" s="15"/>
      <c r="KPQ425" s="15"/>
      <c r="KPR425" s="15"/>
      <c r="KPS425" s="15"/>
      <c r="KPT425" s="15"/>
      <c r="KPU425" s="15"/>
      <c r="KPV425" s="15"/>
      <c r="KPW425" s="15"/>
      <c r="KPX425" s="15"/>
      <c r="KPY425" s="15"/>
      <c r="KPZ425" s="15"/>
      <c r="KQA425" s="15"/>
      <c r="KQB425" s="15"/>
      <c r="KQC425" s="15"/>
      <c r="KQD425" s="15"/>
      <c r="KQE425" s="15"/>
      <c r="KQF425" s="15"/>
      <c r="KQG425" s="15"/>
      <c r="KQH425" s="15"/>
      <c r="KQI425" s="15"/>
      <c r="KQJ425" s="15"/>
      <c r="KQK425" s="15"/>
      <c r="KQL425" s="15"/>
      <c r="KQM425" s="15"/>
      <c r="KQN425" s="15"/>
      <c r="KQO425" s="15"/>
      <c r="KQP425" s="15"/>
      <c r="KQQ425" s="15"/>
      <c r="KQR425" s="15"/>
      <c r="KQS425" s="15"/>
      <c r="KQT425" s="15"/>
      <c r="KQU425" s="15"/>
      <c r="KQV425" s="15"/>
      <c r="KQW425" s="15"/>
      <c r="KQX425" s="15"/>
      <c r="KQY425" s="15"/>
      <c r="KQZ425" s="15"/>
      <c r="KRA425" s="15"/>
      <c r="KRB425" s="15"/>
      <c r="KRC425" s="15"/>
      <c r="KRD425" s="15"/>
      <c r="KRE425" s="15"/>
      <c r="KRF425" s="15"/>
      <c r="KRG425" s="15"/>
      <c r="KRH425" s="15"/>
      <c r="KRI425" s="15"/>
      <c r="KRJ425" s="15"/>
      <c r="KRK425" s="15"/>
      <c r="KRL425" s="15"/>
      <c r="KRM425" s="15"/>
      <c r="KRN425" s="15"/>
      <c r="KRO425" s="15"/>
      <c r="KRP425" s="15"/>
      <c r="KRQ425" s="15"/>
      <c r="KRR425" s="15"/>
      <c r="KRS425" s="15"/>
      <c r="KRT425" s="15"/>
      <c r="KRU425" s="15"/>
      <c r="KRV425" s="15"/>
      <c r="KRW425" s="15"/>
      <c r="KRX425" s="15"/>
      <c r="KRY425" s="15"/>
      <c r="KRZ425" s="15"/>
      <c r="KSA425" s="15"/>
      <c r="KSB425" s="15"/>
      <c r="KSC425" s="15"/>
      <c r="KSD425" s="15"/>
      <c r="KSE425" s="15"/>
      <c r="KSF425" s="15"/>
      <c r="KSG425" s="15"/>
      <c r="KSH425" s="15"/>
      <c r="KSI425" s="15"/>
      <c r="KSJ425" s="15"/>
      <c r="KSK425" s="15"/>
      <c r="KSL425" s="15"/>
      <c r="KSM425" s="15"/>
      <c r="KSN425" s="15"/>
      <c r="KSO425" s="15"/>
      <c r="KSP425" s="15"/>
      <c r="KSQ425" s="15"/>
      <c r="KSR425" s="15"/>
      <c r="KSS425" s="15"/>
      <c r="KST425" s="15"/>
      <c r="KSU425" s="15"/>
      <c r="KSV425" s="15"/>
      <c r="KSW425" s="15"/>
      <c r="KSX425" s="15"/>
      <c r="KSY425" s="15"/>
      <c r="KSZ425" s="15"/>
      <c r="KTA425" s="15"/>
      <c r="KTB425" s="15"/>
      <c r="KTC425" s="15"/>
      <c r="KTD425" s="15"/>
      <c r="KTE425" s="15"/>
      <c r="KTF425" s="15"/>
      <c r="KTG425" s="15"/>
      <c r="KTH425" s="15"/>
      <c r="KTI425" s="15"/>
      <c r="KTJ425" s="15"/>
      <c r="KTK425" s="15"/>
      <c r="KTL425" s="15"/>
      <c r="KTM425" s="15"/>
      <c r="KTN425" s="15"/>
      <c r="KTO425" s="15"/>
      <c r="KTP425" s="15"/>
      <c r="KTQ425" s="15"/>
      <c r="KTR425" s="15"/>
      <c r="KTS425" s="15"/>
      <c r="KTT425" s="15"/>
      <c r="KTU425" s="15"/>
      <c r="KTV425" s="15"/>
      <c r="KTW425" s="15"/>
      <c r="KTX425" s="15"/>
      <c r="KTY425" s="15"/>
      <c r="KTZ425" s="15"/>
      <c r="KUA425" s="15"/>
      <c r="KUB425" s="15"/>
      <c r="KUC425" s="15"/>
      <c r="KUD425" s="15"/>
      <c r="KUE425" s="15"/>
      <c r="KUF425" s="15"/>
      <c r="KUG425" s="15"/>
      <c r="KUH425" s="15"/>
      <c r="KUI425" s="15"/>
      <c r="KUJ425" s="15"/>
      <c r="KUK425" s="15"/>
      <c r="KUL425" s="15"/>
      <c r="KUM425" s="15"/>
      <c r="KUN425" s="15"/>
      <c r="KUO425" s="15"/>
      <c r="KUP425" s="15"/>
      <c r="KUQ425" s="15"/>
      <c r="KUR425" s="15"/>
      <c r="KUS425" s="15"/>
      <c r="KUT425" s="15"/>
      <c r="KUU425" s="15"/>
      <c r="KUV425" s="15"/>
      <c r="KUW425" s="15"/>
      <c r="KUX425" s="15"/>
      <c r="KUY425" s="15"/>
      <c r="KUZ425" s="15"/>
      <c r="KVA425" s="15"/>
      <c r="KVB425" s="15"/>
      <c r="KVC425" s="15"/>
      <c r="KVD425" s="15"/>
      <c r="KVE425" s="15"/>
      <c r="KVF425" s="15"/>
      <c r="KVG425" s="15"/>
      <c r="KVH425" s="15"/>
      <c r="KVI425" s="15"/>
      <c r="KVJ425" s="15"/>
      <c r="KVK425" s="15"/>
      <c r="KVL425" s="15"/>
      <c r="KVM425" s="15"/>
      <c r="KVN425" s="15"/>
      <c r="KVO425" s="15"/>
      <c r="KVP425" s="15"/>
      <c r="KVQ425" s="15"/>
      <c r="KVR425" s="15"/>
      <c r="KVS425" s="15"/>
      <c r="KVT425" s="15"/>
      <c r="KVU425" s="15"/>
      <c r="KVV425" s="15"/>
      <c r="KVW425" s="15"/>
      <c r="KVX425" s="15"/>
      <c r="KVY425" s="15"/>
      <c r="KVZ425" s="15"/>
      <c r="KWA425" s="15"/>
      <c r="KWB425" s="15"/>
      <c r="KWC425" s="15"/>
      <c r="KWD425" s="15"/>
      <c r="KWE425" s="15"/>
      <c r="KWF425" s="15"/>
      <c r="KWG425" s="15"/>
      <c r="KWH425" s="15"/>
      <c r="KWI425" s="15"/>
      <c r="KWJ425" s="15"/>
      <c r="KWK425" s="15"/>
      <c r="KWL425" s="15"/>
      <c r="KWM425" s="15"/>
      <c r="KWN425" s="15"/>
      <c r="KWO425" s="15"/>
      <c r="KWP425" s="15"/>
      <c r="KWQ425" s="15"/>
      <c r="KWR425" s="15"/>
      <c r="KWS425" s="15"/>
      <c r="KWT425" s="15"/>
      <c r="KWU425" s="15"/>
      <c r="KWV425" s="15"/>
      <c r="KWW425" s="15"/>
      <c r="KWX425" s="15"/>
      <c r="KWY425" s="15"/>
      <c r="KWZ425" s="15"/>
      <c r="KXA425" s="15"/>
      <c r="KXB425" s="15"/>
      <c r="KXC425" s="15"/>
      <c r="KXD425" s="15"/>
      <c r="KXE425" s="15"/>
      <c r="KXF425" s="15"/>
      <c r="KXG425" s="15"/>
      <c r="KXH425" s="15"/>
      <c r="KXI425" s="15"/>
      <c r="KXJ425" s="15"/>
      <c r="KXK425" s="15"/>
      <c r="KXL425" s="15"/>
      <c r="KXM425" s="15"/>
      <c r="KXN425" s="15"/>
      <c r="KXO425" s="15"/>
      <c r="KXP425" s="15"/>
      <c r="KXQ425" s="15"/>
      <c r="KXR425" s="15"/>
      <c r="KXS425" s="15"/>
      <c r="KXT425" s="15"/>
      <c r="KXU425" s="15"/>
      <c r="KXV425" s="15"/>
      <c r="KXW425" s="15"/>
      <c r="KXX425" s="15"/>
      <c r="KXY425" s="15"/>
      <c r="KXZ425" s="15"/>
      <c r="KYA425" s="15"/>
      <c r="KYB425" s="15"/>
      <c r="KYC425" s="15"/>
      <c r="KYD425" s="15"/>
      <c r="KYE425" s="15"/>
      <c r="KYF425" s="15"/>
      <c r="KYG425" s="15"/>
      <c r="KYH425" s="15"/>
      <c r="KYI425" s="15"/>
      <c r="KYJ425" s="15"/>
      <c r="KYK425" s="15"/>
      <c r="KYL425" s="15"/>
      <c r="KYM425" s="15"/>
      <c r="KYN425" s="15"/>
      <c r="KYO425" s="15"/>
      <c r="KYP425" s="15"/>
      <c r="KYQ425" s="15"/>
      <c r="KYR425" s="15"/>
      <c r="KYS425" s="15"/>
      <c r="KYT425" s="15"/>
      <c r="KYU425" s="15"/>
      <c r="KYV425" s="15"/>
      <c r="KYW425" s="15"/>
      <c r="KYX425" s="15"/>
      <c r="KYY425" s="15"/>
      <c r="KYZ425" s="15"/>
      <c r="KZA425" s="15"/>
      <c r="KZB425" s="15"/>
      <c r="KZC425" s="15"/>
      <c r="KZD425" s="15"/>
      <c r="KZE425" s="15"/>
      <c r="KZF425" s="15"/>
      <c r="KZG425" s="15"/>
      <c r="KZH425" s="15"/>
      <c r="KZI425" s="15"/>
      <c r="KZJ425" s="15"/>
      <c r="KZK425" s="15"/>
      <c r="KZL425" s="15"/>
      <c r="KZM425" s="15"/>
      <c r="KZN425" s="15"/>
      <c r="KZO425" s="15"/>
      <c r="KZP425" s="15"/>
      <c r="KZQ425" s="15"/>
      <c r="KZR425" s="15"/>
      <c r="KZS425" s="15"/>
      <c r="KZT425" s="15"/>
      <c r="KZU425" s="15"/>
      <c r="KZV425" s="15"/>
      <c r="KZW425" s="15"/>
      <c r="KZX425" s="15"/>
      <c r="KZY425" s="15"/>
      <c r="KZZ425" s="15"/>
      <c r="LAA425" s="15"/>
      <c r="LAB425" s="15"/>
      <c r="LAC425" s="15"/>
      <c r="LAD425" s="15"/>
      <c r="LAE425" s="15"/>
      <c r="LAF425" s="15"/>
      <c r="LAG425" s="15"/>
      <c r="LAH425" s="15"/>
      <c r="LAI425" s="15"/>
      <c r="LAJ425" s="15"/>
      <c r="LAK425" s="15"/>
      <c r="LAL425" s="15"/>
      <c r="LAM425" s="15"/>
      <c r="LAN425" s="15"/>
      <c r="LAO425" s="15"/>
      <c r="LAP425" s="15"/>
      <c r="LAQ425" s="15"/>
      <c r="LAR425" s="15"/>
      <c r="LAS425" s="15"/>
      <c r="LAT425" s="15"/>
      <c r="LAU425" s="15"/>
      <c r="LAV425" s="15"/>
      <c r="LAW425" s="15"/>
      <c r="LAX425" s="15"/>
      <c r="LAY425" s="15"/>
      <c r="LAZ425" s="15"/>
      <c r="LBA425" s="15"/>
      <c r="LBB425" s="15"/>
      <c r="LBC425" s="15"/>
      <c r="LBD425" s="15"/>
      <c r="LBE425" s="15"/>
      <c r="LBF425" s="15"/>
      <c r="LBG425" s="15"/>
      <c r="LBH425" s="15"/>
      <c r="LBI425" s="15"/>
      <c r="LBJ425" s="15"/>
      <c r="LBK425" s="15"/>
      <c r="LBL425" s="15"/>
      <c r="LBM425" s="15"/>
      <c r="LBN425" s="15"/>
      <c r="LBO425" s="15"/>
      <c r="LBP425" s="15"/>
      <c r="LBQ425" s="15"/>
      <c r="LBR425" s="15"/>
      <c r="LBS425" s="15"/>
      <c r="LBT425" s="15"/>
      <c r="LBU425" s="15"/>
      <c r="LBV425" s="15"/>
      <c r="LBW425" s="15"/>
      <c r="LBX425" s="15"/>
      <c r="LBY425" s="15"/>
      <c r="LBZ425" s="15"/>
      <c r="LCA425" s="15"/>
      <c r="LCB425" s="15"/>
      <c r="LCC425" s="15"/>
      <c r="LCD425" s="15"/>
      <c r="LCE425" s="15"/>
      <c r="LCF425" s="15"/>
      <c r="LCG425" s="15"/>
      <c r="LCH425" s="15"/>
      <c r="LCI425" s="15"/>
      <c r="LCJ425" s="15"/>
      <c r="LCK425" s="15"/>
      <c r="LCL425" s="15"/>
      <c r="LCM425" s="15"/>
      <c r="LCN425" s="15"/>
      <c r="LCO425" s="15"/>
      <c r="LCP425" s="15"/>
      <c r="LCQ425" s="15"/>
      <c r="LCR425" s="15"/>
      <c r="LCS425" s="15"/>
      <c r="LCT425" s="15"/>
      <c r="LCU425" s="15"/>
      <c r="LCV425" s="15"/>
      <c r="LCW425" s="15"/>
      <c r="LCX425" s="15"/>
      <c r="LCY425" s="15"/>
      <c r="LCZ425" s="15"/>
      <c r="LDA425" s="15"/>
      <c r="LDB425" s="15"/>
      <c r="LDC425" s="15"/>
      <c r="LDD425" s="15"/>
      <c r="LDE425" s="15"/>
      <c r="LDF425" s="15"/>
      <c r="LDG425" s="15"/>
      <c r="LDH425" s="15"/>
      <c r="LDI425" s="15"/>
      <c r="LDJ425" s="15"/>
      <c r="LDK425" s="15"/>
      <c r="LDL425" s="15"/>
      <c r="LDM425" s="15"/>
      <c r="LDN425" s="15"/>
      <c r="LDO425" s="15"/>
      <c r="LDP425" s="15"/>
      <c r="LDQ425" s="15"/>
      <c r="LDR425" s="15"/>
      <c r="LDS425" s="15"/>
      <c r="LDT425" s="15"/>
      <c r="LDU425" s="15"/>
      <c r="LDV425" s="15"/>
      <c r="LDW425" s="15"/>
      <c r="LDX425" s="15"/>
      <c r="LDY425" s="15"/>
      <c r="LDZ425" s="15"/>
      <c r="LEA425" s="15"/>
      <c r="LEB425" s="15"/>
      <c r="LEC425" s="15"/>
      <c r="LED425" s="15"/>
      <c r="LEE425" s="15"/>
      <c r="LEF425" s="15"/>
      <c r="LEG425" s="15"/>
      <c r="LEH425" s="15"/>
      <c r="LEI425" s="15"/>
      <c r="LEJ425" s="15"/>
      <c r="LEK425" s="15"/>
      <c r="LEL425" s="15"/>
      <c r="LEM425" s="15"/>
      <c r="LEN425" s="15"/>
      <c r="LEO425" s="15"/>
      <c r="LEP425" s="15"/>
      <c r="LEQ425" s="15"/>
      <c r="LER425" s="15"/>
      <c r="LES425" s="15"/>
      <c r="LET425" s="15"/>
      <c r="LEU425" s="15"/>
      <c r="LEV425" s="15"/>
      <c r="LEW425" s="15"/>
      <c r="LEX425" s="15"/>
      <c r="LEY425" s="15"/>
      <c r="LEZ425" s="15"/>
      <c r="LFA425" s="15"/>
      <c r="LFB425" s="15"/>
      <c r="LFC425" s="15"/>
      <c r="LFD425" s="15"/>
      <c r="LFE425" s="15"/>
      <c r="LFF425" s="15"/>
      <c r="LFG425" s="15"/>
      <c r="LFH425" s="15"/>
      <c r="LFI425" s="15"/>
      <c r="LFJ425" s="15"/>
      <c r="LFK425" s="15"/>
      <c r="LFL425" s="15"/>
      <c r="LFM425" s="15"/>
      <c r="LFN425" s="15"/>
      <c r="LFO425" s="15"/>
      <c r="LFP425" s="15"/>
      <c r="LFQ425" s="15"/>
      <c r="LFR425" s="15"/>
      <c r="LFS425" s="15"/>
      <c r="LFT425" s="15"/>
      <c r="LFU425" s="15"/>
      <c r="LFV425" s="15"/>
      <c r="LFW425" s="15"/>
      <c r="LFX425" s="15"/>
      <c r="LFY425" s="15"/>
      <c r="LFZ425" s="15"/>
      <c r="LGA425" s="15"/>
      <c r="LGB425" s="15"/>
      <c r="LGC425" s="15"/>
      <c r="LGD425" s="15"/>
      <c r="LGE425" s="15"/>
      <c r="LGF425" s="15"/>
      <c r="LGG425" s="15"/>
      <c r="LGH425" s="15"/>
      <c r="LGI425" s="15"/>
      <c r="LGJ425" s="15"/>
      <c r="LGK425" s="15"/>
      <c r="LGL425" s="15"/>
      <c r="LGM425" s="15"/>
      <c r="LGN425" s="15"/>
      <c r="LGO425" s="15"/>
      <c r="LGP425" s="15"/>
      <c r="LGQ425" s="15"/>
      <c r="LGR425" s="15"/>
      <c r="LGS425" s="15"/>
      <c r="LGT425" s="15"/>
      <c r="LGU425" s="15"/>
      <c r="LGV425" s="15"/>
      <c r="LGW425" s="15"/>
      <c r="LGX425" s="15"/>
      <c r="LGY425" s="15"/>
      <c r="LGZ425" s="15"/>
      <c r="LHA425" s="15"/>
      <c r="LHB425" s="15"/>
      <c r="LHC425" s="15"/>
      <c r="LHD425" s="15"/>
      <c r="LHE425" s="15"/>
      <c r="LHF425" s="15"/>
      <c r="LHG425" s="15"/>
      <c r="LHH425" s="15"/>
      <c r="LHI425" s="15"/>
      <c r="LHJ425" s="15"/>
      <c r="LHK425" s="15"/>
      <c r="LHL425" s="15"/>
      <c r="LHM425" s="15"/>
      <c r="LHN425" s="15"/>
      <c r="LHO425" s="15"/>
      <c r="LHP425" s="15"/>
      <c r="LHQ425" s="15"/>
      <c r="LHR425" s="15"/>
      <c r="LHS425" s="15"/>
      <c r="LHT425" s="15"/>
      <c r="LHU425" s="15"/>
      <c r="LHV425" s="15"/>
      <c r="LHW425" s="15"/>
      <c r="LHX425" s="15"/>
      <c r="LHY425" s="15"/>
      <c r="LHZ425" s="15"/>
      <c r="LIA425" s="15"/>
      <c r="LIB425" s="15"/>
      <c r="LIC425" s="15"/>
      <c r="LID425" s="15"/>
      <c r="LIE425" s="15"/>
      <c r="LIF425" s="15"/>
      <c r="LIG425" s="15"/>
      <c r="LIH425" s="15"/>
      <c r="LII425" s="15"/>
      <c r="LIJ425" s="15"/>
      <c r="LIK425" s="15"/>
      <c r="LIL425" s="15"/>
      <c r="LIM425" s="15"/>
      <c r="LIN425" s="15"/>
      <c r="LIO425" s="15"/>
      <c r="LIP425" s="15"/>
      <c r="LIQ425" s="15"/>
      <c r="LIR425" s="15"/>
      <c r="LIS425" s="15"/>
      <c r="LIT425" s="15"/>
      <c r="LIU425" s="15"/>
      <c r="LIV425" s="15"/>
      <c r="LIW425" s="15"/>
      <c r="LIX425" s="15"/>
      <c r="LIY425" s="15"/>
      <c r="LIZ425" s="15"/>
      <c r="LJA425" s="15"/>
      <c r="LJB425" s="15"/>
      <c r="LJC425" s="15"/>
      <c r="LJD425" s="15"/>
      <c r="LJE425" s="15"/>
      <c r="LJF425" s="15"/>
      <c r="LJG425" s="15"/>
      <c r="LJH425" s="15"/>
      <c r="LJI425" s="15"/>
      <c r="LJJ425" s="15"/>
      <c r="LJK425" s="15"/>
      <c r="LJL425" s="15"/>
      <c r="LJM425" s="15"/>
      <c r="LJN425" s="15"/>
      <c r="LJO425" s="15"/>
      <c r="LJP425" s="15"/>
      <c r="LJQ425" s="15"/>
      <c r="LJR425" s="15"/>
      <c r="LJS425" s="15"/>
      <c r="LJT425" s="15"/>
      <c r="LJU425" s="15"/>
      <c r="LJV425" s="15"/>
      <c r="LJW425" s="15"/>
      <c r="LJX425" s="15"/>
      <c r="LJY425" s="15"/>
      <c r="LJZ425" s="15"/>
      <c r="LKA425" s="15"/>
      <c r="LKB425" s="15"/>
      <c r="LKC425" s="15"/>
      <c r="LKD425" s="15"/>
      <c r="LKE425" s="15"/>
      <c r="LKF425" s="15"/>
      <c r="LKG425" s="15"/>
      <c r="LKH425" s="15"/>
      <c r="LKI425" s="15"/>
      <c r="LKJ425" s="15"/>
      <c r="LKK425" s="15"/>
      <c r="LKL425" s="15"/>
      <c r="LKM425" s="15"/>
      <c r="LKN425" s="15"/>
      <c r="LKO425" s="15"/>
      <c r="LKP425" s="15"/>
      <c r="LKQ425" s="15"/>
      <c r="LKR425" s="15"/>
      <c r="LKS425" s="15"/>
      <c r="LKT425" s="15"/>
      <c r="LKU425" s="15"/>
      <c r="LKV425" s="15"/>
      <c r="LKW425" s="15"/>
      <c r="LKX425" s="15"/>
      <c r="LKY425" s="15"/>
      <c r="LKZ425" s="15"/>
      <c r="LLA425" s="15"/>
      <c r="LLB425" s="15"/>
      <c r="LLC425" s="15"/>
      <c r="LLD425" s="15"/>
      <c r="LLE425" s="15"/>
      <c r="LLF425" s="15"/>
      <c r="LLG425" s="15"/>
      <c r="LLH425" s="15"/>
      <c r="LLI425" s="15"/>
      <c r="LLJ425" s="15"/>
      <c r="LLK425" s="15"/>
      <c r="LLL425" s="15"/>
      <c r="LLM425" s="15"/>
      <c r="LLN425" s="15"/>
      <c r="LLO425" s="15"/>
      <c r="LLP425" s="15"/>
      <c r="LLQ425" s="15"/>
      <c r="LLR425" s="15"/>
      <c r="LLS425" s="15"/>
      <c r="LLT425" s="15"/>
      <c r="LLU425" s="15"/>
      <c r="LLV425" s="15"/>
      <c r="LLW425" s="15"/>
      <c r="LLX425" s="15"/>
      <c r="LLY425" s="15"/>
      <c r="LLZ425" s="15"/>
      <c r="LMA425" s="15"/>
      <c r="LMB425" s="15"/>
      <c r="LMC425" s="15"/>
      <c r="LMD425" s="15"/>
      <c r="LME425" s="15"/>
      <c r="LMF425" s="15"/>
      <c r="LMG425" s="15"/>
      <c r="LMH425" s="15"/>
      <c r="LMI425" s="15"/>
      <c r="LMJ425" s="15"/>
      <c r="LMK425" s="15"/>
      <c r="LML425" s="15"/>
      <c r="LMM425" s="15"/>
      <c r="LMN425" s="15"/>
      <c r="LMO425" s="15"/>
      <c r="LMP425" s="15"/>
      <c r="LMQ425" s="15"/>
      <c r="LMR425" s="15"/>
      <c r="LMS425" s="15"/>
      <c r="LMT425" s="15"/>
      <c r="LMU425" s="15"/>
      <c r="LMV425" s="15"/>
      <c r="LMW425" s="15"/>
      <c r="LMX425" s="15"/>
      <c r="LMY425" s="15"/>
      <c r="LMZ425" s="15"/>
      <c r="LNA425" s="15"/>
      <c r="LNB425" s="15"/>
      <c r="LNC425" s="15"/>
      <c r="LND425" s="15"/>
      <c r="LNE425" s="15"/>
      <c r="LNF425" s="15"/>
      <c r="LNG425" s="15"/>
      <c r="LNH425" s="15"/>
      <c r="LNI425" s="15"/>
      <c r="LNJ425" s="15"/>
      <c r="LNK425" s="15"/>
      <c r="LNL425" s="15"/>
      <c r="LNM425" s="15"/>
      <c r="LNN425" s="15"/>
      <c r="LNO425" s="15"/>
      <c r="LNP425" s="15"/>
      <c r="LNQ425" s="15"/>
      <c r="LNR425" s="15"/>
      <c r="LNS425" s="15"/>
      <c r="LNT425" s="15"/>
      <c r="LNU425" s="15"/>
      <c r="LNV425" s="15"/>
      <c r="LNW425" s="15"/>
      <c r="LNX425" s="15"/>
      <c r="LNY425" s="15"/>
      <c r="LNZ425" s="15"/>
      <c r="LOA425" s="15"/>
      <c r="LOB425" s="15"/>
      <c r="LOC425" s="15"/>
      <c r="LOD425" s="15"/>
      <c r="LOE425" s="15"/>
      <c r="LOF425" s="15"/>
      <c r="LOG425" s="15"/>
      <c r="LOH425" s="15"/>
      <c r="LOI425" s="15"/>
      <c r="LOJ425" s="15"/>
      <c r="LOK425" s="15"/>
      <c r="LOL425" s="15"/>
      <c r="LOM425" s="15"/>
      <c r="LON425" s="15"/>
      <c r="LOO425" s="15"/>
      <c r="LOP425" s="15"/>
      <c r="LOQ425" s="15"/>
      <c r="LOR425" s="15"/>
      <c r="LOS425" s="15"/>
      <c r="LOT425" s="15"/>
      <c r="LOU425" s="15"/>
      <c r="LOV425" s="15"/>
      <c r="LOW425" s="15"/>
      <c r="LOX425" s="15"/>
      <c r="LOY425" s="15"/>
      <c r="LOZ425" s="15"/>
      <c r="LPA425" s="15"/>
      <c r="LPB425" s="15"/>
      <c r="LPC425" s="15"/>
      <c r="LPD425" s="15"/>
      <c r="LPE425" s="15"/>
      <c r="LPF425" s="15"/>
      <c r="LPG425" s="15"/>
      <c r="LPH425" s="15"/>
      <c r="LPI425" s="15"/>
      <c r="LPJ425" s="15"/>
      <c r="LPK425" s="15"/>
      <c r="LPL425" s="15"/>
      <c r="LPM425" s="15"/>
      <c r="LPN425" s="15"/>
      <c r="LPO425" s="15"/>
      <c r="LPP425" s="15"/>
      <c r="LPQ425" s="15"/>
      <c r="LPR425" s="15"/>
      <c r="LPS425" s="15"/>
      <c r="LPT425" s="15"/>
      <c r="LPU425" s="15"/>
      <c r="LPV425" s="15"/>
      <c r="LPW425" s="15"/>
      <c r="LPX425" s="15"/>
      <c r="LPY425" s="15"/>
      <c r="LPZ425" s="15"/>
      <c r="LQA425" s="15"/>
      <c r="LQB425" s="15"/>
      <c r="LQC425" s="15"/>
      <c r="LQD425" s="15"/>
      <c r="LQE425" s="15"/>
      <c r="LQF425" s="15"/>
      <c r="LQG425" s="15"/>
      <c r="LQH425" s="15"/>
      <c r="LQI425" s="15"/>
      <c r="LQJ425" s="15"/>
      <c r="LQK425" s="15"/>
      <c r="LQL425" s="15"/>
      <c r="LQM425" s="15"/>
      <c r="LQN425" s="15"/>
      <c r="LQO425" s="15"/>
      <c r="LQP425" s="15"/>
      <c r="LQQ425" s="15"/>
      <c r="LQR425" s="15"/>
      <c r="LQS425" s="15"/>
      <c r="LQT425" s="15"/>
      <c r="LQU425" s="15"/>
      <c r="LQV425" s="15"/>
      <c r="LQW425" s="15"/>
      <c r="LQX425" s="15"/>
      <c r="LQY425" s="15"/>
      <c r="LQZ425" s="15"/>
      <c r="LRA425" s="15"/>
      <c r="LRB425" s="15"/>
      <c r="LRC425" s="15"/>
      <c r="LRD425" s="15"/>
      <c r="LRE425" s="15"/>
      <c r="LRF425" s="15"/>
      <c r="LRG425" s="15"/>
      <c r="LRH425" s="15"/>
      <c r="LRI425" s="15"/>
      <c r="LRJ425" s="15"/>
      <c r="LRK425" s="15"/>
      <c r="LRL425" s="15"/>
      <c r="LRM425" s="15"/>
      <c r="LRN425" s="15"/>
      <c r="LRO425" s="15"/>
      <c r="LRP425" s="15"/>
      <c r="LRQ425" s="15"/>
      <c r="LRR425" s="15"/>
      <c r="LRS425" s="15"/>
      <c r="LRT425" s="15"/>
      <c r="LRU425" s="15"/>
      <c r="LRV425" s="15"/>
      <c r="LRW425" s="15"/>
      <c r="LRX425" s="15"/>
      <c r="LRY425" s="15"/>
      <c r="LRZ425" s="15"/>
      <c r="LSA425" s="15"/>
      <c r="LSB425" s="15"/>
      <c r="LSC425" s="15"/>
      <c r="LSD425" s="15"/>
      <c r="LSE425" s="15"/>
      <c r="LSF425" s="15"/>
      <c r="LSG425" s="15"/>
      <c r="LSH425" s="15"/>
      <c r="LSI425" s="15"/>
      <c r="LSJ425" s="15"/>
      <c r="LSK425" s="15"/>
      <c r="LSL425" s="15"/>
      <c r="LSM425" s="15"/>
      <c r="LSN425" s="15"/>
      <c r="LSO425" s="15"/>
      <c r="LSP425" s="15"/>
      <c r="LSQ425" s="15"/>
      <c r="LSR425" s="15"/>
      <c r="LSS425" s="15"/>
      <c r="LST425" s="15"/>
      <c r="LSU425" s="15"/>
      <c r="LSV425" s="15"/>
      <c r="LSW425" s="15"/>
      <c r="LSX425" s="15"/>
      <c r="LSY425" s="15"/>
      <c r="LSZ425" s="15"/>
      <c r="LTA425" s="15"/>
      <c r="LTB425" s="15"/>
      <c r="LTC425" s="15"/>
      <c r="LTD425" s="15"/>
      <c r="LTE425" s="15"/>
      <c r="LTF425" s="15"/>
      <c r="LTG425" s="15"/>
      <c r="LTH425" s="15"/>
      <c r="LTI425" s="15"/>
      <c r="LTJ425" s="15"/>
      <c r="LTK425" s="15"/>
      <c r="LTL425" s="15"/>
      <c r="LTM425" s="15"/>
      <c r="LTN425" s="15"/>
      <c r="LTO425" s="15"/>
      <c r="LTP425" s="15"/>
      <c r="LTQ425" s="15"/>
      <c r="LTR425" s="15"/>
      <c r="LTS425" s="15"/>
      <c r="LTT425" s="15"/>
      <c r="LTU425" s="15"/>
      <c r="LTV425" s="15"/>
      <c r="LTW425" s="15"/>
      <c r="LTX425" s="15"/>
      <c r="LTY425" s="15"/>
      <c r="LTZ425" s="15"/>
      <c r="LUA425" s="15"/>
      <c r="LUB425" s="15"/>
      <c r="LUC425" s="15"/>
      <c r="LUD425" s="15"/>
      <c r="LUE425" s="15"/>
      <c r="LUF425" s="15"/>
      <c r="LUG425" s="15"/>
      <c r="LUH425" s="15"/>
      <c r="LUI425" s="15"/>
      <c r="LUJ425" s="15"/>
      <c r="LUK425" s="15"/>
      <c r="LUL425" s="15"/>
      <c r="LUM425" s="15"/>
      <c r="LUN425" s="15"/>
      <c r="LUO425" s="15"/>
      <c r="LUP425" s="15"/>
      <c r="LUQ425" s="15"/>
      <c r="LUR425" s="15"/>
      <c r="LUS425" s="15"/>
      <c r="LUT425" s="15"/>
      <c r="LUU425" s="15"/>
      <c r="LUV425" s="15"/>
      <c r="LUW425" s="15"/>
      <c r="LUX425" s="15"/>
      <c r="LUY425" s="15"/>
      <c r="LUZ425" s="15"/>
      <c r="LVA425" s="15"/>
      <c r="LVB425" s="15"/>
      <c r="LVC425" s="15"/>
      <c r="LVD425" s="15"/>
      <c r="LVE425" s="15"/>
      <c r="LVF425" s="15"/>
      <c r="LVG425" s="15"/>
      <c r="LVH425" s="15"/>
      <c r="LVI425" s="15"/>
      <c r="LVJ425" s="15"/>
      <c r="LVK425" s="15"/>
      <c r="LVL425" s="15"/>
      <c r="LVM425" s="15"/>
      <c r="LVN425" s="15"/>
      <c r="LVO425" s="15"/>
      <c r="LVP425" s="15"/>
      <c r="LVQ425" s="15"/>
      <c r="LVR425" s="15"/>
      <c r="LVS425" s="15"/>
      <c r="LVT425" s="15"/>
      <c r="LVU425" s="15"/>
      <c r="LVV425" s="15"/>
      <c r="LVW425" s="15"/>
      <c r="LVX425" s="15"/>
      <c r="LVY425" s="15"/>
      <c r="LVZ425" s="15"/>
      <c r="LWA425" s="15"/>
      <c r="LWB425" s="15"/>
      <c r="LWC425" s="15"/>
      <c r="LWD425" s="15"/>
      <c r="LWE425" s="15"/>
      <c r="LWF425" s="15"/>
      <c r="LWG425" s="15"/>
      <c r="LWH425" s="15"/>
      <c r="LWI425" s="15"/>
      <c r="LWJ425" s="15"/>
      <c r="LWK425" s="15"/>
      <c r="LWL425" s="15"/>
      <c r="LWM425" s="15"/>
      <c r="LWN425" s="15"/>
      <c r="LWO425" s="15"/>
      <c r="LWP425" s="15"/>
      <c r="LWQ425" s="15"/>
      <c r="LWR425" s="15"/>
      <c r="LWS425" s="15"/>
      <c r="LWT425" s="15"/>
      <c r="LWU425" s="15"/>
      <c r="LWV425" s="15"/>
      <c r="LWW425" s="15"/>
      <c r="LWX425" s="15"/>
      <c r="LWY425" s="15"/>
      <c r="LWZ425" s="15"/>
      <c r="LXA425" s="15"/>
      <c r="LXB425" s="15"/>
      <c r="LXC425" s="15"/>
      <c r="LXD425" s="15"/>
      <c r="LXE425" s="15"/>
      <c r="LXF425" s="15"/>
      <c r="LXG425" s="15"/>
      <c r="LXH425" s="15"/>
      <c r="LXI425" s="15"/>
      <c r="LXJ425" s="15"/>
      <c r="LXK425" s="15"/>
      <c r="LXL425" s="15"/>
      <c r="LXM425" s="15"/>
      <c r="LXN425" s="15"/>
      <c r="LXO425" s="15"/>
      <c r="LXP425" s="15"/>
      <c r="LXQ425" s="15"/>
      <c r="LXR425" s="15"/>
      <c r="LXS425" s="15"/>
      <c r="LXT425" s="15"/>
      <c r="LXU425" s="15"/>
      <c r="LXV425" s="15"/>
      <c r="LXW425" s="15"/>
      <c r="LXX425" s="15"/>
      <c r="LXY425" s="15"/>
      <c r="LXZ425" s="15"/>
      <c r="LYA425" s="15"/>
      <c r="LYB425" s="15"/>
      <c r="LYC425" s="15"/>
      <c r="LYD425" s="15"/>
      <c r="LYE425" s="15"/>
      <c r="LYF425" s="15"/>
      <c r="LYG425" s="15"/>
      <c r="LYH425" s="15"/>
      <c r="LYI425" s="15"/>
      <c r="LYJ425" s="15"/>
      <c r="LYK425" s="15"/>
      <c r="LYL425" s="15"/>
      <c r="LYM425" s="15"/>
      <c r="LYN425" s="15"/>
      <c r="LYO425" s="15"/>
      <c r="LYP425" s="15"/>
      <c r="LYQ425" s="15"/>
      <c r="LYR425" s="15"/>
      <c r="LYS425" s="15"/>
      <c r="LYT425" s="15"/>
      <c r="LYU425" s="15"/>
      <c r="LYV425" s="15"/>
      <c r="LYW425" s="15"/>
      <c r="LYX425" s="15"/>
      <c r="LYY425" s="15"/>
      <c r="LYZ425" s="15"/>
      <c r="LZA425" s="15"/>
      <c r="LZB425" s="15"/>
      <c r="LZC425" s="15"/>
      <c r="LZD425" s="15"/>
      <c r="LZE425" s="15"/>
      <c r="LZF425" s="15"/>
      <c r="LZG425" s="15"/>
      <c r="LZH425" s="15"/>
      <c r="LZI425" s="15"/>
      <c r="LZJ425" s="15"/>
      <c r="LZK425" s="15"/>
      <c r="LZL425" s="15"/>
      <c r="LZM425" s="15"/>
      <c r="LZN425" s="15"/>
      <c r="LZO425" s="15"/>
      <c r="LZP425" s="15"/>
      <c r="LZQ425" s="15"/>
      <c r="LZR425" s="15"/>
      <c r="LZS425" s="15"/>
      <c r="LZT425" s="15"/>
      <c r="LZU425" s="15"/>
      <c r="LZV425" s="15"/>
      <c r="LZW425" s="15"/>
      <c r="LZX425" s="15"/>
      <c r="LZY425" s="15"/>
      <c r="LZZ425" s="15"/>
      <c r="MAA425" s="15"/>
      <c r="MAB425" s="15"/>
      <c r="MAC425" s="15"/>
      <c r="MAD425" s="15"/>
      <c r="MAE425" s="15"/>
      <c r="MAF425" s="15"/>
      <c r="MAG425" s="15"/>
      <c r="MAH425" s="15"/>
      <c r="MAI425" s="15"/>
      <c r="MAJ425" s="15"/>
      <c r="MAK425" s="15"/>
      <c r="MAL425" s="15"/>
      <c r="MAM425" s="15"/>
      <c r="MAN425" s="15"/>
      <c r="MAO425" s="15"/>
      <c r="MAP425" s="15"/>
      <c r="MAQ425" s="15"/>
      <c r="MAR425" s="15"/>
      <c r="MAS425" s="15"/>
      <c r="MAT425" s="15"/>
      <c r="MAU425" s="15"/>
      <c r="MAV425" s="15"/>
      <c r="MAW425" s="15"/>
      <c r="MAX425" s="15"/>
      <c r="MAY425" s="15"/>
      <c r="MAZ425" s="15"/>
      <c r="MBA425" s="15"/>
      <c r="MBB425" s="15"/>
      <c r="MBC425" s="15"/>
      <c r="MBD425" s="15"/>
      <c r="MBE425" s="15"/>
      <c r="MBF425" s="15"/>
      <c r="MBG425" s="15"/>
      <c r="MBH425" s="15"/>
      <c r="MBI425" s="15"/>
      <c r="MBJ425" s="15"/>
      <c r="MBK425" s="15"/>
      <c r="MBL425" s="15"/>
      <c r="MBM425" s="15"/>
      <c r="MBN425" s="15"/>
      <c r="MBO425" s="15"/>
      <c r="MBP425" s="15"/>
      <c r="MBQ425" s="15"/>
      <c r="MBR425" s="15"/>
      <c r="MBS425" s="15"/>
      <c r="MBT425" s="15"/>
      <c r="MBU425" s="15"/>
      <c r="MBV425" s="15"/>
      <c r="MBW425" s="15"/>
      <c r="MBX425" s="15"/>
      <c r="MBY425" s="15"/>
      <c r="MBZ425" s="15"/>
      <c r="MCA425" s="15"/>
      <c r="MCB425" s="15"/>
      <c r="MCC425" s="15"/>
      <c r="MCD425" s="15"/>
      <c r="MCE425" s="15"/>
      <c r="MCF425" s="15"/>
      <c r="MCG425" s="15"/>
      <c r="MCH425" s="15"/>
      <c r="MCI425" s="15"/>
      <c r="MCJ425" s="15"/>
      <c r="MCK425" s="15"/>
      <c r="MCL425" s="15"/>
      <c r="MCM425" s="15"/>
      <c r="MCN425" s="15"/>
      <c r="MCO425" s="15"/>
      <c r="MCP425" s="15"/>
      <c r="MCQ425" s="15"/>
      <c r="MCR425" s="15"/>
      <c r="MCS425" s="15"/>
      <c r="MCT425" s="15"/>
      <c r="MCU425" s="15"/>
      <c r="MCV425" s="15"/>
      <c r="MCW425" s="15"/>
      <c r="MCX425" s="15"/>
      <c r="MCY425" s="15"/>
      <c r="MCZ425" s="15"/>
      <c r="MDA425" s="15"/>
      <c r="MDB425" s="15"/>
      <c r="MDC425" s="15"/>
      <c r="MDD425" s="15"/>
      <c r="MDE425" s="15"/>
      <c r="MDF425" s="15"/>
      <c r="MDG425" s="15"/>
      <c r="MDH425" s="15"/>
      <c r="MDI425" s="15"/>
      <c r="MDJ425" s="15"/>
      <c r="MDK425" s="15"/>
      <c r="MDL425" s="15"/>
      <c r="MDM425" s="15"/>
      <c r="MDN425" s="15"/>
      <c r="MDO425" s="15"/>
      <c r="MDP425" s="15"/>
      <c r="MDQ425" s="15"/>
      <c r="MDR425" s="15"/>
      <c r="MDS425" s="15"/>
      <c r="MDT425" s="15"/>
      <c r="MDU425" s="15"/>
      <c r="MDV425" s="15"/>
      <c r="MDW425" s="15"/>
      <c r="MDX425" s="15"/>
      <c r="MDY425" s="15"/>
      <c r="MDZ425" s="15"/>
      <c r="MEA425" s="15"/>
      <c r="MEB425" s="15"/>
      <c r="MEC425" s="15"/>
      <c r="MED425" s="15"/>
      <c r="MEE425" s="15"/>
      <c r="MEF425" s="15"/>
      <c r="MEG425" s="15"/>
      <c r="MEH425" s="15"/>
      <c r="MEI425" s="15"/>
      <c r="MEJ425" s="15"/>
      <c r="MEK425" s="15"/>
      <c r="MEL425" s="15"/>
      <c r="MEM425" s="15"/>
      <c r="MEN425" s="15"/>
      <c r="MEO425" s="15"/>
      <c r="MEP425" s="15"/>
      <c r="MEQ425" s="15"/>
      <c r="MER425" s="15"/>
      <c r="MES425" s="15"/>
      <c r="MET425" s="15"/>
      <c r="MEU425" s="15"/>
      <c r="MEV425" s="15"/>
      <c r="MEW425" s="15"/>
      <c r="MEX425" s="15"/>
      <c r="MEY425" s="15"/>
      <c r="MEZ425" s="15"/>
      <c r="MFA425" s="15"/>
      <c r="MFB425" s="15"/>
      <c r="MFC425" s="15"/>
      <c r="MFD425" s="15"/>
      <c r="MFE425" s="15"/>
      <c r="MFF425" s="15"/>
      <c r="MFG425" s="15"/>
      <c r="MFH425" s="15"/>
      <c r="MFI425" s="15"/>
      <c r="MFJ425" s="15"/>
      <c r="MFK425" s="15"/>
      <c r="MFL425" s="15"/>
      <c r="MFM425" s="15"/>
      <c r="MFN425" s="15"/>
      <c r="MFO425" s="15"/>
      <c r="MFP425" s="15"/>
      <c r="MFQ425" s="15"/>
      <c r="MFR425" s="15"/>
      <c r="MFS425" s="15"/>
      <c r="MFT425" s="15"/>
      <c r="MFU425" s="15"/>
      <c r="MFV425" s="15"/>
      <c r="MFW425" s="15"/>
      <c r="MFX425" s="15"/>
      <c r="MFY425" s="15"/>
      <c r="MFZ425" s="15"/>
      <c r="MGA425" s="15"/>
      <c r="MGB425" s="15"/>
      <c r="MGC425" s="15"/>
      <c r="MGD425" s="15"/>
      <c r="MGE425" s="15"/>
      <c r="MGF425" s="15"/>
      <c r="MGG425" s="15"/>
      <c r="MGH425" s="15"/>
      <c r="MGI425" s="15"/>
      <c r="MGJ425" s="15"/>
      <c r="MGK425" s="15"/>
      <c r="MGL425" s="15"/>
      <c r="MGM425" s="15"/>
      <c r="MGN425" s="15"/>
      <c r="MGO425" s="15"/>
      <c r="MGP425" s="15"/>
      <c r="MGQ425" s="15"/>
      <c r="MGR425" s="15"/>
      <c r="MGS425" s="15"/>
      <c r="MGT425" s="15"/>
      <c r="MGU425" s="15"/>
      <c r="MGV425" s="15"/>
      <c r="MGW425" s="15"/>
      <c r="MGX425" s="15"/>
      <c r="MGY425" s="15"/>
      <c r="MGZ425" s="15"/>
      <c r="MHA425" s="15"/>
      <c r="MHB425" s="15"/>
      <c r="MHC425" s="15"/>
      <c r="MHD425" s="15"/>
      <c r="MHE425" s="15"/>
      <c r="MHF425" s="15"/>
      <c r="MHG425" s="15"/>
      <c r="MHH425" s="15"/>
      <c r="MHI425" s="15"/>
      <c r="MHJ425" s="15"/>
      <c r="MHK425" s="15"/>
      <c r="MHL425" s="15"/>
      <c r="MHM425" s="15"/>
      <c r="MHN425" s="15"/>
      <c r="MHO425" s="15"/>
      <c r="MHP425" s="15"/>
      <c r="MHQ425" s="15"/>
      <c r="MHR425" s="15"/>
      <c r="MHS425" s="15"/>
      <c r="MHT425" s="15"/>
      <c r="MHU425" s="15"/>
      <c r="MHV425" s="15"/>
      <c r="MHW425" s="15"/>
      <c r="MHX425" s="15"/>
      <c r="MHY425" s="15"/>
      <c r="MHZ425" s="15"/>
      <c r="MIA425" s="15"/>
      <c r="MIB425" s="15"/>
      <c r="MIC425" s="15"/>
      <c r="MID425" s="15"/>
      <c r="MIE425" s="15"/>
      <c r="MIF425" s="15"/>
      <c r="MIG425" s="15"/>
      <c r="MIH425" s="15"/>
      <c r="MII425" s="15"/>
      <c r="MIJ425" s="15"/>
      <c r="MIK425" s="15"/>
      <c r="MIL425" s="15"/>
      <c r="MIM425" s="15"/>
      <c r="MIN425" s="15"/>
      <c r="MIO425" s="15"/>
      <c r="MIP425" s="15"/>
      <c r="MIQ425" s="15"/>
      <c r="MIR425" s="15"/>
      <c r="MIS425" s="15"/>
      <c r="MIT425" s="15"/>
      <c r="MIU425" s="15"/>
      <c r="MIV425" s="15"/>
      <c r="MIW425" s="15"/>
      <c r="MIX425" s="15"/>
      <c r="MIY425" s="15"/>
      <c r="MIZ425" s="15"/>
      <c r="MJA425" s="15"/>
      <c r="MJB425" s="15"/>
      <c r="MJC425" s="15"/>
      <c r="MJD425" s="15"/>
      <c r="MJE425" s="15"/>
      <c r="MJF425" s="15"/>
      <c r="MJG425" s="15"/>
      <c r="MJH425" s="15"/>
      <c r="MJI425" s="15"/>
      <c r="MJJ425" s="15"/>
      <c r="MJK425" s="15"/>
      <c r="MJL425" s="15"/>
      <c r="MJM425" s="15"/>
      <c r="MJN425" s="15"/>
      <c r="MJO425" s="15"/>
      <c r="MJP425" s="15"/>
      <c r="MJQ425" s="15"/>
      <c r="MJR425" s="15"/>
      <c r="MJS425" s="15"/>
      <c r="MJT425" s="15"/>
      <c r="MJU425" s="15"/>
      <c r="MJV425" s="15"/>
      <c r="MJW425" s="15"/>
      <c r="MJX425" s="15"/>
      <c r="MJY425" s="15"/>
      <c r="MJZ425" s="15"/>
      <c r="MKA425" s="15"/>
      <c r="MKB425" s="15"/>
      <c r="MKC425" s="15"/>
      <c r="MKD425" s="15"/>
      <c r="MKE425" s="15"/>
      <c r="MKF425" s="15"/>
      <c r="MKG425" s="15"/>
      <c r="MKH425" s="15"/>
      <c r="MKI425" s="15"/>
      <c r="MKJ425" s="15"/>
      <c r="MKK425" s="15"/>
      <c r="MKL425" s="15"/>
      <c r="MKM425" s="15"/>
      <c r="MKN425" s="15"/>
      <c r="MKO425" s="15"/>
      <c r="MKP425" s="15"/>
      <c r="MKQ425" s="15"/>
      <c r="MKR425" s="15"/>
      <c r="MKS425" s="15"/>
      <c r="MKT425" s="15"/>
      <c r="MKU425" s="15"/>
      <c r="MKV425" s="15"/>
      <c r="MKW425" s="15"/>
      <c r="MKX425" s="15"/>
      <c r="MKY425" s="15"/>
      <c r="MKZ425" s="15"/>
      <c r="MLA425" s="15"/>
      <c r="MLB425" s="15"/>
      <c r="MLC425" s="15"/>
      <c r="MLD425" s="15"/>
      <c r="MLE425" s="15"/>
      <c r="MLF425" s="15"/>
      <c r="MLG425" s="15"/>
      <c r="MLH425" s="15"/>
      <c r="MLI425" s="15"/>
      <c r="MLJ425" s="15"/>
      <c r="MLK425" s="15"/>
      <c r="MLL425" s="15"/>
      <c r="MLM425" s="15"/>
      <c r="MLN425" s="15"/>
      <c r="MLO425" s="15"/>
      <c r="MLP425" s="15"/>
      <c r="MLQ425" s="15"/>
      <c r="MLR425" s="15"/>
      <c r="MLS425" s="15"/>
      <c r="MLT425" s="15"/>
      <c r="MLU425" s="15"/>
      <c r="MLV425" s="15"/>
      <c r="MLW425" s="15"/>
      <c r="MLX425" s="15"/>
      <c r="MLY425" s="15"/>
      <c r="MLZ425" s="15"/>
      <c r="MMA425" s="15"/>
      <c r="MMB425" s="15"/>
      <c r="MMC425" s="15"/>
      <c r="MMD425" s="15"/>
      <c r="MME425" s="15"/>
      <c r="MMF425" s="15"/>
      <c r="MMG425" s="15"/>
      <c r="MMH425" s="15"/>
      <c r="MMI425" s="15"/>
      <c r="MMJ425" s="15"/>
      <c r="MMK425" s="15"/>
      <c r="MML425" s="15"/>
      <c r="MMM425" s="15"/>
      <c r="MMN425" s="15"/>
      <c r="MMO425" s="15"/>
      <c r="MMP425" s="15"/>
      <c r="MMQ425" s="15"/>
      <c r="MMR425" s="15"/>
      <c r="MMS425" s="15"/>
      <c r="MMT425" s="15"/>
      <c r="MMU425" s="15"/>
      <c r="MMV425" s="15"/>
      <c r="MMW425" s="15"/>
      <c r="MMX425" s="15"/>
      <c r="MMY425" s="15"/>
      <c r="MMZ425" s="15"/>
      <c r="MNA425" s="15"/>
      <c r="MNB425" s="15"/>
      <c r="MNC425" s="15"/>
      <c r="MND425" s="15"/>
      <c r="MNE425" s="15"/>
      <c r="MNF425" s="15"/>
      <c r="MNG425" s="15"/>
      <c r="MNH425" s="15"/>
      <c r="MNI425" s="15"/>
      <c r="MNJ425" s="15"/>
      <c r="MNK425" s="15"/>
      <c r="MNL425" s="15"/>
      <c r="MNM425" s="15"/>
      <c r="MNN425" s="15"/>
      <c r="MNO425" s="15"/>
      <c r="MNP425" s="15"/>
      <c r="MNQ425" s="15"/>
      <c r="MNR425" s="15"/>
      <c r="MNS425" s="15"/>
      <c r="MNT425" s="15"/>
      <c r="MNU425" s="15"/>
      <c r="MNV425" s="15"/>
      <c r="MNW425" s="15"/>
      <c r="MNX425" s="15"/>
      <c r="MNY425" s="15"/>
      <c r="MNZ425" s="15"/>
      <c r="MOA425" s="15"/>
      <c r="MOB425" s="15"/>
      <c r="MOC425" s="15"/>
      <c r="MOD425" s="15"/>
      <c r="MOE425" s="15"/>
      <c r="MOF425" s="15"/>
      <c r="MOG425" s="15"/>
      <c r="MOH425" s="15"/>
      <c r="MOI425" s="15"/>
      <c r="MOJ425" s="15"/>
      <c r="MOK425" s="15"/>
      <c r="MOL425" s="15"/>
      <c r="MOM425" s="15"/>
      <c r="MON425" s="15"/>
      <c r="MOO425" s="15"/>
      <c r="MOP425" s="15"/>
      <c r="MOQ425" s="15"/>
      <c r="MOR425" s="15"/>
      <c r="MOS425" s="15"/>
      <c r="MOT425" s="15"/>
      <c r="MOU425" s="15"/>
      <c r="MOV425" s="15"/>
      <c r="MOW425" s="15"/>
      <c r="MOX425" s="15"/>
      <c r="MOY425" s="15"/>
      <c r="MOZ425" s="15"/>
      <c r="MPA425" s="15"/>
      <c r="MPB425" s="15"/>
      <c r="MPC425" s="15"/>
      <c r="MPD425" s="15"/>
      <c r="MPE425" s="15"/>
      <c r="MPF425" s="15"/>
      <c r="MPG425" s="15"/>
      <c r="MPH425" s="15"/>
      <c r="MPI425" s="15"/>
      <c r="MPJ425" s="15"/>
      <c r="MPK425" s="15"/>
      <c r="MPL425" s="15"/>
      <c r="MPM425" s="15"/>
      <c r="MPN425" s="15"/>
      <c r="MPO425" s="15"/>
      <c r="MPP425" s="15"/>
      <c r="MPQ425" s="15"/>
      <c r="MPR425" s="15"/>
      <c r="MPS425" s="15"/>
      <c r="MPT425" s="15"/>
      <c r="MPU425" s="15"/>
      <c r="MPV425" s="15"/>
      <c r="MPW425" s="15"/>
      <c r="MPX425" s="15"/>
      <c r="MPY425" s="15"/>
      <c r="MPZ425" s="15"/>
      <c r="MQA425" s="15"/>
      <c r="MQB425" s="15"/>
      <c r="MQC425" s="15"/>
      <c r="MQD425" s="15"/>
      <c r="MQE425" s="15"/>
      <c r="MQF425" s="15"/>
      <c r="MQG425" s="15"/>
      <c r="MQH425" s="15"/>
      <c r="MQI425" s="15"/>
      <c r="MQJ425" s="15"/>
      <c r="MQK425" s="15"/>
      <c r="MQL425" s="15"/>
      <c r="MQM425" s="15"/>
      <c r="MQN425" s="15"/>
      <c r="MQO425" s="15"/>
      <c r="MQP425" s="15"/>
      <c r="MQQ425" s="15"/>
      <c r="MQR425" s="15"/>
      <c r="MQS425" s="15"/>
      <c r="MQT425" s="15"/>
      <c r="MQU425" s="15"/>
      <c r="MQV425" s="15"/>
      <c r="MQW425" s="15"/>
      <c r="MQX425" s="15"/>
      <c r="MQY425" s="15"/>
      <c r="MQZ425" s="15"/>
      <c r="MRA425" s="15"/>
      <c r="MRB425" s="15"/>
      <c r="MRC425" s="15"/>
      <c r="MRD425" s="15"/>
      <c r="MRE425" s="15"/>
      <c r="MRF425" s="15"/>
      <c r="MRG425" s="15"/>
      <c r="MRH425" s="15"/>
      <c r="MRI425" s="15"/>
      <c r="MRJ425" s="15"/>
      <c r="MRK425" s="15"/>
      <c r="MRL425" s="15"/>
      <c r="MRM425" s="15"/>
      <c r="MRN425" s="15"/>
      <c r="MRO425" s="15"/>
      <c r="MRP425" s="15"/>
      <c r="MRQ425" s="15"/>
      <c r="MRR425" s="15"/>
      <c r="MRS425" s="15"/>
      <c r="MRT425" s="15"/>
      <c r="MRU425" s="15"/>
      <c r="MRV425" s="15"/>
      <c r="MRW425" s="15"/>
      <c r="MRX425" s="15"/>
      <c r="MRY425" s="15"/>
      <c r="MRZ425" s="15"/>
      <c r="MSA425" s="15"/>
      <c r="MSB425" s="15"/>
      <c r="MSC425" s="15"/>
      <c r="MSD425" s="15"/>
      <c r="MSE425" s="15"/>
      <c r="MSF425" s="15"/>
      <c r="MSG425" s="15"/>
      <c r="MSH425" s="15"/>
      <c r="MSI425" s="15"/>
      <c r="MSJ425" s="15"/>
      <c r="MSK425" s="15"/>
      <c r="MSL425" s="15"/>
      <c r="MSM425" s="15"/>
      <c r="MSN425" s="15"/>
      <c r="MSO425" s="15"/>
      <c r="MSP425" s="15"/>
      <c r="MSQ425" s="15"/>
      <c r="MSR425" s="15"/>
      <c r="MSS425" s="15"/>
      <c r="MST425" s="15"/>
      <c r="MSU425" s="15"/>
      <c r="MSV425" s="15"/>
      <c r="MSW425" s="15"/>
      <c r="MSX425" s="15"/>
      <c r="MSY425" s="15"/>
      <c r="MSZ425" s="15"/>
      <c r="MTA425" s="15"/>
      <c r="MTB425" s="15"/>
      <c r="MTC425" s="15"/>
      <c r="MTD425" s="15"/>
      <c r="MTE425" s="15"/>
      <c r="MTF425" s="15"/>
      <c r="MTG425" s="15"/>
      <c r="MTH425" s="15"/>
      <c r="MTI425" s="15"/>
      <c r="MTJ425" s="15"/>
      <c r="MTK425" s="15"/>
      <c r="MTL425" s="15"/>
      <c r="MTM425" s="15"/>
      <c r="MTN425" s="15"/>
      <c r="MTO425" s="15"/>
      <c r="MTP425" s="15"/>
      <c r="MTQ425" s="15"/>
      <c r="MTR425" s="15"/>
      <c r="MTS425" s="15"/>
      <c r="MTT425" s="15"/>
      <c r="MTU425" s="15"/>
      <c r="MTV425" s="15"/>
      <c r="MTW425" s="15"/>
      <c r="MTX425" s="15"/>
      <c r="MTY425" s="15"/>
      <c r="MTZ425" s="15"/>
      <c r="MUA425" s="15"/>
      <c r="MUB425" s="15"/>
      <c r="MUC425" s="15"/>
      <c r="MUD425" s="15"/>
      <c r="MUE425" s="15"/>
      <c r="MUF425" s="15"/>
      <c r="MUG425" s="15"/>
      <c r="MUH425" s="15"/>
      <c r="MUI425" s="15"/>
      <c r="MUJ425" s="15"/>
      <c r="MUK425" s="15"/>
      <c r="MUL425" s="15"/>
      <c r="MUM425" s="15"/>
      <c r="MUN425" s="15"/>
      <c r="MUO425" s="15"/>
      <c r="MUP425" s="15"/>
      <c r="MUQ425" s="15"/>
      <c r="MUR425" s="15"/>
      <c r="MUS425" s="15"/>
      <c r="MUT425" s="15"/>
      <c r="MUU425" s="15"/>
      <c r="MUV425" s="15"/>
      <c r="MUW425" s="15"/>
      <c r="MUX425" s="15"/>
      <c r="MUY425" s="15"/>
      <c r="MUZ425" s="15"/>
      <c r="MVA425" s="15"/>
      <c r="MVB425" s="15"/>
      <c r="MVC425" s="15"/>
      <c r="MVD425" s="15"/>
      <c r="MVE425" s="15"/>
      <c r="MVF425" s="15"/>
      <c r="MVG425" s="15"/>
      <c r="MVH425" s="15"/>
      <c r="MVI425" s="15"/>
      <c r="MVJ425" s="15"/>
      <c r="MVK425" s="15"/>
      <c r="MVL425" s="15"/>
      <c r="MVM425" s="15"/>
      <c r="MVN425" s="15"/>
      <c r="MVO425" s="15"/>
      <c r="MVP425" s="15"/>
      <c r="MVQ425" s="15"/>
      <c r="MVR425" s="15"/>
      <c r="MVS425" s="15"/>
      <c r="MVT425" s="15"/>
      <c r="MVU425" s="15"/>
      <c r="MVV425" s="15"/>
      <c r="MVW425" s="15"/>
      <c r="MVX425" s="15"/>
      <c r="MVY425" s="15"/>
      <c r="MVZ425" s="15"/>
      <c r="MWA425" s="15"/>
      <c r="MWB425" s="15"/>
      <c r="MWC425" s="15"/>
      <c r="MWD425" s="15"/>
      <c r="MWE425" s="15"/>
      <c r="MWF425" s="15"/>
      <c r="MWG425" s="15"/>
      <c r="MWH425" s="15"/>
      <c r="MWI425" s="15"/>
      <c r="MWJ425" s="15"/>
      <c r="MWK425" s="15"/>
      <c r="MWL425" s="15"/>
      <c r="MWM425" s="15"/>
      <c r="MWN425" s="15"/>
      <c r="MWO425" s="15"/>
      <c r="MWP425" s="15"/>
      <c r="MWQ425" s="15"/>
      <c r="MWR425" s="15"/>
      <c r="MWS425" s="15"/>
      <c r="MWT425" s="15"/>
      <c r="MWU425" s="15"/>
      <c r="MWV425" s="15"/>
      <c r="MWW425" s="15"/>
      <c r="MWX425" s="15"/>
      <c r="MWY425" s="15"/>
      <c r="MWZ425" s="15"/>
      <c r="MXA425" s="15"/>
      <c r="MXB425" s="15"/>
      <c r="MXC425" s="15"/>
      <c r="MXD425" s="15"/>
      <c r="MXE425" s="15"/>
      <c r="MXF425" s="15"/>
      <c r="MXG425" s="15"/>
      <c r="MXH425" s="15"/>
      <c r="MXI425" s="15"/>
      <c r="MXJ425" s="15"/>
      <c r="MXK425" s="15"/>
      <c r="MXL425" s="15"/>
      <c r="MXM425" s="15"/>
      <c r="MXN425" s="15"/>
      <c r="MXO425" s="15"/>
      <c r="MXP425" s="15"/>
      <c r="MXQ425" s="15"/>
      <c r="MXR425" s="15"/>
      <c r="MXS425" s="15"/>
      <c r="MXT425" s="15"/>
      <c r="MXU425" s="15"/>
      <c r="MXV425" s="15"/>
      <c r="MXW425" s="15"/>
      <c r="MXX425" s="15"/>
      <c r="MXY425" s="15"/>
      <c r="MXZ425" s="15"/>
      <c r="MYA425" s="15"/>
      <c r="MYB425" s="15"/>
      <c r="MYC425" s="15"/>
      <c r="MYD425" s="15"/>
      <c r="MYE425" s="15"/>
      <c r="MYF425" s="15"/>
      <c r="MYG425" s="15"/>
      <c r="MYH425" s="15"/>
      <c r="MYI425" s="15"/>
      <c r="MYJ425" s="15"/>
      <c r="MYK425" s="15"/>
      <c r="MYL425" s="15"/>
      <c r="MYM425" s="15"/>
      <c r="MYN425" s="15"/>
      <c r="MYO425" s="15"/>
      <c r="MYP425" s="15"/>
      <c r="MYQ425" s="15"/>
      <c r="MYR425" s="15"/>
      <c r="MYS425" s="15"/>
      <c r="MYT425" s="15"/>
      <c r="MYU425" s="15"/>
      <c r="MYV425" s="15"/>
      <c r="MYW425" s="15"/>
      <c r="MYX425" s="15"/>
      <c r="MYY425" s="15"/>
      <c r="MYZ425" s="15"/>
      <c r="MZA425" s="15"/>
      <c r="MZB425" s="15"/>
      <c r="MZC425" s="15"/>
      <c r="MZD425" s="15"/>
      <c r="MZE425" s="15"/>
      <c r="MZF425" s="15"/>
      <c r="MZG425" s="15"/>
      <c r="MZH425" s="15"/>
      <c r="MZI425" s="15"/>
      <c r="MZJ425" s="15"/>
      <c r="MZK425" s="15"/>
      <c r="MZL425" s="15"/>
      <c r="MZM425" s="15"/>
      <c r="MZN425" s="15"/>
      <c r="MZO425" s="15"/>
      <c r="MZP425" s="15"/>
      <c r="MZQ425" s="15"/>
      <c r="MZR425" s="15"/>
      <c r="MZS425" s="15"/>
      <c r="MZT425" s="15"/>
      <c r="MZU425" s="15"/>
      <c r="MZV425" s="15"/>
      <c r="MZW425" s="15"/>
      <c r="MZX425" s="15"/>
      <c r="MZY425" s="15"/>
      <c r="MZZ425" s="15"/>
      <c r="NAA425" s="15"/>
      <c r="NAB425" s="15"/>
      <c r="NAC425" s="15"/>
      <c r="NAD425" s="15"/>
      <c r="NAE425" s="15"/>
      <c r="NAF425" s="15"/>
      <c r="NAG425" s="15"/>
      <c r="NAH425" s="15"/>
      <c r="NAI425" s="15"/>
      <c r="NAJ425" s="15"/>
      <c r="NAK425" s="15"/>
      <c r="NAL425" s="15"/>
      <c r="NAM425" s="15"/>
      <c r="NAN425" s="15"/>
      <c r="NAO425" s="15"/>
      <c r="NAP425" s="15"/>
      <c r="NAQ425" s="15"/>
      <c r="NAR425" s="15"/>
      <c r="NAS425" s="15"/>
      <c r="NAT425" s="15"/>
      <c r="NAU425" s="15"/>
      <c r="NAV425" s="15"/>
      <c r="NAW425" s="15"/>
      <c r="NAX425" s="15"/>
      <c r="NAY425" s="15"/>
      <c r="NAZ425" s="15"/>
      <c r="NBA425" s="15"/>
      <c r="NBB425" s="15"/>
      <c r="NBC425" s="15"/>
      <c r="NBD425" s="15"/>
      <c r="NBE425" s="15"/>
      <c r="NBF425" s="15"/>
      <c r="NBG425" s="15"/>
      <c r="NBH425" s="15"/>
      <c r="NBI425" s="15"/>
      <c r="NBJ425" s="15"/>
      <c r="NBK425" s="15"/>
      <c r="NBL425" s="15"/>
      <c r="NBM425" s="15"/>
      <c r="NBN425" s="15"/>
      <c r="NBO425" s="15"/>
      <c r="NBP425" s="15"/>
      <c r="NBQ425" s="15"/>
      <c r="NBR425" s="15"/>
      <c r="NBS425" s="15"/>
      <c r="NBT425" s="15"/>
      <c r="NBU425" s="15"/>
      <c r="NBV425" s="15"/>
      <c r="NBW425" s="15"/>
      <c r="NBX425" s="15"/>
      <c r="NBY425" s="15"/>
      <c r="NBZ425" s="15"/>
      <c r="NCA425" s="15"/>
      <c r="NCB425" s="15"/>
      <c r="NCC425" s="15"/>
      <c r="NCD425" s="15"/>
      <c r="NCE425" s="15"/>
      <c r="NCF425" s="15"/>
      <c r="NCG425" s="15"/>
      <c r="NCH425" s="15"/>
      <c r="NCI425" s="15"/>
      <c r="NCJ425" s="15"/>
      <c r="NCK425" s="15"/>
      <c r="NCL425" s="15"/>
      <c r="NCM425" s="15"/>
      <c r="NCN425" s="15"/>
      <c r="NCO425" s="15"/>
      <c r="NCP425" s="15"/>
      <c r="NCQ425" s="15"/>
      <c r="NCR425" s="15"/>
      <c r="NCS425" s="15"/>
      <c r="NCT425" s="15"/>
      <c r="NCU425" s="15"/>
      <c r="NCV425" s="15"/>
      <c r="NCW425" s="15"/>
      <c r="NCX425" s="15"/>
      <c r="NCY425" s="15"/>
      <c r="NCZ425" s="15"/>
      <c r="NDA425" s="15"/>
      <c r="NDB425" s="15"/>
      <c r="NDC425" s="15"/>
      <c r="NDD425" s="15"/>
      <c r="NDE425" s="15"/>
      <c r="NDF425" s="15"/>
      <c r="NDG425" s="15"/>
      <c r="NDH425" s="15"/>
      <c r="NDI425" s="15"/>
      <c r="NDJ425" s="15"/>
      <c r="NDK425" s="15"/>
      <c r="NDL425" s="15"/>
      <c r="NDM425" s="15"/>
      <c r="NDN425" s="15"/>
      <c r="NDO425" s="15"/>
      <c r="NDP425" s="15"/>
      <c r="NDQ425" s="15"/>
      <c r="NDR425" s="15"/>
      <c r="NDS425" s="15"/>
      <c r="NDT425" s="15"/>
      <c r="NDU425" s="15"/>
      <c r="NDV425" s="15"/>
      <c r="NDW425" s="15"/>
      <c r="NDX425" s="15"/>
      <c r="NDY425" s="15"/>
      <c r="NDZ425" s="15"/>
      <c r="NEA425" s="15"/>
      <c r="NEB425" s="15"/>
      <c r="NEC425" s="15"/>
      <c r="NED425" s="15"/>
      <c r="NEE425" s="15"/>
      <c r="NEF425" s="15"/>
      <c r="NEG425" s="15"/>
      <c r="NEH425" s="15"/>
      <c r="NEI425" s="15"/>
      <c r="NEJ425" s="15"/>
      <c r="NEK425" s="15"/>
      <c r="NEL425" s="15"/>
      <c r="NEM425" s="15"/>
      <c r="NEN425" s="15"/>
      <c r="NEO425" s="15"/>
      <c r="NEP425" s="15"/>
      <c r="NEQ425" s="15"/>
      <c r="NER425" s="15"/>
      <c r="NES425" s="15"/>
      <c r="NET425" s="15"/>
      <c r="NEU425" s="15"/>
      <c r="NEV425" s="15"/>
      <c r="NEW425" s="15"/>
      <c r="NEX425" s="15"/>
      <c r="NEY425" s="15"/>
      <c r="NEZ425" s="15"/>
      <c r="NFA425" s="15"/>
      <c r="NFB425" s="15"/>
      <c r="NFC425" s="15"/>
      <c r="NFD425" s="15"/>
      <c r="NFE425" s="15"/>
      <c r="NFF425" s="15"/>
      <c r="NFG425" s="15"/>
      <c r="NFH425" s="15"/>
      <c r="NFI425" s="15"/>
      <c r="NFJ425" s="15"/>
      <c r="NFK425" s="15"/>
      <c r="NFL425" s="15"/>
      <c r="NFM425" s="15"/>
      <c r="NFN425" s="15"/>
      <c r="NFO425" s="15"/>
      <c r="NFP425" s="15"/>
      <c r="NFQ425" s="15"/>
      <c r="NFR425" s="15"/>
      <c r="NFS425" s="15"/>
      <c r="NFT425" s="15"/>
      <c r="NFU425" s="15"/>
      <c r="NFV425" s="15"/>
      <c r="NFW425" s="15"/>
      <c r="NFX425" s="15"/>
      <c r="NFY425" s="15"/>
      <c r="NFZ425" s="15"/>
      <c r="NGA425" s="15"/>
      <c r="NGB425" s="15"/>
      <c r="NGC425" s="15"/>
      <c r="NGD425" s="15"/>
      <c r="NGE425" s="15"/>
      <c r="NGF425" s="15"/>
      <c r="NGG425" s="15"/>
      <c r="NGH425" s="15"/>
      <c r="NGI425" s="15"/>
      <c r="NGJ425" s="15"/>
      <c r="NGK425" s="15"/>
      <c r="NGL425" s="15"/>
      <c r="NGM425" s="15"/>
      <c r="NGN425" s="15"/>
      <c r="NGO425" s="15"/>
      <c r="NGP425" s="15"/>
      <c r="NGQ425" s="15"/>
      <c r="NGR425" s="15"/>
      <c r="NGS425" s="15"/>
      <c r="NGT425" s="15"/>
      <c r="NGU425" s="15"/>
      <c r="NGV425" s="15"/>
      <c r="NGW425" s="15"/>
      <c r="NGX425" s="15"/>
      <c r="NGY425" s="15"/>
      <c r="NGZ425" s="15"/>
      <c r="NHA425" s="15"/>
      <c r="NHB425" s="15"/>
      <c r="NHC425" s="15"/>
      <c r="NHD425" s="15"/>
      <c r="NHE425" s="15"/>
      <c r="NHF425" s="15"/>
      <c r="NHG425" s="15"/>
      <c r="NHH425" s="15"/>
      <c r="NHI425" s="15"/>
      <c r="NHJ425" s="15"/>
      <c r="NHK425" s="15"/>
      <c r="NHL425" s="15"/>
      <c r="NHM425" s="15"/>
      <c r="NHN425" s="15"/>
      <c r="NHO425" s="15"/>
      <c r="NHP425" s="15"/>
      <c r="NHQ425" s="15"/>
      <c r="NHR425" s="15"/>
      <c r="NHS425" s="15"/>
      <c r="NHT425" s="15"/>
      <c r="NHU425" s="15"/>
      <c r="NHV425" s="15"/>
      <c r="NHW425" s="15"/>
      <c r="NHX425" s="15"/>
      <c r="NHY425" s="15"/>
      <c r="NHZ425" s="15"/>
      <c r="NIA425" s="15"/>
      <c r="NIB425" s="15"/>
      <c r="NIC425" s="15"/>
      <c r="NID425" s="15"/>
      <c r="NIE425" s="15"/>
      <c r="NIF425" s="15"/>
      <c r="NIG425" s="15"/>
      <c r="NIH425" s="15"/>
      <c r="NII425" s="15"/>
      <c r="NIJ425" s="15"/>
      <c r="NIK425" s="15"/>
      <c r="NIL425" s="15"/>
      <c r="NIM425" s="15"/>
      <c r="NIN425" s="15"/>
      <c r="NIO425" s="15"/>
      <c r="NIP425" s="15"/>
      <c r="NIQ425" s="15"/>
      <c r="NIR425" s="15"/>
      <c r="NIS425" s="15"/>
      <c r="NIT425" s="15"/>
      <c r="NIU425" s="15"/>
      <c r="NIV425" s="15"/>
      <c r="NIW425" s="15"/>
      <c r="NIX425" s="15"/>
      <c r="NIY425" s="15"/>
      <c r="NIZ425" s="15"/>
      <c r="NJA425" s="15"/>
      <c r="NJB425" s="15"/>
      <c r="NJC425" s="15"/>
      <c r="NJD425" s="15"/>
      <c r="NJE425" s="15"/>
      <c r="NJF425" s="15"/>
      <c r="NJG425" s="15"/>
      <c r="NJH425" s="15"/>
      <c r="NJI425" s="15"/>
      <c r="NJJ425" s="15"/>
      <c r="NJK425" s="15"/>
      <c r="NJL425" s="15"/>
      <c r="NJM425" s="15"/>
      <c r="NJN425" s="15"/>
      <c r="NJO425" s="15"/>
      <c r="NJP425" s="15"/>
      <c r="NJQ425" s="15"/>
      <c r="NJR425" s="15"/>
      <c r="NJS425" s="15"/>
      <c r="NJT425" s="15"/>
      <c r="NJU425" s="15"/>
      <c r="NJV425" s="15"/>
      <c r="NJW425" s="15"/>
      <c r="NJX425" s="15"/>
      <c r="NJY425" s="15"/>
      <c r="NJZ425" s="15"/>
      <c r="NKA425" s="15"/>
      <c r="NKB425" s="15"/>
      <c r="NKC425" s="15"/>
      <c r="NKD425" s="15"/>
      <c r="NKE425" s="15"/>
      <c r="NKF425" s="15"/>
      <c r="NKG425" s="15"/>
      <c r="NKH425" s="15"/>
      <c r="NKI425" s="15"/>
      <c r="NKJ425" s="15"/>
      <c r="NKK425" s="15"/>
      <c r="NKL425" s="15"/>
      <c r="NKM425" s="15"/>
      <c r="NKN425" s="15"/>
      <c r="NKO425" s="15"/>
      <c r="NKP425" s="15"/>
      <c r="NKQ425" s="15"/>
      <c r="NKR425" s="15"/>
      <c r="NKS425" s="15"/>
      <c r="NKT425" s="15"/>
      <c r="NKU425" s="15"/>
      <c r="NKV425" s="15"/>
      <c r="NKW425" s="15"/>
      <c r="NKX425" s="15"/>
      <c r="NKY425" s="15"/>
      <c r="NKZ425" s="15"/>
      <c r="NLA425" s="15"/>
      <c r="NLB425" s="15"/>
      <c r="NLC425" s="15"/>
      <c r="NLD425" s="15"/>
      <c r="NLE425" s="15"/>
      <c r="NLF425" s="15"/>
      <c r="NLG425" s="15"/>
      <c r="NLH425" s="15"/>
      <c r="NLI425" s="15"/>
      <c r="NLJ425" s="15"/>
      <c r="NLK425" s="15"/>
      <c r="NLL425" s="15"/>
      <c r="NLM425" s="15"/>
      <c r="NLN425" s="15"/>
      <c r="NLO425" s="15"/>
      <c r="NLP425" s="15"/>
      <c r="NLQ425" s="15"/>
      <c r="NLR425" s="15"/>
      <c r="NLS425" s="15"/>
      <c r="NLT425" s="15"/>
      <c r="NLU425" s="15"/>
      <c r="NLV425" s="15"/>
      <c r="NLW425" s="15"/>
      <c r="NLX425" s="15"/>
      <c r="NLY425" s="15"/>
      <c r="NLZ425" s="15"/>
      <c r="NMA425" s="15"/>
      <c r="NMB425" s="15"/>
      <c r="NMC425" s="15"/>
      <c r="NMD425" s="15"/>
      <c r="NME425" s="15"/>
      <c r="NMF425" s="15"/>
      <c r="NMG425" s="15"/>
      <c r="NMH425" s="15"/>
      <c r="NMI425" s="15"/>
      <c r="NMJ425" s="15"/>
      <c r="NMK425" s="15"/>
      <c r="NML425" s="15"/>
      <c r="NMM425" s="15"/>
      <c r="NMN425" s="15"/>
      <c r="NMO425" s="15"/>
      <c r="NMP425" s="15"/>
      <c r="NMQ425" s="15"/>
      <c r="NMR425" s="15"/>
      <c r="NMS425" s="15"/>
      <c r="NMT425" s="15"/>
      <c r="NMU425" s="15"/>
      <c r="NMV425" s="15"/>
      <c r="NMW425" s="15"/>
      <c r="NMX425" s="15"/>
      <c r="NMY425" s="15"/>
      <c r="NMZ425" s="15"/>
      <c r="NNA425" s="15"/>
      <c r="NNB425" s="15"/>
      <c r="NNC425" s="15"/>
      <c r="NND425" s="15"/>
      <c r="NNE425" s="15"/>
      <c r="NNF425" s="15"/>
      <c r="NNG425" s="15"/>
      <c r="NNH425" s="15"/>
      <c r="NNI425" s="15"/>
      <c r="NNJ425" s="15"/>
      <c r="NNK425" s="15"/>
      <c r="NNL425" s="15"/>
      <c r="NNM425" s="15"/>
      <c r="NNN425" s="15"/>
      <c r="NNO425" s="15"/>
      <c r="NNP425" s="15"/>
      <c r="NNQ425" s="15"/>
      <c r="NNR425" s="15"/>
      <c r="NNS425" s="15"/>
      <c r="NNT425" s="15"/>
      <c r="NNU425" s="15"/>
      <c r="NNV425" s="15"/>
      <c r="NNW425" s="15"/>
      <c r="NNX425" s="15"/>
      <c r="NNY425" s="15"/>
      <c r="NNZ425" s="15"/>
      <c r="NOA425" s="15"/>
      <c r="NOB425" s="15"/>
      <c r="NOC425" s="15"/>
      <c r="NOD425" s="15"/>
      <c r="NOE425" s="15"/>
      <c r="NOF425" s="15"/>
      <c r="NOG425" s="15"/>
      <c r="NOH425" s="15"/>
      <c r="NOI425" s="15"/>
      <c r="NOJ425" s="15"/>
      <c r="NOK425" s="15"/>
      <c r="NOL425" s="15"/>
      <c r="NOM425" s="15"/>
      <c r="NON425" s="15"/>
      <c r="NOO425" s="15"/>
      <c r="NOP425" s="15"/>
      <c r="NOQ425" s="15"/>
      <c r="NOR425" s="15"/>
      <c r="NOS425" s="15"/>
      <c r="NOT425" s="15"/>
      <c r="NOU425" s="15"/>
      <c r="NOV425" s="15"/>
      <c r="NOW425" s="15"/>
      <c r="NOX425" s="15"/>
      <c r="NOY425" s="15"/>
      <c r="NOZ425" s="15"/>
      <c r="NPA425" s="15"/>
      <c r="NPB425" s="15"/>
      <c r="NPC425" s="15"/>
      <c r="NPD425" s="15"/>
      <c r="NPE425" s="15"/>
      <c r="NPF425" s="15"/>
      <c r="NPG425" s="15"/>
      <c r="NPH425" s="15"/>
      <c r="NPI425" s="15"/>
      <c r="NPJ425" s="15"/>
      <c r="NPK425" s="15"/>
      <c r="NPL425" s="15"/>
      <c r="NPM425" s="15"/>
      <c r="NPN425" s="15"/>
      <c r="NPO425" s="15"/>
      <c r="NPP425" s="15"/>
      <c r="NPQ425" s="15"/>
      <c r="NPR425" s="15"/>
      <c r="NPS425" s="15"/>
      <c r="NPT425" s="15"/>
      <c r="NPU425" s="15"/>
      <c r="NPV425" s="15"/>
      <c r="NPW425" s="15"/>
      <c r="NPX425" s="15"/>
      <c r="NPY425" s="15"/>
      <c r="NPZ425" s="15"/>
      <c r="NQA425" s="15"/>
      <c r="NQB425" s="15"/>
      <c r="NQC425" s="15"/>
      <c r="NQD425" s="15"/>
      <c r="NQE425" s="15"/>
      <c r="NQF425" s="15"/>
      <c r="NQG425" s="15"/>
      <c r="NQH425" s="15"/>
      <c r="NQI425" s="15"/>
      <c r="NQJ425" s="15"/>
      <c r="NQK425" s="15"/>
      <c r="NQL425" s="15"/>
      <c r="NQM425" s="15"/>
      <c r="NQN425" s="15"/>
      <c r="NQO425" s="15"/>
      <c r="NQP425" s="15"/>
      <c r="NQQ425" s="15"/>
      <c r="NQR425" s="15"/>
      <c r="NQS425" s="15"/>
      <c r="NQT425" s="15"/>
      <c r="NQU425" s="15"/>
      <c r="NQV425" s="15"/>
      <c r="NQW425" s="15"/>
      <c r="NQX425" s="15"/>
      <c r="NQY425" s="15"/>
      <c r="NQZ425" s="15"/>
      <c r="NRA425" s="15"/>
      <c r="NRB425" s="15"/>
      <c r="NRC425" s="15"/>
      <c r="NRD425" s="15"/>
      <c r="NRE425" s="15"/>
      <c r="NRF425" s="15"/>
      <c r="NRG425" s="15"/>
      <c r="NRH425" s="15"/>
      <c r="NRI425" s="15"/>
      <c r="NRJ425" s="15"/>
      <c r="NRK425" s="15"/>
      <c r="NRL425" s="15"/>
      <c r="NRM425" s="15"/>
      <c r="NRN425" s="15"/>
      <c r="NRO425" s="15"/>
      <c r="NRP425" s="15"/>
      <c r="NRQ425" s="15"/>
      <c r="NRR425" s="15"/>
      <c r="NRS425" s="15"/>
      <c r="NRT425" s="15"/>
      <c r="NRU425" s="15"/>
      <c r="NRV425" s="15"/>
      <c r="NRW425" s="15"/>
      <c r="NRX425" s="15"/>
      <c r="NRY425" s="15"/>
      <c r="NRZ425" s="15"/>
      <c r="NSA425" s="15"/>
      <c r="NSB425" s="15"/>
      <c r="NSC425" s="15"/>
      <c r="NSD425" s="15"/>
      <c r="NSE425" s="15"/>
      <c r="NSF425" s="15"/>
      <c r="NSG425" s="15"/>
      <c r="NSH425" s="15"/>
      <c r="NSI425" s="15"/>
      <c r="NSJ425" s="15"/>
      <c r="NSK425" s="15"/>
      <c r="NSL425" s="15"/>
      <c r="NSM425" s="15"/>
      <c r="NSN425" s="15"/>
      <c r="NSO425" s="15"/>
      <c r="NSP425" s="15"/>
      <c r="NSQ425" s="15"/>
      <c r="NSR425" s="15"/>
      <c r="NSS425" s="15"/>
      <c r="NST425" s="15"/>
      <c r="NSU425" s="15"/>
      <c r="NSV425" s="15"/>
      <c r="NSW425" s="15"/>
      <c r="NSX425" s="15"/>
      <c r="NSY425" s="15"/>
      <c r="NSZ425" s="15"/>
      <c r="NTA425" s="15"/>
      <c r="NTB425" s="15"/>
      <c r="NTC425" s="15"/>
      <c r="NTD425" s="15"/>
      <c r="NTE425" s="15"/>
      <c r="NTF425" s="15"/>
      <c r="NTG425" s="15"/>
      <c r="NTH425" s="15"/>
      <c r="NTI425" s="15"/>
      <c r="NTJ425" s="15"/>
      <c r="NTK425" s="15"/>
      <c r="NTL425" s="15"/>
      <c r="NTM425" s="15"/>
      <c r="NTN425" s="15"/>
      <c r="NTO425" s="15"/>
      <c r="NTP425" s="15"/>
      <c r="NTQ425" s="15"/>
      <c r="NTR425" s="15"/>
      <c r="NTS425" s="15"/>
      <c r="NTT425" s="15"/>
      <c r="NTU425" s="15"/>
      <c r="NTV425" s="15"/>
      <c r="NTW425" s="15"/>
      <c r="NTX425" s="15"/>
      <c r="NTY425" s="15"/>
      <c r="NTZ425" s="15"/>
      <c r="NUA425" s="15"/>
      <c r="NUB425" s="15"/>
      <c r="NUC425" s="15"/>
      <c r="NUD425" s="15"/>
      <c r="NUE425" s="15"/>
      <c r="NUF425" s="15"/>
      <c r="NUG425" s="15"/>
      <c r="NUH425" s="15"/>
      <c r="NUI425" s="15"/>
      <c r="NUJ425" s="15"/>
      <c r="NUK425" s="15"/>
      <c r="NUL425" s="15"/>
      <c r="NUM425" s="15"/>
      <c r="NUN425" s="15"/>
      <c r="NUO425" s="15"/>
      <c r="NUP425" s="15"/>
      <c r="NUQ425" s="15"/>
      <c r="NUR425" s="15"/>
      <c r="NUS425" s="15"/>
      <c r="NUT425" s="15"/>
      <c r="NUU425" s="15"/>
      <c r="NUV425" s="15"/>
      <c r="NUW425" s="15"/>
      <c r="NUX425" s="15"/>
      <c r="NUY425" s="15"/>
      <c r="NUZ425" s="15"/>
      <c r="NVA425" s="15"/>
      <c r="NVB425" s="15"/>
      <c r="NVC425" s="15"/>
      <c r="NVD425" s="15"/>
      <c r="NVE425" s="15"/>
      <c r="NVF425" s="15"/>
      <c r="NVG425" s="15"/>
      <c r="NVH425" s="15"/>
      <c r="NVI425" s="15"/>
      <c r="NVJ425" s="15"/>
      <c r="NVK425" s="15"/>
      <c r="NVL425" s="15"/>
      <c r="NVM425" s="15"/>
      <c r="NVN425" s="15"/>
      <c r="NVO425" s="15"/>
      <c r="NVP425" s="15"/>
      <c r="NVQ425" s="15"/>
      <c r="NVR425" s="15"/>
      <c r="NVS425" s="15"/>
      <c r="NVT425" s="15"/>
      <c r="NVU425" s="15"/>
      <c r="NVV425" s="15"/>
      <c r="NVW425" s="15"/>
      <c r="NVX425" s="15"/>
      <c r="NVY425" s="15"/>
      <c r="NVZ425" s="15"/>
      <c r="NWA425" s="15"/>
      <c r="NWB425" s="15"/>
      <c r="NWC425" s="15"/>
      <c r="NWD425" s="15"/>
      <c r="NWE425" s="15"/>
      <c r="NWF425" s="15"/>
      <c r="NWG425" s="15"/>
      <c r="NWH425" s="15"/>
      <c r="NWI425" s="15"/>
      <c r="NWJ425" s="15"/>
      <c r="NWK425" s="15"/>
      <c r="NWL425" s="15"/>
      <c r="NWM425" s="15"/>
      <c r="NWN425" s="15"/>
      <c r="NWO425" s="15"/>
      <c r="NWP425" s="15"/>
      <c r="NWQ425" s="15"/>
      <c r="NWR425" s="15"/>
      <c r="NWS425" s="15"/>
      <c r="NWT425" s="15"/>
      <c r="NWU425" s="15"/>
      <c r="NWV425" s="15"/>
      <c r="NWW425" s="15"/>
      <c r="NWX425" s="15"/>
      <c r="NWY425" s="15"/>
      <c r="NWZ425" s="15"/>
      <c r="NXA425" s="15"/>
      <c r="NXB425" s="15"/>
      <c r="NXC425" s="15"/>
      <c r="NXD425" s="15"/>
      <c r="NXE425" s="15"/>
      <c r="NXF425" s="15"/>
      <c r="NXG425" s="15"/>
      <c r="NXH425" s="15"/>
      <c r="NXI425" s="15"/>
      <c r="NXJ425" s="15"/>
      <c r="NXK425" s="15"/>
      <c r="NXL425" s="15"/>
      <c r="NXM425" s="15"/>
      <c r="NXN425" s="15"/>
      <c r="NXO425" s="15"/>
      <c r="NXP425" s="15"/>
      <c r="NXQ425" s="15"/>
      <c r="NXR425" s="15"/>
      <c r="NXS425" s="15"/>
      <c r="NXT425" s="15"/>
      <c r="NXU425" s="15"/>
      <c r="NXV425" s="15"/>
      <c r="NXW425" s="15"/>
      <c r="NXX425" s="15"/>
      <c r="NXY425" s="15"/>
      <c r="NXZ425" s="15"/>
      <c r="NYA425" s="15"/>
      <c r="NYB425" s="15"/>
      <c r="NYC425" s="15"/>
      <c r="NYD425" s="15"/>
      <c r="NYE425" s="15"/>
      <c r="NYF425" s="15"/>
      <c r="NYG425" s="15"/>
      <c r="NYH425" s="15"/>
      <c r="NYI425" s="15"/>
      <c r="NYJ425" s="15"/>
      <c r="NYK425" s="15"/>
      <c r="NYL425" s="15"/>
      <c r="NYM425" s="15"/>
      <c r="NYN425" s="15"/>
      <c r="NYO425" s="15"/>
      <c r="NYP425" s="15"/>
      <c r="NYQ425" s="15"/>
      <c r="NYR425" s="15"/>
      <c r="NYS425" s="15"/>
      <c r="NYT425" s="15"/>
      <c r="NYU425" s="15"/>
      <c r="NYV425" s="15"/>
      <c r="NYW425" s="15"/>
      <c r="NYX425" s="15"/>
      <c r="NYY425" s="15"/>
      <c r="NYZ425" s="15"/>
      <c r="NZA425" s="15"/>
      <c r="NZB425" s="15"/>
      <c r="NZC425" s="15"/>
      <c r="NZD425" s="15"/>
      <c r="NZE425" s="15"/>
      <c r="NZF425" s="15"/>
      <c r="NZG425" s="15"/>
      <c r="NZH425" s="15"/>
      <c r="NZI425" s="15"/>
      <c r="NZJ425" s="15"/>
      <c r="NZK425" s="15"/>
      <c r="NZL425" s="15"/>
      <c r="NZM425" s="15"/>
      <c r="NZN425" s="15"/>
      <c r="NZO425" s="15"/>
      <c r="NZP425" s="15"/>
      <c r="NZQ425" s="15"/>
      <c r="NZR425" s="15"/>
      <c r="NZS425" s="15"/>
      <c r="NZT425" s="15"/>
      <c r="NZU425" s="15"/>
      <c r="NZV425" s="15"/>
      <c r="NZW425" s="15"/>
      <c r="NZX425" s="15"/>
      <c r="NZY425" s="15"/>
      <c r="NZZ425" s="15"/>
      <c r="OAA425" s="15"/>
      <c r="OAB425" s="15"/>
      <c r="OAC425" s="15"/>
      <c r="OAD425" s="15"/>
      <c r="OAE425" s="15"/>
      <c r="OAF425" s="15"/>
      <c r="OAG425" s="15"/>
      <c r="OAH425" s="15"/>
      <c r="OAI425" s="15"/>
      <c r="OAJ425" s="15"/>
      <c r="OAK425" s="15"/>
      <c r="OAL425" s="15"/>
      <c r="OAM425" s="15"/>
      <c r="OAN425" s="15"/>
      <c r="OAO425" s="15"/>
      <c r="OAP425" s="15"/>
      <c r="OAQ425" s="15"/>
      <c r="OAR425" s="15"/>
      <c r="OAS425" s="15"/>
      <c r="OAT425" s="15"/>
      <c r="OAU425" s="15"/>
      <c r="OAV425" s="15"/>
      <c r="OAW425" s="15"/>
      <c r="OAX425" s="15"/>
      <c r="OAY425" s="15"/>
      <c r="OAZ425" s="15"/>
      <c r="OBA425" s="15"/>
      <c r="OBB425" s="15"/>
      <c r="OBC425" s="15"/>
      <c r="OBD425" s="15"/>
      <c r="OBE425" s="15"/>
      <c r="OBF425" s="15"/>
      <c r="OBG425" s="15"/>
      <c r="OBH425" s="15"/>
      <c r="OBI425" s="15"/>
      <c r="OBJ425" s="15"/>
      <c r="OBK425" s="15"/>
      <c r="OBL425" s="15"/>
      <c r="OBM425" s="15"/>
      <c r="OBN425" s="15"/>
      <c r="OBO425" s="15"/>
      <c r="OBP425" s="15"/>
      <c r="OBQ425" s="15"/>
      <c r="OBR425" s="15"/>
      <c r="OBS425" s="15"/>
      <c r="OBT425" s="15"/>
      <c r="OBU425" s="15"/>
      <c r="OBV425" s="15"/>
      <c r="OBW425" s="15"/>
      <c r="OBX425" s="15"/>
      <c r="OBY425" s="15"/>
      <c r="OBZ425" s="15"/>
      <c r="OCA425" s="15"/>
      <c r="OCB425" s="15"/>
      <c r="OCC425" s="15"/>
      <c r="OCD425" s="15"/>
      <c r="OCE425" s="15"/>
      <c r="OCF425" s="15"/>
      <c r="OCG425" s="15"/>
      <c r="OCH425" s="15"/>
      <c r="OCI425" s="15"/>
      <c r="OCJ425" s="15"/>
      <c r="OCK425" s="15"/>
      <c r="OCL425" s="15"/>
      <c r="OCM425" s="15"/>
      <c r="OCN425" s="15"/>
      <c r="OCO425" s="15"/>
      <c r="OCP425" s="15"/>
      <c r="OCQ425" s="15"/>
      <c r="OCR425" s="15"/>
      <c r="OCS425" s="15"/>
      <c r="OCT425" s="15"/>
      <c r="OCU425" s="15"/>
      <c r="OCV425" s="15"/>
      <c r="OCW425" s="15"/>
      <c r="OCX425" s="15"/>
      <c r="OCY425" s="15"/>
      <c r="OCZ425" s="15"/>
      <c r="ODA425" s="15"/>
      <c r="ODB425" s="15"/>
      <c r="ODC425" s="15"/>
      <c r="ODD425" s="15"/>
      <c r="ODE425" s="15"/>
      <c r="ODF425" s="15"/>
      <c r="ODG425" s="15"/>
      <c r="ODH425" s="15"/>
      <c r="ODI425" s="15"/>
      <c r="ODJ425" s="15"/>
      <c r="ODK425" s="15"/>
      <c r="ODL425" s="15"/>
      <c r="ODM425" s="15"/>
      <c r="ODN425" s="15"/>
      <c r="ODO425" s="15"/>
      <c r="ODP425" s="15"/>
      <c r="ODQ425" s="15"/>
      <c r="ODR425" s="15"/>
      <c r="ODS425" s="15"/>
      <c r="ODT425" s="15"/>
      <c r="ODU425" s="15"/>
      <c r="ODV425" s="15"/>
      <c r="ODW425" s="15"/>
      <c r="ODX425" s="15"/>
      <c r="ODY425" s="15"/>
      <c r="ODZ425" s="15"/>
      <c r="OEA425" s="15"/>
      <c r="OEB425" s="15"/>
      <c r="OEC425" s="15"/>
      <c r="OED425" s="15"/>
      <c r="OEE425" s="15"/>
      <c r="OEF425" s="15"/>
      <c r="OEG425" s="15"/>
      <c r="OEH425" s="15"/>
      <c r="OEI425" s="15"/>
      <c r="OEJ425" s="15"/>
      <c r="OEK425" s="15"/>
      <c r="OEL425" s="15"/>
      <c r="OEM425" s="15"/>
      <c r="OEN425" s="15"/>
      <c r="OEO425" s="15"/>
      <c r="OEP425" s="15"/>
      <c r="OEQ425" s="15"/>
      <c r="OER425" s="15"/>
      <c r="OES425" s="15"/>
      <c r="OET425" s="15"/>
      <c r="OEU425" s="15"/>
      <c r="OEV425" s="15"/>
      <c r="OEW425" s="15"/>
      <c r="OEX425" s="15"/>
      <c r="OEY425" s="15"/>
      <c r="OEZ425" s="15"/>
      <c r="OFA425" s="15"/>
      <c r="OFB425" s="15"/>
      <c r="OFC425" s="15"/>
      <c r="OFD425" s="15"/>
      <c r="OFE425" s="15"/>
      <c r="OFF425" s="15"/>
      <c r="OFG425" s="15"/>
      <c r="OFH425" s="15"/>
      <c r="OFI425" s="15"/>
      <c r="OFJ425" s="15"/>
      <c r="OFK425" s="15"/>
      <c r="OFL425" s="15"/>
      <c r="OFM425" s="15"/>
      <c r="OFN425" s="15"/>
      <c r="OFO425" s="15"/>
      <c r="OFP425" s="15"/>
      <c r="OFQ425" s="15"/>
      <c r="OFR425" s="15"/>
      <c r="OFS425" s="15"/>
      <c r="OFT425" s="15"/>
      <c r="OFU425" s="15"/>
      <c r="OFV425" s="15"/>
      <c r="OFW425" s="15"/>
      <c r="OFX425" s="15"/>
      <c r="OFY425" s="15"/>
      <c r="OFZ425" s="15"/>
      <c r="OGA425" s="15"/>
      <c r="OGB425" s="15"/>
      <c r="OGC425" s="15"/>
      <c r="OGD425" s="15"/>
      <c r="OGE425" s="15"/>
      <c r="OGF425" s="15"/>
      <c r="OGG425" s="15"/>
      <c r="OGH425" s="15"/>
      <c r="OGI425" s="15"/>
      <c r="OGJ425" s="15"/>
      <c r="OGK425" s="15"/>
      <c r="OGL425" s="15"/>
      <c r="OGM425" s="15"/>
      <c r="OGN425" s="15"/>
      <c r="OGO425" s="15"/>
      <c r="OGP425" s="15"/>
      <c r="OGQ425" s="15"/>
      <c r="OGR425" s="15"/>
      <c r="OGS425" s="15"/>
      <c r="OGT425" s="15"/>
      <c r="OGU425" s="15"/>
      <c r="OGV425" s="15"/>
      <c r="OGW425" s="15"/>
      <c r="OGX425" s="15"/>
      <c r="OGY425" s="15"/>
      <c r="OGZ425" s="15"/>
      <c r="OHA425" s="15"/>
      <c r="OHB425" s="15"/>
      <c r="OHC425" s="15"/>
      <c r="OHD425" s="15"/>
      <c r="OHE425" s="15"/>
      <c r="OHF425" s="15"/>
      <c r="OHG425" s="15"/>
      <c r="OHH425" s="15"/>
      <c r="OHI425" s="15"/>
      <c r="OHJ425" s="15"/>
      <c r="OHK425" s="15"/>
      <c r="OHL425" s="15"/>
      <c r="OHM425" s="15"/>
      <c r="OHN425" s="15"/>
      <c r="OHO425" s="15"/>
      <c r="OHP425" s="15"/>
      <c r="OHQ425" s="15"/>
      <c r="OHR425" s="15"/>
      <c r="OHS425" s="15"/>
      <c r="OHT425" s="15"/>
      <c r="OHU425" s="15"/>
      <c r="OHV425" s="15"/>
      <c r="OHW425" s="15"/>
      <c r="OHX425" s="15"/>
      <c r="OHY425" s="15"/>
      <c r="OHZ425" s="15"/>
      <c r="OIA425" s="15"/>
      <c r="OIB425" s="15"/>
      <c r="OIC425" s="15"/>
      <c r="OID425" s="15"/>
      <c r="OIE425" s="15"/>
      <c r="OIF425" s="15"/>
      <c r="OIG425" s="15"/>
      <c r="OIH425" s="15"/>
      <c r="OII425" s="15"/>
      <c r="OIJ425" s="15"/>
      <c r="OIK425" s="15"/>
      <c r="OIL425" s="15"/>
      <c r="OIM425" s="15"/>
      <c r="OIN425" s="15"/>
      <c r="OIO425" s="15"/>
      <c r="OIP425" s="15"/>
      <c r="OIQ425" s="15"/>
      <c r="OIR425" s="15"/>
      <c r="OIS425" s="15"/>
      <c r="OIT425" s="15"/>
      <c r="OIU425" s="15"/>
      <c r="OIV425" s="15"/>
      <c r="OIW425" s="15"/>
      <c r="OIX425" s="15"/>
      <c r="OIY425" s="15"/>
      <c r="OIZ425" s="15"/>
      <c r="OJA425" s="15"/>
      <c r="OJB425" s="15"/>
      <c r="OJC425" s="15"/>
      <c r="OJD425" s="15"/>
      <c r="OJE425" s="15"/>
      <c r="OJF425" s="15"/>
      <c r="OJG425" s="15"/>
      <c r="OJH425" s="15"/>
      <c r="OJI425" s="15"/>
      <c r="OJJ425" s="15"/>
      <c r="OJK425" s="15"/>
      <c r="OJL425" s="15"/>
      <c r="OJM425" s="15"/>
      <c r="OJN425" s="15"/>
      <c r="OJO425" s="15"/>
      <c r="OJP425" s="15"/>
      <c r="OJQ425" s="15"/>
      <c r="OJR425" s="15"/>
      <c r="OJS425" s="15"/>
      <c r="OJT425" s="15"/>
      <c r="OJU425" s="15"/>
      <c r="OJV425" s="15"/>
      <c r="OJW425" s="15"/>
      <c r="OJX425" s="15"/>
      <c r="OJY425" s="15"/>
      <c r="OJZ425" s="15"/>
      <c r="OKA425" s="15"/>
      <c r="OKB425" s="15"/>
      <c r="OKC425" s="15"/>
      <c r="OKD425" s="15"/>
      <c r="OKE425" s="15"/>
      <c r="OKF425" s="15"/>
      <c r="OKG425" s="15"/>
      <c r="OKH425" s="15"/>
      <c r="OKI425" s="15"/>
      <c r="OKJ425" s="15"/>
      <c r="OKK425" s="15"/>
      <c r="OKL425" s="15"/>
      <c r="OKM425" s="15"/>
      <c r="OKN425" s="15"/>
      <c r="OKO425" s="15"/>
      <c r="OKP425" s="15"/>
      <c r="OKQ425" s="15"/>
      <c r="OKR425" s="15"/>
      <c r="OKS425" s="15"/>
      <c r="OKT425" s="15"/>
      <c r="OKU425" s="15"/>
      <c r="OKV425" s="15"/>
      <c r="OKW425" s="15"/>
      <c r="OKX425" s="15"/>
      <c r="OKY425" s="15"/>
      <c r="OKZ425" s="15"/>
      <c r="OLA425" s="15"/>
      <c r="OLB425" s="15"/>
      <c r="OLC425" s="15"/>
      <c r="OLD425" s="15"/>
      <c r="OLE425" s="15"/>
      <c r="OLF425" s="15"/>
      <c r="OLG425" s="15"/>
      <c r="OLH425" s="15"/>
      <c r="OLI425" s="15"/>
      <c r="OLJ425" s="15"/>
      <c r="OLK425" s="15"/>
      <c r="OLL425" s="15"/>
      <c r="OLM425" s="15"/>
      <c r="OLN425" s="15"/>
      <c r="OLO425" s="15"/>
      <c r="OLP425" s="15"/>
      <c r="OLQ425" s="15"/>
      <c r="OLR425" s="15"/>
      <c r="OLS425" s="15"/>
      <c r="OLT425" s="15"/>
      <c r="OLU425" s="15"/>
      <c r="OLV425" s="15"/>
      <c r="OLW425" s="15"/>
      <c r="OLX425" s="15"/>
      <c r="OLY425" s="15"/>
      <c r="OLZ425" s="15"/>
      <c r="OMA425" s="15"/>
      <c r="OMB425" s="15"/>
      <c r="OMC425" s="15"/>
      <c r="OMD425" s="15"/>
      <c r="OME425" s="15"/>
      <c r="OMF425" s="15"/>
      <c r="OMG425" s="15"/>
      <c r="OMH425" s="15"/>
      <c r="OMI425" s="15"/>
      <c r="OMJ425" s="15"/>
      <c r="OMK425" s="15"/>
      <c r="OML425" s="15"/>
      <c r="OMM425" s="15"/>
      <c r="OMN425" s="15"/>
      <c r="OMO425" s="15"/>
      <c r="OMP425" s="15"/>
      <c r="OMQ425" s="15"/>
      <c r="OMR425" s="15"/>
      <c r="OMS425" s="15"/>
      <c r="OMT425" s="15"/>
      <c r="OMU425" s="15"/>
      <c r="OMV425" s="15"/>
      <c r="OMW425" s="15"/>
      <c r="OMX425" s="15"/>
      <c r="OMY425" s="15"/>
      <c r="OMZ425" s="15"/>
      <c r="ONA425" s="15"/>
      <c r="ONB425" s="15"/>
      <c r="ONC425" s="15"/>
      <c r="OND425" s="15"/>
      <c r="ONE425" s="15"/>
      <c r="ONF425" s="15"/>
      <c r="ONG425" s="15"/>
      <c r="ONH425" s="15"/>
      <c r="ONI425" s="15"/>
      <c r="ONJ425" s="15"/>
      <c r="ONK425" s="15"/>
      <c r="ONL425" s="15"/>
      <c r="ONM425" s="15"/>
      <c r="ONN425" s="15"/>
      <c r="ONO425" s="15"/>
      <c r="ONP425" s="15"/>
      <c r="ONQ425" s="15"/>
      <c r="ONR425" s="15"/>
      <c r="ONS425" s="15"/>
      <c r="ONT425" s="15"/>
      <c r="ONU425" s="15"/>
      <c r="ONV425" s="15"/>
      <c r="ONW425" s="15"/>
      <c r="ONX425" s="15"/>
      <c r="ONY425" s="15"/>
      <c r="ONZ425" s="15"/>
      <c r="OOA425" s="15"/>
      <c r="OOB425" s="15"/>
      <c r="OOC425" s="15"/>
      <c r="OOD425" s="15"/>
      <c r="OOE425" s="15"/>
      <c r="OOF425" s="15"/>
      <c r="OOG425" s="15"/>
      <c r="OOH425" s="15"/>
      <c r="OOI425" s="15"/>
      <c r="OOJ425" s="15"/>
      <c r="OOK425" s="15"/>
      <c r="OOL425" s="15"/>
      <c r="OOM425" s="15"/>
      <c r="OON425" s="15"/>
      <c r="OOO425" s="15"/>
      <c r="OOP425" s="15"/>
      <c r="OOQ425" s="15"/>
      <c r="OOR425" s="15"/>
      <c r="OOS425" s="15"/>
      <c r="OOT425" s="15"/>
      <c r="OOU425" s="15"/>
      <c r="OOV425" s="15"/>
      <c r="OOW425" s="15"/>
      <c r="OOX425" s="15"/>
      <c r="OOY425" s="15"/>
      <c r="OOZ425" s="15"/>
      <c r="OPA425" s="15"/>
      <c r="OPB425" s="15"/>
      <c r="OPC425" s="15"/>
      <c r="OPD425" s="15"/>
      <c r="OPE425" s="15"/>
      <c r="OPF425" s="15"/>
      <c r="OPG425" s="15"/>
      <c r="OPH425" s="15"/>
      <c r="OPI425" s="15"/>
      <c r="OPJ425" s="15"/>
      <c r="OPK425" s="15"/>
      <c r="OPL425" s="15"/>
      <c r="OPM425" s="15"/>
      <c r="OPN425" s="15"/>
      <c r="OPO425" s="15"/>
      <c r="OPP425" s="15"/>
      <c r="OPQ425" s="15"/>
      <c r="OPR425" s="15"/>
      <c r="OPS425" s="15"/>
      <c r="OPT425" s="15"/>
      <c r="OPU425" s="15"/>
      <c r="OPV425" s="15"/>
      <c r="OPW425" s="15"/>
      <c r="OPX425" s="15"/>
      <c r="OPY425" s="15"/>
      <c r="OPZ425" s="15"/>
      <c r="OQA425" s="15"/>
      <c r="OQB425" s="15"/>
      <c r="OQC425" s="15"/>
      <c r="OQD425" s="15"/>
      <c r="OQE425" s="15"/>
      <c r="OQF425" s="15"/>
      <c r="OQG425" s="15"/>
      <c r="OQH425" s="15"/>
      <c r="OQI425" s="15"/>
      <c r="OQJ425" s="15"/>
      <c r="OQK425" s="15"/>
      <c r="OQL425" s="15"/>
      <c r="OQM425" s="15"/>
      <c r="OQN425" s="15"/>
      <c r="OQO425" s="15"/>
      <c r="OQP425" s="15"/>
      <c r="OQQ425" s="15"/>
      <c r="OQR425" s="15"/>
      <c r="OQS425" s="15"/>
      <c r="OQT425" s="15"/>
      <c r="OQU425" s="15"/>
      <c r="OQV425" s="15"/>
      <c r="OQW425" s="15"/>
      <c r="OQX425" s="15"/>
      <c r="OQY425" s="15"/>
      <c r="OQZ425" s="15"/>
      <c r="ORA425" s="15"/>
      <c r="ORB425" s="15"/>
      <c r="ORC425" s="15"/>
      <c r="ORD425" s="15"/>
      <c r="ORE425" s="15"/>
      <c r="ORF425" s="15"/>
      <c r="ORG425" s="15"/>
      <c r="ORH425" s="15"/>
      <c r="ORI425" s="15"/>
      <c r="ORJ425" s="15"/>
      <c r="ORK425" s="15"/>
      <c r="ORL425" s="15"/>
      <c r="ORM425" s="15"/>
      <c r="ORN425" s="15"/>
      <c r="ORO425" s="15"/>
      <c r="ORP425" s="15"/>
      <c r="ORQ425" s="15"/>
      <c r="ORR425" s="15"/>
      <c r="ORS425" s="15"/>
      <c r="ORT425" s="15"/>
      <c r="ORU425" s="15"/>
      <c r="ORV425" s="15"/>
      <c r="ORW425" s="15"/>
      <c r="ORX425" s="15"/>
      <c r="ORY425" s="15"/>
      <c r="ORZ425" s="15"/>
      <c r="OSA425" s="15"/>
      <c r="OSB425" s="15"/>
      <c r="OSC425" s="15"/>
      <c r="OSD425" s="15"/>
      <c r="OSE425" s="15"/>
      <c r="OSF425" s="15"/>
      <c r="OSG425" s="15"/>
      <c r="OSH425" s="15"/>
      <c r="OSI425" s="15"/>
      <c r="OSJ425" s="15"/>
      <c r="OSK425" s="15"/>
      <c r="OSL425" s="15"/>
      <c r="OSM425" s="15"/>
      <c r="OSN425" s="15"/>
      <c r="OSO425" s="15"/>
      <c r="OSP425" s="15"/>
      <c r="OSQ425" s="15"/>
      <c r="OSR425" s="15"/>
      <c r="OSS425" s="15"/>
      <c r="OST425" s="15"/>
      <c r="OSU425" s="15"/>
      <c r="OSV425" s="15"/>
      <c r="OSW425" s="15"/>
      <c r="OSX425" s="15"/>
      <c r="OSY425" s="15"/>
      <c r="OSZ425" s="15"/>
      <c r="OTA425" s="15"/>
      <c r="OTB425" s="15"/>
      <c r="OTC425" s="15"/>
      <c r="OTD425" s="15"/>
      <c r="OTE425" s="15"/>
      <c r="OTF425" s="15"/>
      <c r="OTG425" s="15"/>
      <c r="OTH425" s="15"/>
      <c r="OTI425" s="15"/>
      <c r="OTJ425" s="15"/>
      <c r="OTK425" s="15"/>
      <c r="OTL425" s="15"/>
      <c r="OTM425" s="15"/>
      <c r="OTN425" s="15"/>
      <c r="OTO425" s="15"/>
      <c r="OTP425" s="15"/>
      <c r="OTQ425" s="15"/>
      <c r="OTR425" s="15"/>
      <c r="OTS425" s="15"/>
      <c r="OTT425" s="15"/>
      <c r="OTU425" s="15"/>
      <c r="OTV425" s="15"/>
      <c r="OTW425" s="15"/>
      <c r="OTX425" s="15"/>
      <c r="OTY425" s="15"/>
      <c r="OTZ425" s="15"/>
      <c r="OUA425" s="15"/>
      <c r="OUB425" s="15"/>
      <c r="OUC425" s="15"/>
      <c r="OUD425" s="15"/>
      <c r="OUE425" s="15"/>
      <c r="OUF425" s="15"/>
      <c r="OUG425" s="15"/>
      <c r="OUH425" s="15"/>
      <c r="OUI425" s="15"/>
      <c r="OUJ425" s="15"/>
      <c r="OUK425" s="15"/>
      <c r="OUL425" s="15"/>
      <c r="OUM425" s="15"/>
      <c r="OUN425" s="15"/>
      <c r="OUO425" s="15"/>
      <c r="OUP425" s="15"/>
      <c r="OUQ425" s="15"/>
      <c r="OUR425" s="15"/>
      <c r="OUS425" s="15"/>
      <c r="OUT425" s="15"/>
      <c r="OUU425" s="15"/>
      <c r="OUV425" s="15"/>
      <c r="OUW425" s="15"/>
      <c r="OUX425" s="15"/>
      <c r="OUY425" s="15"/>
      <c r="OUZ425" s="15"/>
      <c r="OVA425" s="15"/>
      <c r="OVB425" s="15"/>
      <c r="OVC425" s="15"/>
      <c r="OVD425" s="15"/>
      <c r="OVE425" s="15"/>
      <c r="OVF425" s="15"/>
      <c r="OVG425" s="15"/>
      <c r="OVH425" s="15"/>
      <c r="OVI425" s="15"/>
      <c r="OVJ425" s="15"/>
      <c r="OVK425" s="15"/>
      <c r="OVL425" s="15"/>
      <c r="OVM425" s="15"/>
      <c r="OVN425" s="15"/>
      <c r="OVO425" s="15"/>
      <c r="OVP425" s="15"/>
      <c r="OVQ425" s="15"/>
      <c r="OVR425" s="15"/>
      <c r="OVS425" s="15"/>
      <c r="OVT425" s="15"/>
      <c r="OVU425" s="15"/>
      <c r="OVV425" s="15"/>
      <c r="OVW425" s="15"/>
      <c r="OVX425" s="15"/>
      <c r="OVY425" s="15"/>
      <c r="OVZ425" s="15"/>
      <c r="OWA425" s="15"/>
      <c r="OWB425" s="15"/>
      <c r="OWC425" s="15"/>
      <c r="OWD425" s="15"/>
      <c r="OWE425" s="15"/>
      <c r="OWF425" s="15"/>
      <c r="OWG425" s="15"/>
      <c r="OWH425" s="15"/>
      <c r="OWI425" s="15"/>
      <c r="OWJ425" s="15"/>
      <c r="OWK425" s="15"/>
      <c r="OWL425" s="15"/>
      <c r="OWM425" s="15"/>
      <c r="OWN425" s="15"/>
      <c r="OWO425" s="15"/>
      <c r="OWP425" s="15"/>
      <c r="OWQ425" s="15"/>
      <c r="OWR425" s="15"/>
      <c r="OWS425" s="15"/>
      <c r="OWT425" s="15"/>
      <c r="OWU425" s="15"/>
      <c r="OWV425" s="15"/>
      <c r="OWW425" s="15"/>
      <c r="OWX425" s="15"/>
      <c r="OWY425" s="15"/>
      <c r="OWZ425" s="15"/>
      <c r="OXA425" s="15"/>
      <c r="OXB425" s="15"/>
      <c r="OXC425" s="15"/>
      <c r="OXD425" s="15"/>
      <c r="OXE425" s="15"/>
      <c r="OXF425" s="15"/>
      <c r="OXG425" s="15"/>
      <c r="OXH425" s="15"/>
      <c r="OXI425" s="15"/>
      <c r="OXJ425" s="15"/>
      <c r="OXK425" s="15"/>
      <c r="OXL425" s="15"/>
      <c r="OXM425" s="15"/>
      <c r="OXN425" s="15"/>
      <c r="OXO425" s="15"/>
      <c r="OXP425" s="15"/>
      <c r="OXQ425" s="15"/>
      <c r="OXR425" s="15"/>
      <c r="OXS425" s="15"/>
      <c r="OXT425" s="15"/>
      <c r="OXU425" s="15"/>
      <c r="OXV425" s="15"/>
      <c r="OXW425" s="15"/>
      <c r="OXX425" s="15"/>
      <c r="OXY425" s="15"/>
      <c r="OXZ425" s="15"/>
      <c r="OYA425" s="15"/>
      <c r="OYB425" s="15"/>
      <c r="OYC425" s="15"/>
      <c r="OYD425" s="15"/>
      <c r="OYE425" s="15"/>
      <c r="OYF425" s="15"/>
      <c r="OYG425" s="15"/>
      <c r="OYH425" s="15"/>
      <c r="OYI425" s="15"/>
      <c r="OYJ425" s="15"/>
      <c r="OYK425" s="15"/>
      <c r="OYL425" s="15"/>
      <c r="OYM425" s="15"/>
      <c r="OYN425" s="15"/>
      <c r="OYO425" s="15"/>
      <c r="OYP425" s="15"/>
      <c r="OYQ425" s="15"/>
      <c r="OYR425" s="15"/>
      <c r="OYS425" s="15"/>
      <c r="OYT425" s="15"/>
      <c r="OYU425" s="15"/>
      <c r="OYV425" s="15"/>
      <c r="OYW425" s="15"/>
      <c r="OYX425" s="15"/>
      <c r="OYY425" s="15"/>
      <c r="OYZ425" s="15"/>
      <c r="OZA425" s="15"/>
      <c r="OZB425" s="15"/>
      <c r="OZC425" s="15"/>
      <c r="OZD425" s="15"/>
      <c r="OZE425" s="15"/>
      <c r="OZF425" s="15"/>
      <c r="OZG425" s="15"/>
      <c r="OZH425" s="15"/>
      <c r="OZI425" s="15"/>
      <c r="OZJ425" s="15"/>
      <c r="OZK425" s="15"/>
      <c r="OZL425" s="15"/>
      <c r="OZM425" s="15"/>
      <c r="OZN425" s="15"/>
      <c r="OZO425" s="15"/>
      <c r="OZP425" s="15"/>
      <c r="OZQ425" s="15"/>
      <c r="OZR425" s="15"/>
      <c r="OZS425" s="15"/>
      <c r="OZT425" s="15"/>
      <c r="OZU425" s="15"/>
      <c r="OZV425" s="15"/>
      <c r="OZW425" s="15"/>
      <c r="OZX425" s="15"/>
      <c r="OZY425" s="15"/>
      <c r="OZZ425" s="15"/>
      <c r="PAA425" s="15"/>
      <c r="PAB425" s="15"/>
      <c r="PAC425" s="15"/>
      <c r="PAD425" s="15"/>
      <c r="PAE425" s="15"/>
      <c r="PAF425" s="15"/>
      <c r="PAG425" s="15"/>
      <c r="PAH425" s="15"/>
      <c r="PAI425" s="15"/>
      <c r="PAJ425" s="15"/>
      <c r="PAK425" s="15"/>
      <c r="PAL425" s="15"/>
      <c r="PAM425" s="15"/>
      <c r="PAN425" s="15"/>
      <c r="PAO425" s="15"/>
      <c r="PAP425" s="15"/>
      <c r="PAQ425" s="15"/>
      <c r="PAR425" s="15"/>
      <c r="PAS425" s="15"/>
      <c r="PAT425" s="15"/>
      <c r="PAU425" s="15"/>
      <c r="PAV425" s="15"/>
      <c r="PAW425" s="15"/>
      <c r="PAX425" s="15"/>
      <c r="PAY425" s="15"/>
      <c r="PAZ425" s="15"/>
      <c r="PBA425" s="15"/>
      <c r="PBB425" s="15"/>
      <c r="PBC425" s="15"/>
      <c r="PBD425" s="15"/>
      <c r="PBE425" s="15"/>
      <c r="PBF425" s="15"/>
      <c r="PBG425" s="15"/>
      <c r="PBH425" s="15"/>
      <c r="PBI425" s="15"/>
      <c r="PBJ425" s="15"/>
      <c r="PBK425" s="15"/>
      <c r="PBL425" s="15"/>
      <c r="PBM425" s="15"/>
      <c r="PBN425" s="15"/>
      <c r="PBO425" s="15"/>
      <c r="PBP425" s="15"/>
      <c r="PBQ425" s="15"/>
      <c r="PBR425" s="15"/>
      <c r="PBS425" s="15"/>
      <c r="PBT425" s="15"/>
      <c r="PBU425" s="15"/>
      <c r="PBV425" s="15"/>
      <c r="PBW425" s="15"/>
      <c r="PBX425" s="15"/>
      <c r="PBY425" s="15"/>
      <c r="PBZ425" s="15"/>
      <c r="PCA425" s="15"/>
      <c r="PCB425" s="15"/>
      <c r="PCC425" s="15"/>
      <c r="PCD425" s="15"/>
      <c r="PCE425" s="15"/>
      <c r="PCF425" s="15"/>
      <c r="PCG425" s="15"/>
      <c r="PCH425" s="15"/>
      <c r="PCI425" s="15"/>
      <c r="PCJ425" s="15"/>
      <c r="PCK425" s="15"/>
      <c r="PCL425" s="15"/>
      <c r="PCM425" s="15"/>
      <c r="PCN425" s="15"/>
      <c r="PCO425" s="15"/>
      <c r="PCP425" s="15"/>
      <c r="PCQ425" s="15"/>
      <c r="PCR425" s="15"/>
      <c r="PCS425" s="15"/>
      <c r="PCT425" s="15"/>
      <c r="PCU425" s="15"/>
      <c r="PCV425" s="15"/>
      <c r="PCW425" s="15"/>
      <c r="PCX425" s="15"/>
      <c r="PCY425" s="15"/>
      <c r="PCZ425" s="15"/>
      <c r="PDA425" s="15"/>
      <c r="PDB425" s="15"/>
      <c r="PDC425" s="15"/>
      <c r="PDD425" s="15"/>
      <c r="PDE425" s="15"/>
      <c r="PDF425" s="15"/>
      <c r="PDG425" s="15"/>
      <c r="PDH425" s="15"/>
      <c r="PDI425" s="15"/>
      <c r="PDJ425" s="15"/>
      <c r="PDK425" s="15"/>
      <c r="PDL425" s="15"/>
      <c r="PDM425" s="15"/>
      <c r="PDN425" s="15"/>
      <c r="PDO425" s="15"/>
      <c r="PDP425" s="15"/>
      <c r="PDQ425" s="15"/>
      <c r="PDR425" s="15"/>
      <c r="PDS425" s="15"/>
      <c r="PDT425" s="15"/>
      <c r="PDU425" s="15"/>
      <c r="PDV425" s="15"/>
      <c r="PDW425" s="15"/>
      <c r="PDX425" s="15"/>
      <c r="PDY425" s="15"/>
      <c r="PDZ425" s="15"/>
      <c r="PEA425" s="15"/>
      <c r="PEB425" s="15"/>
      <c r="PEC425" s="15"/>
      <c r="PED425" s="15"/>
      <c r="PEE425" s="15"/>
      <c r="PEF425" s="15"/>
      <c r="PEG425" s="15"/>
      <c r="PEH425" s="15"/>
      <c r="PEI425" s="15"/>
      <c r="PEJ425" s="15"/>
      <c r="PEK425" s="15"/>
      <c r="PEL425" s="15"/>
      <c r="PEM425" s="15"/>
      <c r="PEN425" s="15"/>
      <c r="PEO425" s="15"/>
      <c r="PEP425" s="15"/>
      <c r="PEQ425" s="15"/>
      <c r="PER425" s="15"/>
      <c r="PES425" s="15"/>
      <c r="PET425" s="15"/>
      <c r="PEU425" s="15"/>
      <c r="PEV425" s="15"/>
      <c r="PEW425" s="15"/>
      <c r="PEX425" s="15"/>
      <c r="PEY425" s="15"/>
      <c r="PEZ425" s="15"/>
      <c r="PFA425" s="15"/>
      <c r="PFB425" s="15"/>
      <c r="PFC425" s="15"/>
      <c r="PFD425" s="15"/>
      <c r="PFE425" s="15"/>
      <c r="PFF425" s="15"/>
      <c r="PFG425" s="15"/>
      <c r="PFH425" s="15"/>
      <c r="PFI425" s="15"/>
      <c r="PFJ425" s="15"/>
      <c r="PFK425" s="15"/>
      <c r="PFL425" s="15"/>
      <c r="PFM425" s="15"/>
      <c r="PFN425" s="15"/>
      <c r="PFO425" s="15"/>
      <c r="PFP425" s="15"/>
      <c r="PFQ425" s="15"/>
      <c r="PFR425" s="15"/>
      <c r="PFS425" s="15"/>
      <c r="PFT425" s="15"/>
      <c r="PFU425" s="15"/>
      <c r="PFV425" s="15"/>
      <c r="PFW425" s="15"/>
      <c r="PFX425" s="15"/>
      <c r="PFY425" s="15"/>
      <c r="PFZ425" s="15"/>
      <c r="PGA425" s="15"/>
      <c r="PGB425" s="15"/>
      <c r="PGC425" s="15"/>
      <c r="PGD425" s="15"/>
      <c r="PGE425" s="15"/>
      <c r="PGF425" s="15"/>
      <c r="PGG425" s="15"/>
      <c r="PGH425" s="15"/>
      <c r="PGI425" s="15"/>
      <c r="PGJ425" s="15"/>
      <c r="PGK425" s="15"/>
      <c r="PGL425" s="15"/>
      <c r="PGM425" s="15"/>
      <c r="PGN425" s="15"/>
      <c r="PGO425" s="15"/>
      <c r="PGP425" s="15"/>
      <c r="PGQ425" s="15"/>
      <c r="PGR425" s="15"/>
      <c r="PGS425" s="15"/>
      <c r="PGT425" s="15"/>
      <c r="PGU425" s="15"/>
      <c r="PGV425" s="15"/>
      <c r="PGW425" s="15"/>
      <c r="PGX425" s="15"/>
      <c r="PGY425" s="15"/>
      <c r="PGZ425" s="15"/>
      <c r="PHA425" s="15"/>
      <c r="PHB425" s="15"/>
      <c r="PHC425" s="15"/>
      <c r="PHD425" s="15"/>
      <c r="PHE425" s="15"/>
      <c r="PHF425" s="15"/>
      <c r="PHG425" s="15"/>
      <c r="PHH425" s="15"/>
      <c r="PHI425" s="15"/>
      <c r="PHJ425" s="15"/>
      <c r="PHK425" s="15"/>
      <c r="PHL425" s="15"/>
      <c r="PHM425" s="15"/>
      <c r="PHN425" s="15"/>
      <c r="PHO425" s="15"/>
      <c r="PHP425" s="15"/>
      <c r="PHQ425" s="15"/>
      <c r="PHR425" s="15"/>
      <c r="PHS425" s="15"/>
      <c r="PHT425" s="15"/>
      <c r="PHU425" s="15"/>
      <c r="PHV425" s="15"/>
      <c r="PHW425" s="15"/>
      <c r="PHX425" s="15"/>
      <c r="PHY425" s="15"/>
      <c r="PHZ425" s="15"/>
      <c r="PIA425" s="15"/>
      <c r="PIB425" s="15"/>
      <c r="PIC425" s="15"/>
      <c r="PID425" s="15"/>
      <c r="PIE425" s="15"/>
      <c r="PIF425" s="15"/>
      <c r="PIG425" s="15"/>
      <c r="PIH425" s="15"/>
      <c r="PII425" s="15"/>
      <c r="PIJ425" s="15"/>
      <c r="PIK425" s="15"/>
      <c r="PIL425" s="15"/>
      <c r="PIM425" s="15"/>
      <c r="PIN425" s="15"/>
      <c r="PIO425" s="15"/>
      <c r="PIP425" s="15"/>
      <c r="PIQ425" s="15"/>
      <c r="PIR425" s="15"/>
      <c r="PIS425" s="15"/>
      <c r="PIT425" s="15"/>
      <c r="PIU425" s="15"/>
      <c r="PIV425" s="15"/>
      <c r="PIW425" s="15"/>
      <c r="PIX425" s="15"/>
      <c r="PIY425" s="15"/>
      <c r="PIZ425" s="15"/>
      <c r="PJA425" s="15"/>
      <c r="PJB425" s="15"/>
      <c r="PJC425" s="15"/>
      <c r="PJD425" s="15"/>
      <c r="PJE425" s="15"/>
      <c r="PJF425" s="15"/>
      <c r="PJG425" s="15"/>
      <c r="PJH425" s="15"/>
      <c r="PJI425" s="15"/>
      <c r="PJJ425" s="15"/>
      <c r="PJK425" s="15"/>
      <c r="PJL425" s="15"/>
      <c r="PJM425" s="15"/>
      <c r="PJN425" s="15"/>
      <c r="PJO425" s="15"/>
      <c r="PJP425" s="15"/>
      <c r="PJQ425" s="15"/>
      <c r="PJR425" s="15"/>
      <c r="PJS425" s="15"/>
      <c r="PJT425" s="15"/>
      <c r="PJU425" s="15"/>
      <c r="PJV425" s="15"/>
      <c r="PJW425" s="15"/>
      <c r="PJX425" s="15"/>
      <c r="PJY425" s="15"/>
      <c r="PJZ425" s="15"/>
      <c r="PKA425" s="15"/>
      <c r="PKB425" s="15"/>
      <c r="PKC425" s="15"/>
      <c r="PKD425" s="15"/>
      <c r="PKE425" s="15"/>
      <c r="PKF425" s="15"/>
      <c r="PKG425" s="15"/>
      <c r="PKH425" s="15"/>
      <c r="PKI425" s="15"/>
      <c r="PKJ425" s="15"/>
      <c r="PKK425" s="15"/>
      <c r="PKL425" s="15"/>
      <c r="PKM425" s="15"/>
      <c r="PKN425" s="15"/>
      <c r="PKO425" s="15"/>
      <c r="PKP425" s="15"/>
      <c r="PKQ425" s="15"/>
      <c r="PKR425" s="15"/>
      <c r="PKS425" s="15"/>
      <c r="PKT425" s="15"/>
      <c r="PKU425" s="15"/>
      <c r="PKV425" s="15"/>
      <c r="PKW425" s="15"/>
      <c r="PKX425" s="15"/>
      <c r="PKY425" s="15"/>
      <c r="PKZ425" s="15"/>
      <c r="PLA425" s="15"/>
      <c r="PLB425" s="15"/>
      <c r="PLC425" s="15"/>
      <c r="PLD425" s="15"/>
      <c r="PLE425" s="15"/>
      <c r="PLF425" s="15"/>
      <c r="PLG425" s="15"/>
      <c r="PLH425" s="15"/>
      <c r="PLI425" s="15"/>
      <c r="PLJ425" s="15"/>
      <c r="PLK425" s="15"/>
      <c r="PLL425" s="15"/>
      <c r="PLM425" s="15"/>
      <c r="PLN425" s="15"/>
      <c r="PLO425" s="15"/>
      <c r="PLP425" s="15"/>
      <c r="PLQ425" s="15"/>
      <c r="PLR425" s="15"/>
      <c r="PLS425" s="15"/>
      <c r="PLT425" s="15"/>
      <c r="PLU425" s="15"/>
      <c r="PLV425" s="15"/>
      <c r="PLW425" s="15"/>
      <c r="PLX425" s="15"/>
      <c r="PLY425" s="15"/>
      <c r="PLZ425" s="15"/>
      <c r="PMA425" s="15"/>
      <c r="PMB425" s="15"/>
      <c r="PMC425" s="15"/>
      <c r="PMD425" s="15"/>
      <c r="PME425" s="15"/>
      <c r="PMF425" s="15"/>
      <c r="PMG425" s="15"/>
      <c r="PMH425" s="15"/>
      <c r="PMI425" s="15"/>
      <c r="PMJ425" s="15"/>
      <c r="PMK425" s="15"/>
      <c r="PML425" s="15"/>
      <c r="PMM425" s="15"/>
      <c r="PMN425" s="15"/>
      <c r="PMO425" s="15"/>
      <c r="PMP425" s="15"/>
      <c r="PMQ425" s="15"/>
      <c r="PMR425" s="15"/>
      <c r="PMS425" s="15"/>
      <c r="PMT425" s="15"/>
      <c r="PMU425" s="15"/>
      <c r="PMV425" s="15"/>
      <c r="PMW425" s="15"/>
      <c r="PMX425" s="15"/>
      <c r="PMY425" s="15"/>
      <c r="PMZ425" s="15"/>
      <c r="PNA425" s="15"/>
      <c r="PNB425" s="15"/>
      <c r="PNC425" s="15"/>
      <c r="PND425" s="15"/>
      <c r="PNE425" s="15"/>
      <c r="PNF425" s="15"/>
      <c r="PNG425" s="15"/>
      <c r="PNH425" s="15"/>
      <c r="PNI425" s="15"/>
      <c r="PNJ425" s="15"/>
      <c r="PNK425" s="15"/>
      <c r="PNL425" s="15"/>
      <c r="PNM425" s="15"/>
      <c r="PNN425" s="15"/>
      <c r="PNO425" s="15"/>
      <c r="PNP425" s="15"/>
      <c r="PNQ425" s="15"/>
      <c r="PNR425" s="15"/>
      <c r="PNS425" s="15"/>
      <c r="PNT425" s="15"/>
      <c r="PNU425" s="15"/>
      <c r="PNV425" s="15"/>
      <c r="PNW425" s="15"/>
      <c r="PNX425" s="15"/>
      <c r="PNY425" s="15"/>
      <c r="PNZ425" s="15"/>
      <c r="POA425" s="15"/>
      <c r="POB425" s="15"/>
      <c r="POC425" s="15"/>
      <c r="POD425" s="15"/>
      <c r="POE425" s="15"/>
      <c r="POF425" s="15"/>
      <c r="POG425" s="15"/>
      <c r="POH425" s="15"/>
      <c r="POI425" s="15"/>
      <c r="POJ425" s="15"/>
      <c r="POK425" s="15"/>
      <c r="POL425" s="15"/>
      <c r="POM425" s="15"/>
      <c r="PON425" s="15"/>
      <c r="POO425" s="15"/>
      <c r="POP425" s="15"/>
      <c r="POQ425" s="15"/>
      <c r="POR425" s="15"/>
      <c r="POS425" s="15"/>
      <c r="POT425" s="15"/>
      <c r="POU425" s="15"/>
      <c r="POV425" s="15"/>
      <c r="POW425" s="15"/>
      <c r="POX425" s="15"/>
      <c r="POY425" s="15"/>
      <c r="POZ425" s="15"/>
      <c r="PPA425" s="15"/>
      <c r="PPB425" s="15"/>
      <c r="PPC425" s="15"/>
      <c r="PPD425" s="15"/>
      <c r="PPE425" s="15"/>
      <c r="PPF425" s="15"/>
      <c r="PPG425" s="15"/>
      <c r="PPH425" s="15"/>
      <c r="PPI425" s="15"/>
      <c r="PPJ425" s="15"/>
      <c r="PPK425" s="15"/>
      <c r="PPL425" s="15"/>
      <c r="PPM425" s="15"/>
      <c r="PPN425" s="15"/>
      <c r="PPO425" s="15"/>
      <c r="PPP425" s="15"/>
      <c r="PPQ425" s="15"/>
      <c r="PPR425" s="15"/>
      <c r="PPS425" s="15"/>
      <c r="PPT425" s="15"/>
      <c r="PPU425" s="15"/>
      <c r="PPV425" s="15"/>
      <c r="PPW425" s="15"/>
      <c r="PPX425" s="15"/>
      <c r="PPY425" s="15"/>
      <c r="PPZ425" s="15"/>
      <c r="PQA425" s="15"/>
      <c r="PQB425" s="15"/>
      <c r="PQC425" s="15"/>
      <c r="PQD425" s="15"/>
      <c r="PQE425" s="15"/>
      <c r="PQF425" s="15"/>
      <c r="PQG425" s="15"/>
      <c r="PQH425" s="15"/>
      <c r="PQI425" s="15"/>
      <c r="PQJ425" s="15"/>
      <c r="PQK425" s="15"/>
      <c r="PQL425" s="15"/>
      <c r="PQM425" s="15"/>
      <c r="PQN425" s="15"/>
      <c r="PQO425" s="15"/>
      <c r="PQP425" s="15"/>
      <c r="PQQ425" s="15"/>
      <c r="PQR425" s="15"/>
      <c r="PQS425" s="15"/>
      <c r="PQT425" s="15"/>
      <c r="PQU425" s="15"/>
      <c r="PQV425" s="15"/>
      <c r="PQW425" s="15"/>
      <c r="PQX425" s="15"/>
      <c r="PQY425" s="15"/>
      <c r="PQZ425" s="15"/>
      <c r="PRA425" s="15"/>
      <c r="PRB425" s="15"/>
      <c r="PRC425" s="15"/>
      <c r="PRD425" s="15"/>
      <c r="PRE425" s="15"/>
      <c r="PRF425" s="15"/>
      <c r="PRG425" s="15"/>
      <c r="PRH425" s="15"/>
      <c r="PRI425" s="15"/>
      <c r="PRJ425" s="15"/>
      <c r="PRK425" s="15"/>
      <c r="PRL425" s="15"/>
      <c r="PRM425" s="15"/>
      <c r="PRN425" s="15"/>
      <c r="PRO425" s="15"/>
      <c r="PRP425" s="15"/>
      <c r="PRQ425" s="15"/>
      <c r="PRR425" s="15"/>
      <c r="PRS425" s="15"/>
      <c r="PRT425" s="15"/>
      <c r="PRU425" s="15"/>
      <c r="PRV425" s="15"/>
      <c r="PRW425" s="15"/>
      <c r="PRX425" s="15"/>
      <c r="PRY425" s="15"/>
      <c r="PRZ425" s="15"/>
      <c r="PSA425" s="15"/>
      <c r="PSB425" s="15"/>
      <c r="PSC425" s="15"/>
      <c r="PSD425" s="15"/>
      <c r="PSE425" s="15"/>
      <c r="PSF425" s="15"/>
      <c r="PSG425" s="15"/>
      <c r="PSH425" s="15"/>
      <c r="PSI425" s="15"/>
      <c r="PSJ425" s="15"/>
      <c r="PSK425" s="15"/>
      <c r="PSL425" s="15"/>
      <c r="PSM425" s="15"/>
      <c r="PSN425" s="15"/>
      <c r="PSO425" s="15"/>
      <c r="PSP425" s="15"/>
      <c r="PSQ425" s="15"/>
      <c r="PSR425" s="15"/>
      <c r="PSS425" s="15"/>
      <c r="PST425" s="15"/>
      <c r="PSU425" s="15"/>
      <c r="PSV425" s="15"/>
      <c r="PSW425" s="15"/>
      <c r="PSX425" s="15"/>
      <c r="PSY425" s="15"/>
      <c r="PSZ425" s="15"/>
      <c r="PTA425" s="15"/>
      <c r="PTB425" s="15"/>
      <c r="PTC425" s="15"/>
      <c r="PTD425" s="15"/>
      <c r="PTE425" s="15"/>
      <c r="PTF425" s="15"/>
      <c r="PTG425" s="15"/>
      <c r="PTH425" s="15"/>
      <c r="PTI425" s="15"/>
      <c r="PTJ425" s="15"/>
      <c r="PTK425" s="15"/>
      <c r="PTL425" s="15"/>
      <c r="PTM425" s="15"/>
      <c r="PTN425" s="15"/>
      <c r="PTO425" s="15"/>
      <c r="PTP425" s="15"/>
      <c r="PTQ425" s="15"/>
      <c r="PTR425" s="15"/>
      <c r="PTS425" s="15"/>
      <c r="PTT425" s="15"/>
      <c r="PTU425" s="15"/>
      <c r="PTV425" s="15"/>
      <c r="PTW425" s="15"/>
      <c r="PTX425" s="15"/>
      <c r="PTY425" s="15"/>
      <c r="PTZ425" s="15"/>
      <c r="PUA425" s="15"/>
      <c r="PUB425" s="15"/>
      <c r="PUC425" s="15"/>
      <c r="PUD425" s="15"/>
      <c r="PUE425" s="15"/>
      <c r="PUF425" s="15"/>
      <c r="PUG425" s="15"/>
      <c r="PUH425" s="15"/>
      <c r="PUI425" s="15"/>
      <c r="PUJ425" s="15"/>
      <c r="PUK425" s="15"/>
      <c r="PUL425" s="15"/>
      <c r="PUM425" s="15"/>
      <c r="PUN425" s="15"/>
      <c r="PUO425" s="15"/>
      <c r="PUP425" s="15"/>
      <c r="PUQ425" s="15"/>
      <c r="PUR425" s="15"/>
      <c r="PUS425" s="15"/>
      <c r="PUT425" s="15"/>
      <c r="PUU425" s="15"/>
      <c r="PUV425" s="15"/>
      <c r="PUW425" s="15"/>
      <c r="PUX425" s="15"/>
      <c r="PUY425" s="15"/>
      <c r="PUZ425" s="15"/>
      <c r="PVA425" s="15"/>
      <c r="PVB425" s="15"/>
      <c r="PVC425" s="15"/>
      <c r="PVD425" s="15"/>
      <c r="PVE425" s="15"/>
      <c r="PVF425" s="15"/>
      <c r="PVG425" s="15"/>
      <c r="PVH425" s="15"/>
      <c r="PVI425" s="15"/>
      <c r="PVJ425" s="15"/>
      <c r="PVK425" s="15"/>
      <c r="PVL425" s="15"/>
      <c r="PVM425" s="15"/>
      <c r="PVN425" s="15"/>
      <c r="PVO425" s="15"/>
      <c r="PVP425" s="15"/>
      <c r="PVQ425" s="15"/>
      <c r="PVR425" s="15"/>
      <c r="PVS425" s="15"/>
      <c r="PVT425" s="15"/>
      <c r="PVU425" s="15"/>
      <c r="PVV425" s="15"/>
      <c r="PVW425" s="15"/>
      <c r="PVX425" s="15"/>
      <c r="PVY425" s="15"/>
      <c r="PVZ425" s="15"/>
      <c r="PWA425" s="15"/>
      <c r="PWB425" s="15"/>
      <c r="PWC425" s="15"/>
      <c r="PWD425" s="15"/>
      <c r="PWE425" s="15"/>
      <c r="PWF425" s="15"/>
      <c r="PWG425" s="15"/>
      <c r="PWH425" s="15"/>
      <c r="PWI425" s="15"/>
      <c r="PWJ425" s="15"/>
      <c r="PWK425" s="15"/>
      <c r="PWL425" s="15"/>
      <c r="PWM425" s="15"/>
      <c r="PWN425" s="15"/>
      <c r="PWO425" s="15"/>
      <c r="PWP425" s="15"/>
      <c r="PWQ425" s="15"/>
      <c r="PWR425" s="15"/>
      <c r="PWS425" s="15"/>
      <c r="PWT425" s="15"/>
      <c r="PWU425" s="15"/>
      <c r="PWV425" s="15"/>
      <c r="PWW425" s="15"/>
      <c r="PWX425" s="15"/>
      <c r="PWY425" s="15"/>
      <c r="PWZ425" s="15"/>
      <c r="PXA425" s="15"/>
      <c r="PXB425" s="15"/>
      <c r="PXC425" s="15"/>
      <c r="PXD425" s="15"/>
      <c r="PXE425" s="15"/>
      <c r="PXF425" s="15"/>
      <c r="PXG425" s="15"/>
      <c r="PXH425" s="15"/>
      <c r="PXI425" s="15"/>
      <c r="PXJ425" s="15"/>
      <c r="PXK425" s="15"/>
      <c r="PXL425" s="15"/>
      <c r="PXM425" s="15"/>
      <c r="PXN425" s="15"/>
      <c r="PXO425" s="15"/>
      <c r="PXP425" s="15"/>
      <c r="PXQ425" s="15"/>
      <c r="PXR425" s="15"/>
      <c r="PXS425" s="15"/>
      <c r="PXT425" s="15"/>
      <c r="PXU425" s="15"/>
      <c r="PXV425" s="15"/>
      <c r="PXW425" s="15"/>
      <c r="PXX425" s="15"/>
      <c r="PXY425" s="15"/>
      <c r="PXZ425" s="15"/>
      <c r="PYA425" s="15"/>
      <c r="PYB425" s="15"/>
      <c r="PYC425" s="15"/>
      <c r="PYD425" s="15"/>
      <c r="PYE425" s="15"/>
      <c r="PYF425" s="15"/>
      <c r="PYG425" s="15"/>
      <c r="PYH425" s="15"/>
      <c r="PYI425" s="15"/>
      <c r="PYJ425" s="15"/>
      <c r="PYK425" s="15"/>
      <c r="PYL425" s="15"/>
      <c r="PYM425" s="15"/>
      <c r="PYN425" s="15"/>
      <c r="PYO425" s="15"/>
      <c r="PYP425" s="15"/>
      <c r="PYQ425" s="15"/>
      <c r="PYR425" s="15"/>
      <c r="PYS425" s="15"/>
      <c r="PYT425" s="15"/>
      <c r="PYU425" s="15"/>
      <c r="PYV425" s="15"/>
      <c r="PYW425" s="15"/>
      <c r="PYX425" s="15"/>
      <c r="PYY425" s="15"/>
      <c r="PYZ425" s="15"/>
      <c r="PZA425" s="15"/>
      <c r="PZB425" s="15"/>
      <c r="PZC425" s="15"/>
      <c r="PZD425" s="15"/>
      <c r="PZE425" s="15"/>
      <c r="PZF425" s="15"/>
      <c r="PZG425" s="15"/>
      <c r="PZH425" s="15"/>
      <c r="PZI425" s="15"/>
      <c r="PZJ425" s="15"/>
      <c r="PZK425" s="15"/>
      <c r="PZL425" s="15"/>
      <c r="PZM425" s="15"/>
      <c r="PZN425" s="15"/>
      <c r="PZO425" s="15"/>
      <c r="PZP425" s="15"/>
      <c r="PZQ425" s="15"/>
      <c r="PZR425" s="15"/>
      <c r="PZS425" s="15"/>
      <c r="PZT425" s="15"/>
      <c r="PZU425" s="15"/>
      <c r="PZV425" s="15"/>
      <c r="PZW425" s="15"/>
      <c r="PZX425" s="15"/>
      <c r="PZY425" s="15"/>
      <c r="PZZ425" s="15"/>
      <c r="QAA425" s="15"/>
      <c r="QAB425" s="15"/>
      <c r="QAC425" s="15"/>
      <c r="QAD425" s="15"/>
      <c r="QAE425" s="15"/>
      <c r="QAF425" s="15"/>
      <c r="QAG425" s="15"/>
      <c r="QAH425" s="15"/>
      <c r="QAI425" s="15"/>
      <c r="QAJ425" s="15"/>
      <c r="QAK425" s="15"/>
      <c r="QAL425" s="15"/>
      <c r="QAM425" s="15"/>
      <c r="QAN425" s="15"/>
      <c r="QAO425" s="15"/>
      <c r="QAP425" s="15"/>
      <c r="QAQ425" s="15"/>
      <c r="QAR425" s="15"/>
      <c r="QAS425" s="15"/>
      <c r="QAT425" s="15"/>
      <c r="QAU425" s="15"/>
      <c r="QAV425" s="15"/>
      <c r="QAW425" s="15"/>
      <c r="QAX425" s="15"/>
      <c r="QAY425" s="15"/>
      <c r="QAZ425" s="15"/>
      <c r="QBA425" s="15"/>
      <c r="QBB425" s="15"/>
      <c r="QBC425" s="15"/>
      <c r="QBD425" s="15"/>
      <c r="QBE425" s="15"/>
      <c r="QBF425" s="15"/>
      <c r="QBG425" s="15"/>
      <c r="QBH425" s="15"/>
      <c r="QBI425" s="15"/>
      <c r="QBJ425" s="15"/>
      <c r="QBK425" s="15"/>
      <c r="QBL425" s="15"/>
      <c r="QBM425" s="15"/>
      <c r="QBN425" s="15"/>
      <c r="QBO425" s="15"/>
      <c r="QBP425" s="15"/>
      <c r="QBQ425" s="15"/>
      <c r="QBR425" s="15"/>
      <c r="QBS425" s="15"/>
      <c r="QBT425" s="15"/>
      <c r="QBU425" s="15"/>
      <c r="QBV425" s="15"/>
      <c r="QBW425" s="15"/>
      <c r="QBX425" s="15"/>
      <c r="QBY425" s="15"/>
      <c r="QBZ425" s="15"/>
      <c r="QCA425" s="15"/>
      <c r="QCB425" s="15"/>
      <c r="QCC425" s="15"/>
      <c r="QCD425" s="15"/>
      <c r="QCE425" s="15"/>
      <c r="QCF425" s="15"/>
      <c r="QCG425" s="15"/>
      <c r="QCH425" s="15"/>
      <c r="QCI425" s="15"/>
      <c r="QCJ425" s="15"/>
      <c r="QCK425" s="15"/>
      <c r="QCL425" s="15"/>
      <c r="QCM425" s="15"/>
      <c r="QCN425" s="15"/>
      <c r="QCO425" s="15"/>
      <c r="QCP425" s="15"/>
      <c r="QCQ425" s="15"/>
      <c r="QCR425" s="15"/>
      <c r="QCS425" s="15"/>
      <c r="QCT425" s="15"/>
      <c r="QCU425" s="15"/>
      <c r="QCV425" s="15"/>
      <c r="QCW425" s="15"/>
      <c r="QCX425" s="15"/>
      <c r="QCY425" s="15"/>
      <c r="QCZ425" s="15"/>
      <c r="QDA425" s="15"/>
      <c r="QDB425" s="15"/>
      <c r="QDC425" s="15"/>
      <c r="QDD425" s="15"/>
      <c r="QDE425" s="15"/>
      <c r="QDF425" s="15"/>
      <c r="QDG425" s="15"/>
      <c r="QDH425" s="15"/>
      <c r="QDI425" s="15"/>
      <c r="QDJ425" s="15"/>
      <c r="QDK425" s="15"/>
      <c r="QDL425" s="15"/>
      <c r="QDM425" s="15"/>
      <c r="QDN425" s="15"/>
      <c r="QDO425" s="15"/>
      <c r="QDP425" s="15"/>
      <c r="QDQ425" s="15"/>
      <c r="QDR425" s="15"/>
      <c r="QDS425" s="15"/>
      <c r="QDT425" s="15"/>
      <c r="QDU425" s="15"/>
      <c r="QDV425" s="15"/>
      <c r="QDW425" s="15"/>
      <c r="QDX425" s="15"/>
      <c r="QDY425" s="15"/>
      <c r="QDZ425" s="15"/>
      <c r="QEA425" s="15"/>
      <c r="QEB425" s="15"/>
      <c r="QEC425" s="15"/>
      <c r="QED425" s="15"/>
      <c r="QEE425" s="15"/>
      <c r="QEF425" s="15"/>
      <c r="QEG425" s="15"/>
      <c r="QEH425" s="15"/>
      <c r="QEI425" s="15"/>
      <c r="QEJ425" s="15"/>
      <c r="QEK425" s="15"/>
      <c r="QEL425" s="15"/>
      <c r="QEM425" s="15"/>
      <c r="QEN425" s="15"/>
      <c r="QEO425" s="15"/>
      <c r="QEP425" s="15"/>
      <c r="QEQ425" s="15"/>
      <c r="QER425" s="15"/>
      <c r="QES425" s="15"/>
      <c r="QET425" s="15"/>
      <c r="QEU425" s="15"/>
      <c r="QEV425" s="15"/>
      <c r="QEW425" s="15"/>
      <c r="QEX425" s="15"/>
      <c r="QEY425" s="15"/>
      <c r="QEZ425" s="15"/>
      <c r="QFA425" s="15"/>
      <c r="QFB425" s="15"/>
      <c r="QFC425" s="15"/>
      <c r="QFD425" s="15"/>
      <c r="QFE425" s="15"/>
      <c r="QFF425" s="15"/>
      <c r="QFG425" s="15"/>
      <c r="QFH425" s="15"/>
      <c r="QFI425" s="15"/>
      <c r="QFJ425" s="15"/>
      <c r="QFK425" s="15"/>
      <c r="QFL425" s="15"/>
      <c r="QFM425" s="15"/>
      <c r="QFN425" s="15"/>
      <c r="QFO425" s="15"/>
      <c r="QFP425" s="15"/>
      <c r="QFQ425" s="15"/>
      <c r="QFR425" s="15"/>
      <c r="QFS425" s="15"/>
      <c r="QFT425" s="15"/>
      <c r="QFU425" s="15"/>
      <c r="QFV425" s="15"/>
      <c r="QFW425" s="15"/>
      <c r="QFX425" s="15"/>
      <c r="QFY425" s="15"/>
      <c r="QFZ425" s="15"/>
      <c r="QGA425" s="15"/>
      <c r="QGB425" s="15"/>
      <c r="QGC425" s="15"/>
      <c r="QGD425" s="15"/>
      <c r="QGE425" s="15"/>
      <c r="QGF425" s="15"/>
      <c r="QGG425" s="15"/>
      <c r="QGH425" s="15"/>
      <c r="QGI425" s="15"/>
      <c r="QGJ425" s="15"/>
      <c r="QGK425" s="15"/>
      <c r="QGL425" s="15"/>
      <c r="QGM425" s="15"/>
      <c r="QGN425" s="15"/>
      <c r="QGO425" s="15"/>
      <c r="QGP425" s="15"/>
      <c r="QGQ425" s="15"/>
      <c r="QGR425" s="15"/>
      <c r="QGS425" s="15"/>
      <c r="QGT425" s="15"/>
      <c r="QGU425" s="15"/>
      <c r="QGV425" s="15"/>
      <c r="QGW425" s="15"/>
      <c r="QGX425" s="15"/>
      <c r="QGY425" s="15"/>
      <c r="QGZ425" s="15"/>
      <c r="QHA425" s="15"/>
      <c r="QHB425" s="15"/>
      <c r="QHC425" s="15"/>
      <c r="QHD425" s="15"/>
      <c r="QHE425" s="15"/>
      <c r="QHF425" s="15"/>
      <c r="QHG425" s="15"/>
      <c r="QHH425" s="15"/>
      <c r="QHI425" s="15"/>
      <c r="QHJ425" s="15"/>
      <c r="QHK425" s="15"/>
      <c r="QHL425" s="15"/>
      <c r="QHM425" s="15"/>
      <c r="QHN425" s="15"/>
      <c r="QHO425" s="15"/>
      <c r="QHP425" s="15"/>
      <c r="QHQ425" s="15"/>
      <c r="QHR425" s="15"/>
      <c r="QHS425" s="15"/>
      <c r="QHT425" s="15"/>
      <c r="QHU425" s="15"/>
      <c r="QHV425" s="15"/>
      <c r="QHW425" s="15"/>
      <c r="QHX425" s="15"/>
      <c r="QHY425" s="15"/>
      <c r="QHZ425" s="15"/>
      <c r="QIA425" s="15"/>
      <c r="QIB425" s="15"/>
      <c r="QIC425" s="15"/>
      <c r="QID425" s="15"/>
      <c r="QIE425" s="15"/>
      <c r="QIF425" s="15"/>
      <c r="QIG425" s="15"/>
      <c r="QIH425" s="15"/>
      <c r="QII425" s="15"/>
      <c r="QIJ425" s="15"/>
      <c r="QIK425" s="15"/>
      <c r="QIL425" s="15"/>
      <c r="QIM425" s="15"/>
      <c r="QIN425" s="15"/>
      <c r="QIO425" s="15"/>
      <c r="QIP425" s="15"/>
      <c r="QIQ425" s="15"/>
      <c r="QIR425" s="15"/>
      <c r="QIS425" s="15"/>
      <c r="QIT425" s="15"/>
      <c r="QIU425" s="15"/>
      <c r="QIV425" s="15"/>
      <c r="QIW425" s="15"/>
      <c r="QIX425" s="15"/>
      <c r="QIY425" s="15"/>
      <c r="QIZ425" s="15"/>
      <c r="QJA425" s="15"/>
      <c r="QJB425" s="15"/>
      <c r="QJC425" s="15"/>
      <c r="QJD425" s="15"/>
      <c r="QJE425" s="15"/>
      <c r="QJF425" s="15"/>
      <c r="QJG425" s="15"/>
      <c r="QJH425" s="15"/>
      <c r="QJI425" s="15"/>
      <c r="QJJ425" s="15"/>
      <c r="QJK425" s="15"/>
      <c r="QJL425" s="15"/>
      <c r="QJM425" s="15"/>
      <c r="QJN425" s="15"/>
      <c r="QJO425" s="15"/>
      <c r="QJP425" s="15"/>
      <c r="QJQ425" s="15"/>
      <c r="QJR425" s="15"/>
      <c r="QJS425" s="15"/>
      <c r="QJT425" s="15"/>
      <c r="QJU425" s="15"/>
      <c r="QJV425" s="15"/>
      <c r="QJW425" s="15"/>
      <c r="QJX425" s="15"/>
      <c r="QJY425" s="15"/>
      <c r="QJZ425" s="15"/>
      <c r="QKA425" s="15"/>
      <c r="QKB425" s="15"/>
      <c r="QKC425" s="15"/>
      <c r="QKD425" s="15"/>
      <c r="QKE425" s="15"/>
      <c r="QKF425" s="15"/>
      <c r="QKG425" s="15"/>
      <c r="QKH425" s="15"/>
      <c r="QKI425" s="15"/>
      <c r="QKJ425" s="15"/>
      <c r="QKK425" s="15"/>
      <c r="QKL425" s="15"/>
      <c r="QKM425" s="15"/>
      <c r="QKN425" s="15"/>
      <c r="QKO425" s="15"/>
      <c r="QKP425" s="15"/>
      <c r="QKQ425" s="15"/>
      <c r="QKR425" s="15"/>
      <c r="QKS425" s="15"/>
      <c r="QKT425" s="15"/>
      <c r="QKU425" s="15"/>
      <c r="QKV425" s="15"/>
      <c r="QKW425" s="15"/>
      <c r="QKX425" s="15"/>
      <c r="QKY425" s="15"/>
      <c r="QKZ425" s="15"/>
      <c r="QLA425" s="15"/>
      <c r="QLB425" s="15"/>
      <c r="QLC425" s="15"/>
      <c r="QLD425" s="15"/>
      <c r="QLE425" s="15"/>
      <c r="QLF425" s="15"/>
      <c r="QLG425" s="15"/>
      <c r="QLH425" s="15"/>
      <c r="QLI425" s="15"/>
      <c r="QLJ425" s="15"/>
      <c r="QLK425" s="15"/>
      <c r="QLL425" s="15"/>
      <c r="QLM425" s="15"/>
      <c r="QLN425" s="15"/>
      <c r="QLO425" s="15"/>
      <c r="QLP425" s="15"/>
      <c r="QLQ425" s="15"/>
      <c r="QLR425" s="15"/>
      <c r="QLS425" s="15"/>
      <c r="QLT425" s="15"/>
      <c r="QLU425" s="15"/>
      <c r="QLV425" s="15"/>
      <c r="QLW425" s="15"/>
      <c r="QLX425" s="15"/>
      <c r="QLY425" s="15"/>
      <c r="QLZ425" s="15"/>
      <c r="QMA425" s="15"/>
      <c r="QMB425" s="15"/>
      <c r="QMC425" s="15"/>
      <c r="QMD425" s="15"/>
      <c r="QME425" s="15"/>
      <c r="QMF425" s="15"/>
      <c r="QMG425" s="15"/>
      <c r="QMH425" s="15"/>
      <c r="QMI425" s="15"/>
      <c r="QMJ425" s="15"/>
      <c r="QMK425" s="15"/>
      <c r="QML425" s="15"/>
      <c r="QMM425" s="15"/>
      <c r="QMN425" s="15"/>
      <c r="QMO425" s="15"/>
      <c r="QMP425" s="15"/>
      <c r="QMQ425" s="15"/>
      <c r="QMR425" s="15"/>
      <c r="QMS425" s="15"/>
      <c r="QMT425" s="15"/>
      <c r="QMU425" s="15"/>
      <c r="QMV425" s="15"/>
      <c r="QMW425" s="15"/>
      <c r="QMX425" s="15"/>
      <c r="QMY425" s="15"/>
      <c r="QMZ425" s="15"/>
      <c r="QNA425" s="15"/>
      <c r="QNB425" s="15"/>
      <c r="QNC425" s="15"/>
      <c r="QND425" s="15"/>
      <c r="QNE425" s="15"/>
      <c r="QNF425" s="15"/>
      <c r="QNG425" s="15"/>
      <c r="QNH425" s="15"/>
      <c r="QNI425" s="15"/>
      <c r="QNJ425" s="15"/>
      <c r="QNK425" s="15"/>
      <c r="QNL425" s="15"/>
      <c r="QNM425" s="15"/>
      <c r="QNN425" s="15"/>
      <c r="QNO425" s="15"/>
      <c r="QNP425" s="15"/>
      <c r="QNQ425" s="15"/>
      <c r="QNR425" s="15"/>
      <c r="QNS425" s="15"/>
      <c r="QNT425" s="15"/>
      <c r="QNU425" s="15"/>
      <c r="QNV425" s="15"/>
      <c r="QNW425" s="15"/>
      <c r="QNX425" s="15"/>
      <c r="QNY425" s="15"/>
      <c r="QNZ425" s="15"/>
      <c r="QOA425" s="15"/>
      <c r="QOB425" s="15"/>
      <c r="QOC425" s="15"/>
      <c r="QOD425" s="15"/>
      <c r="QOE425" s="15"/>
      <c r="QOF425" s="15"/>
      <c r="QOG425" s="15"/>
      <c r="QOH425" s="15"/>
      <c r="QOI425" s="15"/>
      <c r="QOJ425" s="15"/>
      <c r="QOK425" s="15"/>
      <c r="QOL425" s="15"/>
      <c r="QOM425" s="15"/>
      <c r="QON425" s="15"/>
      <c r="QOO425" s="15"/>
      <c r="QOP425" s="15"/>
      <c r="QOQ425" s="15"/>
      <c r="QOR425" s="15"/>
      <c r="QOS425" s="15"/>
      <c r="QOT425" s="15"/>
      <c r="QOU425" s="15"/>
      <c r="QOV425" s="15"/>
      <c r="QOW425" s="15"/>
      <c r="QOX425" s="15"/>
      <c r="QOY425" s="15"/>
      <c r="QOZ425" s="15"/>
      <c r="QPA425" s="15"/>
      <c r="QPB425" s="15"/>
      <c r="QPC425" s="15"/>
      <c r="QPD425" s="15"/>
      <c r="QPE425" s="15"/>
      <c r="QPF425" s="15"/>
      <c r="QPG425" s="15"/>
      <c r="QPH425" s="15"/>
      <c r="QPI425" s="15"/>
      <c r="QPJ425" s="15"/>
      <c r="QPK425" s="15"/>
      <c r="QPL425" s="15"/>
      <c r="QPM425" s="15"/>
      <c r="QPN425" s="15"/>
      <c r="QPO425" s="15"/>
      <c r="QPP425" s="15"/>
      <c r="QPQ425" s="15"/>
      <c r="QPR425" s="15"/>
      <c r="QPS425" s="15"/>
      <c r="QPT425" s="15"/>
      <c r="QPU425" s="15"/>
      <c r="QPV425" s="15"/>
      <c r="QPW425" s="15"/>
      <c r="QPX425" s="15"/>
      <c r="QPY425" s="15"/>
      <c r="QPZ425" s="15"/>
      <c r="QQA425" s="15"/>
      <c r="QQB425" s="15"/>
      <c r="QQC425" s="15"/>
      <c r="QQD425" s="15"/>
      <c r="QQE425" s="15"/>
      <c r="QQF425" s="15"/>
      <c r="QQG425" s="15"/>
      <c r="QQH425" s="15"/>
      <c r="QQI425" s="15"/>
      <c r="QQJ425" s="15"/>
      <c r="QQK425" s="15"/>
      <c r="QQL425" s="15"/>
      <c r="QQM425" s="15"/>
      <c r="QQN425" s="15"/>
      <c r="QQO425" s="15"/>
      <c r="QQP425" s="15"/>
      <c r="QQQ425" s="15"/>
      <c r="QQR425" s="15"/>
      <c r="QQS425" s="15"/>
      <c r="QQT425" s="15"/>
      <c r="QQU425" s="15"/>
      <c r="QQV425" s="15"/>
      <c r="QQW425" s="15"/>
      <c r="QQX425" s="15"/>
      <c r="QQY425" s="15"/>
      <c r="QQZ425" s="15"/>
      <c r="QRA425" s="15"/>
      <c r="QRB425" s="15"/>
      <c r="QRC425" s="15"/>
      <c r="QRD425" s="15"/>
      <c r="QRE425" s="15"/>
      <c r="QRF425" s="15"/>
      <c r="QRG425" s="15"/>
      <c r="QRH425" s="15"/>
      <c r="QRI425" s="15"/>
      <c r="QRJ425" s="15"/>
      <c r="QRK425" s="15"/>
      <c r="QRL425" s="15"/>
      <c r="QRM425" s="15"/>
      <c r="QRN425" s="15"/>
      <c r="QRO425" s="15"/>
      <c r="QRP425" s="15"/>
      <c r="QRQ425" s="15"/>
      <c r="QRR425" s="15"/>
      <c r="QRS425" s="15"/>
      <c r="QRT425" s="15"/>
      <c r="QRU425" s="15"/>
      <c r="QRV425" s="15"/>
      <c r="QRW425" s="15"/>
      <c r="QRX425" s="15"/>
      <c r="QRY425" s="15"/>
      <c r="QRZ425" s="15"/>
      <c r="QSA425" s="15"/>
      <c r="QSB425" s="15"/>
      <c r="QSC425" s="15"/>
      <c r="QSD425" s="15"/>
      <c r="QSE425" s="15"/>
      <c r="QSF425" s="15"/>
      <c r="QSG425" s="15"/>
      <c r="QSH425" s="15"/>
      <c r="QSI425" s="15"/>
      <c r="QSJ425" s="15"/>
      <c r="QSK425" s="15"/>
      <c r="QSL425" s="15"/>
      <c r="QSM425" s="15"/>
      <c r="QSN425" s="15"/>
      <c r="QSO425" s="15"/>
      <c r="QSP425" s="15"/>
      <c r="QSQ425" s="15"/>
      <c r="QSR425" s="15"/>
      <c r="QSS425" s="15"/>
      <c r="QST425" s="15"/>
      <c r="QSU425" s="15"/>
      <c r="QSV425" s="15"/>
      <c r="QSW425" s="15"/>
      <c r="QSX425" s="15"/>
      <c r="QSY425" s="15"/>
      <c r="QSZ425" s="15"/>
      <c r="QTA425" s="15"/>
      <c r="QTB425" s="15"/>
      <c r="QTC425" s="15"/>
      <c r="QTD425" s="15"/>
      <c r="QTE425" s="15"/>
      <c r="QTF425" s="15"/>
      <c r="QTG425" s="15"/>
      <c r="QTH425" s="15"/>
      <c r="QTI425" s="15"/>
      <c r="QTJ425" s="15"/>
      <c r="QTK425" s="15"/>
      <c r="QTL425" s="15"/>
      <c r="QTM425" s="15"/>
      <c r="QTN425" s="15"/>
      <c r="QTO425" s="15"/>
      <c r="QTP425" s="15"/>
      <c r="QTQ425" s="15"/>
      <c r="QTR425" s="15"/>
      <c r="QTS425" s="15"/>
      <c r="QTT425" s="15"/>
      <c r="QTU425" s="15"/>
      <c r="QTV425" s="15"/>
      <c r="QTW425" s="15"/>
      <c r="QTX425" s="15"/>
      <c r="QTY425" s="15"/>
      <c r="QTZ425" s="15"/>
      <c r="QUA425" s="15"/>
      <c r="QUB425" s="15"/>
      <c r="QUC425" s="15"/>
      <c r="QUD425" s="15"/>
      <c r="QUE425" s="15"/>
      <c r="QUF425" s="15"/>
      <c r="QUG425" s="15"/>
      <c r="QUH425" s="15"/>
      <c r="QUI425" s="15"/>
      <c r="QUJ425" s="15"/>
      <c r="QUK425" s="15"/>
      <c r="QUL425" s="15"/>
      <c r="QUM425" s="15"/>
      <c r="QUN425" s="15"/>
      <c r="QUO425" s="15"/>
      <c r="QUP425" s="15"/>
      <c r="QUQ425" s="15"/>
      <c r="QUR425" s="15"/>
      <c r="QUS425" s="15"/>
      <c r="QUT425" s="15"/>
      <c r="QUU425" s="15"/>
      <c r="QUV425" s="15"/>
      <c r="QUW425" s="15"/>
      <c r="QUX425" s="15"/>
      <c r="QUY425" s="15"/>
      <c r="QUZ425" s="15"/>
      <c r="QVA425" s="15"/>
      <c r="QVB425" s="15"/>
      <c r="QVC425" s="15"/>
      <c r="QVD425" s="15"/>
      <c r="QVE425" s="15"/>
      <c r="QVF425" s="15"/>
      <c r="QVG425" s="15"/>
      <c r="QVH425" s="15"/>
      <c r="QVI425" s="15"/>
      <c r="QVJ425" s="15"/>
      <c r="QVK425" s="15"/>
      <c r="QVL425" s="15"/>
      <c r="QVM425" s="15"/>
      <c r="QVN425" s="15"/>
      <c r="QVO425" s="15"/>
      <c r="QVP425" s="15"/>
      <c r="QVQ425" s="15"/>
      <c r="QVR425" s="15"/>
      <c r="QVS425" s="15"/>
      <c r="QVT425" s="15"/>
      <c r="QVU425" s="15"/>
      <c r="QVV425" s="15"/>
      <c r="QVW425" s="15"/>
      <c r="QVX425" s="15"/>
      <c r="QVY425" s="15"/>
      <c r="QVZ425" s="15"/>
      <c r="QWA425" s="15"/>
      <c r="QWB425" s="15"/>
      <c r="QWC425" s="15"/>
      <c r="QWD425" s="15"/>
      <c r="QWE425" s="15"/>
      <c r="QWF425" s="15"/>
      <c r="QWG425" s="15"/>
      <c r="QWH425" s="15"/>
      <c r="QWI425" s="15"/>
      <c r="QWJ425" s="15"/>
      <c r="QWK425" s="15"/>
      <c r="QWL425" s="15"/>
      <c r="QWM425" s="15"/>
      <c r="QWN425" s="15"/>
      <c r="QWO425" s="15"/>
      <c r="QWP425" s="15"/>
      <c r="QWQ425" s="15"/>
      <c r="QWR425" s="15"/>
      <c r="QWS425" s="15"/>
      <c r="QWT425" s="15"/>
      <c r="QWU425" s="15"/>
      <c r="QWV425" s="15"/>
      <c r="QWW425" s="15"/>
      <c r="QWX425" s="15"/>
      <c r="QWY425" s="15"/>
      <c r="QWZ425" s="15"/>
      <c r="QXA425" s="15"/>
      <c r="QXB425" s="15"/>
      <c r="QXC425" s="15"/>
      <c r="QXD425" s="15"/>
      <c r="QXE425" s="15"/>
      <c r="QXF425" s="15"/>
      <c r="QXG425" s="15"/>
      <c r="QXH425" s="15"/>
      <c r="QXI425" s="15"/>
      <c r="QXJ425" s="15"/>
      <c r="QXK425" s="15"/>
      <c r="QXL425" s="15"/>
      <c r="QXM425" s="15"/>
      <c r="QXN425" s="15"/>
      <c r="QXO425" s="15"/>
      <c r="QXP425" s="15"/>
      <c r="QXQ425" s="15"/>
      <c r="QXR425" s="15"/>
      <c r="QXS425" s="15"/>
      <c r="QXT425" s="15"/>
      <c r="QXU425" s="15"/>
      <c r="QXV425" s="15"/>
      <c r="QXW425" s="15"/>
      <c r="QXX425" s="15"/>
      <c r="QXY425" s="15"/>
      <c r="QXZ425" s="15"/>
      <c r="QYA425" s="15"/>
      <c r="QYB425" s="15"/>
      <c r="QYC425" s="15"/>
      <c r="QYD425" s="15"/>
      <c r="QYE425" s="15"/>
      <c r="QYF425" s="15"/>
      <c r="QYG425" s="15"/>
      <c r="QYH425" s="15"/>
      <c r="QYI425" s="15"/>
      <c r="QYJ425" s="15"/>
      <c r="QYK425" s="15"/>
      <c r="QYL425" s="15"/>
      <c r="QYM425" s="15"/>
      <c r="QYN425" s="15"/>
      <c r="QYO425" s="15"/>
      <c r="QYP425" s="15"/>
      <c r="QYQ425" s="15"/>
      <c r="QYR425" s="15"/>
      <c r="QYS425" s="15"/>
      <c r="QYT425" s="15"/>
      <c r="QYU425" s="15"/>
      <c r="QYV425" s="15"/>
      <c r="QYW425" s="15"/>
      <c r="QYX425" s="15"/>
      <c r="QYY425" s="15"/>
      <c r="QYZ425" s="15"/>
      <c r="QZA425" s="15"/>
      <c r="QZB425" s="15"/>
      <c r="QZC425" s="15"/>
      <c r="QZD425" s="15"/>
      <c r="QZE425" s="15"/>
      <c r="QZF425" s="15"/>
      <c r="QZG425" s="15"/>
      <c r="QZH425" s="15"/>
      <c r="QZI425" s="15"/>
      <c r="QZJ425" s="15"/>
      <c r="QZK425" s="15"/>
      <c r="QZL425" s="15"/>
      <c r="QZM425" s="15"/>
      <c r="QZN425" s="15"/>
      <c r="QZO425" s="15"/>
      <c r="QZP425" s="15"/>
      <c r="QZQ425" s="15"/>
      <c r="QZR425" s="15"/>
      <c r="QZS425" s="15"/>
      <c r="QZT425" s="15"/>
      <c r="QZU425" s="15"/>
      <c r="QZV425" s="15"/>
      <c r="QZW425" s="15"/>
      <c r="QZX425" s="15"/>
      <c r="QZY425" s="15"/>
      <c r="QZZ425" s="15"/>
      <c r="RAA425" s="15"/>
      <c r="RAB425" s="15"/>
      <c r="RAC425" s="15"/>
      <c r="RAD425" s="15"/>
      <c r="RAE425" s="15"/>
      <c r="RAF425" s="15"/>
      <c r="RAG425" s="15"/>
      <c r="RAH425" s="15"/>
      <c r="RAI425" s="15"/>
      <c r="RAJ425" s="15"/>
      <c r="RAK425" s="15"/>
      <c r="RAL425" s="15"/>
      <c r="RAM425" s="15"/>
      <c r="RAN425" s="15"/>
      <c r="RAO425" s="15"/>
      <c r="RAP425" s="15"/>
      <c r="RAQ425" s="15"/>
      <c r="RAR425" s="15"/>
      <c r="RAS425" s="15"/>
      <c r="RAT425" s="15"/>
      <c r="RAU425" s="15"/>
      <c r="RAV425" s="15"/>
      <c r="RAW425" s="15"/>
      <c r="RAX425" s="15"/>
      <c r="RAY425" s="15"/>
      <c r="RAZ425" s="15"/>
      <c r="RBA425" s="15"/>
      <c r="RBB425" s="15"/>
      <c r="RBC425" s="15"/>
      <c r="RBD425" s="15"/>
      <c r="RBE425" s="15"/>
      <c r="RBF425" s="15"/>
      <c r="RBG425" s="15"/>
      <c r="RBH425" s="15"/>
      <c r="RBI425" s="15"/>
      <c r="RBJ425" s="15"/>
      <c r="RBK425" s="15"/>
      <c r="RBL425" s="15"/>
      <c r="RBM425" s="15"/>
      <c r="RBN425" s="15"/>
      <c r="RBO425" s="15"/>
      <c r="RBP425" s="15"/>
      <c r="RBQ425" s="15"/>
      <c r="RBR425" s="15"/>
      <c r="RBS425" s="15"/>
      <c r="RBT425" s="15"/>
      <c r="RBU425" s="15"/>
      <c r="RBV425" s="15"/>
      <c r="RBW425" s="15"/>
      <c r="RBX425" s="15"/>
      <c r="RBY425" s="15"/>
      <c r="RBZ425" s="15"/>
      <c r="RCA425" s="15"/>
      <c r="RCB425" s="15"/>
      <c r="RCC425" s="15"/>
      <c r="RCD425" s="15"/>
      <c r="RCE425" s="15"/>
      <c r="RCF425" s="15"/>
      <c r="RCG425" s="15"/>
      <c r="RCH425" s="15"/>
      <c r="RCI425" s="15"/>
      <c r="RCJ425" s="15"/>
      <c r="RCK425" s="15"/>
      <c r="RCL425" s="15"/>
      <c r="RCM425" s="15"/>
      <c r="RCN425" s="15"/>
      <c r="RCO425" s="15"/>
      <c r="RCP425" s="15"/>
      <c r="RCQ425" s="15"/>
      <c r="RCR425" s="15"/>
      <c r="RCS425" s="15"/>
      <c r="RCT425" s="15"/>
      <c r="RCU425" s="15"/>
      <c r="RCV425" s="15"/>
      <c r="RCW425" s="15"/>
      <c r="RCX425" s="15"/>
      <c r="RCY425" s="15"/>
      <c r="RCZ425" s="15"/>
      <c r="RDA425" s="15"/>
      <c r="RDB425" s="15"/>
      <c r="RDC425" s="15"/>
      <c r="RDD425" s="15"/>
      <c r="RDE425" s="15"/>
      <c r="RDF425" s="15"/>
      <c r="RDG425" s="15"/>
      <c r="RDH425" s="15"/>
      <c r="RDI425" s="15"/>
      <c r="RDJ425" s="15"/>
      <c r="RDK425" s="15"/>
      <c r="RDL425" s="15"/>
      <c r="RDM425" s="15"/>
      <c r="RDN425" s="15"/>
      <c r="RDO425" s="15"/>
      <c r="RDP425" s="15"/>
      <c r="RDQ425" s="15"/>
      <c r="RDR425" s="15"/>
      <c r="RDS425" s="15"/>
      <c r="RDT425" s="15"/>
      <c r="RDU425" s="15"/>
      <c r="RDV425" s="15"/>
      <c r="RDW425" s="15"/>
      <c r="RDX425" s="15"/>
      <c r="RDY425" s="15"/>
      <c r="RDZ425" s="15"/>
      <c r="REA425" s="15"/>
      <c r="REB425" s="15"/>
      <c r="REC425" s="15"/>
      <c r="RED425" s="15"/>
      <c r="REE425" s="15"/>
      <c r="REF425" s="15"/>
      <c r="REG425" s="15"/>
      <c r="REH425" s="15"/>
      <c r="REI425" s="15"/>
      <c r="REJ425" s="15"/>
      <c r="REK425" s="15"/>
      <c r="REL425" s="15"/>
      <c r="REM425" s="15"/>
      <c r="REN425" s="15"/>
      <c r="REO425" s="15"/>
      <c r="REP425" s="15"/>
      <c r="REQ425" s="15"/>
      <c r="RER425" s="15"/>
      <c r="RES425" s="15"/>
      <c r="RET425" s="15"/>
      <c r="REU425" s="15"/>
      <c r="REV425" s="15"/>
      <c r="REW425" s="15"/>
      <c r="REX425" s="15"/>
      <c r="REY425" s="15"/>
      <c r="REZ425" s="15"/>
      <c r="RFA425" s="15"/>
      <c r="RFB425" s="15"/>
      <c r="RFC425" s="15"/>
      <c r="RFD425" s="15"/>
      <c r="RFE425" s="15"/>
      <c r="RFF425" s="15"/>
      <c r="RFG425" s="15"/>
      <c r="RFH425" s="15"/>
      <c r="RFI425" s="15"/>
      <c r="RFJ425" s="15"/>
      <c r="RFK425" s="15"/>
      <c r="RFL425" s="15"/>
      <c r="RFM425" s="15"/>
      <c r="RFN425" s="15"/>
      <c r="RFO425" s="15"/>
      <c r="RFP425" s="15"/>
      <c r="RFQ425" s="15"/>
      <c r="RFR425" s="15"/>
      <c r="RFS425" s="15"/>
      <c r="RFT425" s="15"/>
      <c r="RFU425" s="15"/>
      <c r="RFV425" s="15"/>
      <c r="RFW425" s="15"/>
      <c r="RFX425" s="15"/>
      <c r="RFY425" s="15"/>
      <c r="RFZ425" s="15"/>
      <c r="RGA425" s="15"/>
      <c r="RGB425" s="15"/>
      <c r="RGC425" s="15"/>
      <c r="RGD425" s="15"/>
      <c r="RGE425" s="15"/>
      <c r="RGF425" s="15"/>
      <c r="RGG425" s="15"/>
      <c r="RGH425" s="15"/>
      <c r="RGI425" s="15"/>
      <c r="RGJ425" s="15"/>
      <c r="RGK425" s="15"/>
      <c r="RGL425" s="15"/>
      <c r="RGM425" s="15"/>
      <c r="RGN425" s="15"/>
      <c r="RGO425" s="15"/>
      <c r="RGP425" s="15"/>
      <c r="RGQ425" s="15"/>
      <c r="RGR425" s="15"/>
      <c r="RGS425" s="15"/>
      <c r="RGT425" s="15"/>
      <c r="RGU425" s="15"/>
      <c r="RGV425" s="15"/>
      <c r="RGW425" s="15"/>
      <c r="RGX425" s="15"/>
      <c r="RGY425" s="15"/>
      <c r="RGZ425" s="15"/>
      <c r="RHA425" s="15"/>
      <c r="RHB425" s="15"/>
      <c r="RHC425" s="15"/>
      <c r="RHD425" s="15"/>
      <c r="RHE425" s="15"/>
      <c r="RHF425" s="15"/>
      <c r="RHG425" s="15"/>
      <c r="RHH425" s="15"/>
      <c r="RHI425" s="15"/>
      <c r="RHJ425" s="15"/>
      <c r="RHK425" s="15"/>
      <c r="RHL425" s="15"/>
      <c r="RHM425" s="15"/>
      <c r="RHN425" s="15"/>
      <c r="RHO425" s="15"/>
      <c r="RHP425" s="15"/>
      <c r="RHQ425" s="15"/>
      <c r="RHR425" s="15"/>
      <c r="RHS425" s="15"/>
      <c r="RHT425" s="15"/>
      <c r="RHU425" s="15"/>
      <c r="RHV425" s="15"/>
      <c r="RHW425" s="15"/>
      <c r="RHX425" s="15"/>
      <c r="RHY425" s="15"/>
      <c r="RHZ425" s="15"/>
      <c r="RIA425" s="15"/>
      <c r="RIB425" s="15"/>
      <c r="RIC425" s="15"/>
      <c r="RID425" s="15"/>
      <c r="RIE425" s="15"/>
      <c r="RIF425" s="15"/>
      <c r="RIG425" s="15"/>
      <c r="RIH425" s="15"/>
      <c r="RII425" s="15"/>
      <c r="RIJ425" s="15"/>
      <c r="RIK425" s="15"/>
      <c r="RIL425" s="15"/>
      <c r="RIM425" s="15"/>
      <c r="RIN425" s="15"/>
      <c r="RIO425" s="15"/>
      <c r="RIP425" s="15"/>
      <c r="RIQ425" s="15"/>
      <c r="RIR425" s="15"/>
      <c r="RIS425" s="15"/>
      <c r="RIT425" s="15"/>
      <c r="RIU425" s="15"/>
      <c r="RIV425" s="15"/>
      <c r="RIW425" s="15"/>
      <c r="RIX425" s="15"/>
      <c r="RIY425" s="15"/>
      <c r="RIZ425" s="15"/>
      <c r="RJA425" s="15"/>
      <c r="RJB425" s="15"/>
      <c r="RJC425" s="15"/>
      <c r="RJD425" s="15"/>
      <c r="RJE425" s="15"/>
      <c r="RJF425" s="15"/>
      <c r="RJG425" s="15"/>
      <c r="RJH425" s="15"/>
      <c r="RJI425" s="15"/>
      <c r="RJJ425" s="15"/>
      <c r="RJK425" s="15"/>
      <c r="RJL425" s="15"/>
      <c r="RJM425" s="15"/>
      <c r="RJN425" s="15"/>
      <c r="RJO425" s="15"/>
      <c r="RJP425" s="15"/>
      <c r="RJQ425" s="15"/>
      <c r="RJR425" s="15"/>
      <c r="RJS425" s="15"/>
      <c r="RJT425" s="15"/>
      <c r="RJU425" s="15"/>
      <c r="RJV425" s="15"/>
      <c r="RJW425" s="15"/>
      <c r="RJX425" s="15"/>
      <c r="RJY425" s="15"/>
      <c r="RJZ425" s="15"/>
      <c r="RKA425" s="15"/>
      <c r="RKB425" s="15"/>
      <c r="RKC425" s="15"/>
      <c r="RKD425" s="15"/>
      <c r="RKE425" s="15"/>
      <c r="RKF425" s="15"/>
      <c r="RKG425" s="15"/>
      <c r="RKH425" s="15"/>
      <c r="RKI425" s="15"/>
      <c r="RKJ425" s="15"/>
      <c r="RKK425" s="15"/>
      <c r="RKL425" s="15"/>
      <c r="RKM425" s="15"/>
      <c r="RKN425" s="15"/>
      <c r="RKO425" s="15"/>
      <c r="RKP425" s="15"/>
      <c r="RKQ425" s="15"/>
      <c r="RKR425" s="15"/>
      <c r="RKS425" s="15"/>
      <c r="RKT425" s="15"/>
      <c r="RKU425" s="15"/>
      <c r="RKV425" s="15"/>
      <c r="RKW425" s="15"/>
      <c r="RKX425" s="15"/>
      <c r="RKY425" s="15"/>
      <c r="RKZ425" s="15"/>
      <c r="RLA425" s="15"/>
      <c r="RLB425" s="15"/>
      <c r="RLC425" s="15"/>
      <c r="RLD425" s="15"/>
      <c r="RLE425" s="15"/>
      <c r="RLF425" s="15"/>
      <c r="RLG425" s="15"/>
      <c r="RLH425" s="15"/>
      <c r="RLI425" s="15"/>
      <c r="RLJ425" s="15"/>
      <c r="RLK425" s="15"/>
      <c r="RLL425" s="15"/>
      <c r="RLM425" s="15"/>
      <c r="RLN425" s="15"/>
      <c r="RLO425" s="15"/>
      <c r="RLP425" s="15"/>
      <c r="RLQ425" s="15"/>
      <c r="RLR425" s="15"/>
      <c r="RLS425" s="15"/>
      <c r="RLT425" s="15"/>
      <c r="RLU425" s="15"/>
      <c r="RLV425" s="15"/>
      <c r="RLW425" s="15"/>
      <c r="RLX425" s="15"/>
      <c r="RLY425" s="15"/>
      <c r="RLZ425" s="15"/>
      <c r="RMA425" s="15"/>
      <c r="RMB425" s="15"/>
      <c r="RMC425" s="15"/>
      <c r="RMD425" s="15"/>
      <c r="RME425" s="15"/>
      <c r="RMF425" s="15"/>
      <c r="RMG425" s="15"/>
      <c r="RMH425" s="15"/>
      <c r="RMI425" s="15"/>
      <c r="RMJ425" s="15"/>
      <c r="RMK425" s="15"/>
      <c r="RML425" s="15"/>
      <c r="RMM425" s="15"/>
      <c r="RMN425" s="15"/>
      <c r="RMO425" s="15"/>
      <c r="RMP425" s="15"/>
      <c r="RMQ425" s="15"/>
      <c r="RMR425" s="15"/>
      <c r="RMS425" s="15"/>
      <c r="RMT425" s="15"/>
      <c r="RMU425" s="15"/>
      <c r="RMV425" s="15"/>
      <c r="RMW425" s="15"/>
      <c r="RMX425" s="15"/>
      <c r="RMY425" s="15"/>
      <c r="RMZ425" s="15"/>
      <c r="RNA425" s="15"/>
      <c r="RNB425" s="15"/>
      <c r="RNC425" s="15"/>
      <c r="RND425" s="15"/>
      <c r="RNE425" s="15"/>
      <c r="RNF425" s="15"/>
      <c r="RNG425" s="15"/>
      <c r="RNH425" s="15"/>
      <c r="RNI425" s="15"/>
      <c r="RNJ425" s="15"/>
      <c r="RNK425" s="15"/>
      <c r="RNL425" s="15"/>
      <c r="RNM425" s="15"/>
      <c r="RNN425" s="15"/>
      <c r="RNO425" s="15"/>
      <c r="RNP425" s="15"/>
      <c r="RNQ425" s="15"/>
      <c r="RNR425" s="15"/>
      <c r="RNS425" s="15"/>
      <c r="RNT425" s="15"/>
      <c r="RNU425" s="15"/>
      <c r="RNV425" s="15"/>
      <c r="RNW425" s="15"/>
      <c r="RNX425" s="15"/>
      <c r="RNY425" s="15"/>
      <c r="RNZ425" s="15"/>
      <c r="ROA425" s="15"/>
      <c r="ROB425" s="15"/>
      <c r="ROC425" s="15"/>
      <c r="ROD425" s="15"/>
      <c r="ROE425" s="15"/>
      <c r="ROF425" s="15"/>
      <c r="ROG425" s="15"/>
      <c r="ROH425" s="15"/>
      <c r="ROI425" s="15"/>
      <c r="ROJ425" s="15"/>
      <c r="ROK425" s="15"/>
      <c r="ROL425" s="15"/>
      <c r="ROM425" s="15"/>
      <c r="RON425" s="15"/>
      <c r="ROO425" s="15"/>
      <c r="ROP425" s="15"/>
      <c r="ROQ425" s="15"/>
      <c r="ROR425" s="15"/>
      <c r="ROS425" s="15"/>
      <c r="ROT425" s="15"/>
      <c r="ROU425" s="15"/>
      <c r="ROV425" s="15"/>
      <c r="ROW425" s="15"/>
      <c r="ROX425" s="15"/>
      <c r="ROY425" s="15"/>
      <c r="ROZ425" s="15"/>
      <c r="RPA425" s="15"/>
      <c r="RPB425" s="15"/>
      <c r="RPC425" s="15"/>
      <c r="RPD425" s="15"/>
      <c r="RPE425" s="15"/>
      <c r="RPF425" s="15"/>
      <c r="RPG425" s="15"/>
      <c r="RPH425" s="15"/>
      <c r="RPI425" s="15"/>
      <c r="RPJ425" s="15"/>
      <c r="RPK425" s="15"/>
      <c r="RPL425" s="15"/>
      <c r="RPM425" s="15"/>
      <c r="RPN425" s="15"/>
      <c r="RPO425" s="15"/>
      <c r="RPP425" s="15"/>
      <c r="RPQ425" s="15"/>
      <c r="RPR425" s="15"/>
      <c r="RPS425" s="15"/>
      <c r="RPT425" s="15"/>
      <c r="RPU425" s="15"/>
      <c r="RPV425" s="15"/>
      <c r="RPW425" s="15"/>
      <c r="RPX425" s="15"/>
      <c r="RPY425" s="15"/>
      <c r="RPZ425" s="15"/>
      <c r="RQA425" s="15"/>
      <c r="RQB425" s="15"/>
      <c r="RQC425" s="15"/>
      <c r="RQD425" s="15"/>
      <c r="RQE425" s="15"/>
      <c r="RQF425" s="15"/>
      <c r="RQG425" s="15"/>
      <c r="RQH425" s="15"/>
      <c r="RQI425" s="15"/>
      <c r="RQJ425" s="15"/>
      <c r="RQK425" s="15"/>
      <c r="RQL425" s="15"/>
      <c r="RQM425" s="15"/>
      <c r="RQN425" s="15"/>
      <c r="RQO425" s="15"/>
      <c r="RQP425" s="15"/>
      <c r="RQQ425" s="15"/>
      <c r="RQR425" s="15"/>
      <c r="RQS425" s="15"/>
      <c r="RQT425" s="15"/>
      <c r="RQU425" s="15"/>
      <c r="RQV425" s="15"/>
      <c r="RQW425" s="15"/>
      <c r="RQX425" s="15"/>
      <c r="RQY425" s="15"/>
      <c r="RQZ425" s="15"/>
      <c r="RRA425" s="15"/>
      <c r="RRB425" s="15"/>
      <c r="RRC425" s="15"/>
      <c r="RRD425" s="15"/>
      <c r="RRE425" s="15"/>
      <c r="RRF425" s="15"/>
      <c r="RRG425" s="15"/>
      <c r="RRH425" s="15"/>
      <c r="RRI425" s="15"/>
      <c r="RRJ425" s="15"/>
      <c r="RRK425" s="15"/>
      <c r="RRL425" s="15"/>
      <c r="RRM425" s="15"/>
      <c r="RRN425" s="15"/>
      <c r="RRO425" s="15"/>
      <c r="RRP425" s="15"/>
      <c r="RRQ425" s="15"/>
      <c r="RRR425" s="15"/>
      <c r="RRS425" s="15"/>
      <c r="RRT425" s="15"/>
      <c r="RRU425" s="15"/>
      <c r="RRV425" s="15"/>
      <c r="RRW425" s="15"/>
      <c r="RRX425" s="15"/>
      <c r="RRY425" s="15"/>
      <c r="RRZ425" s="15"/>
      <c r="RSA425" s="15"/>
      <c r="RSB425" s="15"/>
      <c r="RSC425" s="15"/>
      <c r="RSD425" s="15"/>
      <c r="RSE425" s="15"/>
      <c r="RSF425" s="15"/>
      <c r="RSG425" s="15"/>
      <c r="RSH425" s="15"/>
      <c r="RSI425" s="15"/>
      <c r="RSJ425" s="15"/>
      <c r="RSK425" s="15"/>
      <c r="RSL425" s="15"/>
      <c r="RSM425" s="15"/>
      <c r="RSN425" s="15"/>
      <c r="RSO425" s="15"/>
      <c r="RSP425" s="15"/>
      <c r="RSQ425" s="15"/>
      <c r="RSR425" s="15"/>
      <c r="RSS425" s="15"/>
      <c r="RST425" s="15"/>
      <c r="RSU425" s="15"/>
      <c r="RSV425" s="15"/>
      <c r="RSW425" s="15"/>
      <c r="RSX425" s="15"/>
      <c r="RSY425" s="15"/>
      <c r="RSZ425" s="15"/>
      <c r="RTA425" s="15"/>
      <c r="RTB425" s="15"/>
      <c r="RTC425" s="15"/>
      <c r="RTD425" s="15"/>
      <c r="RTE425" s="15"/>
      <c r="RTF425" s="15"/>
      <c r="RTG425" s="15"/>
      <c r="RTH425" s="15"/>
      <c r="RTI425" s="15"/>
      <c r="RTJ425" s="15"/>
      <c r="RTK425" s="15"/>
      <c r="RTL425" s="15"/>
      <c r="RTM425" s="15"/>
      <c r="RTN425" s="15"/>
      <c r="RTO425" s="15"/>
      <c r="RTP425" s="15"/>
      <c r="RTQ425" s="15"/>
      <c r="RTR425" s="15"/>
      <c r="RTS425" s="15"/>
      <c r="RTT425" s="15"/>
      <c r="RTU425" s="15"/>
      <c r="RTV425" s="15"/>
      <c r="RTW425" s="15"/>
      <c r="RTX425" s="15"/>
      <c r="RTY425" s="15"/>
      <c r="RTZ425" s="15"/>
      <c r="RUA425" s="15"/>
      <c r="RUB425" s="15"/>
      <c r="RUC425" s="15"/>
      <c r="RUD425" s="15"/>
      <c r="RUE425" s="15"/>
      <c r="RUF425" s="15"/>
      <c r="RUG425" s="15"/>
      <c r="RUH425" s="15"/>
      <c r="RUI425" s="15"/>
      <c r="RUJ425" s="15"/>
      <c r="RUK425" s="15"/>
      <c r="RUL425" s="15"/>
      <c r="RUM425" s="15"/>
      <c r="RUN425" s="15"/>
      <c r="RUO425" s="15"/>
      <c r="RUP425" s="15"/>
      <c r="RUQ425" s="15"/>
      <c r="RUR425" s="15"/>
      <c r="RUS425" s="15"/>
      <c r="RUT425" s="15"/>
      <c r="RUU425" s="15"/>
      <c r="RUV425" s="15"/>
      <c r="RUW425" s="15"/>
      <c r="RUX425" s="15"/>
      <c r="RUY425" s="15"/>
      <c r="RUZ425" s="15"/>
      <c r="RVA425" s="15"/>
      <c r="RVB425" s="15"/>
      <c r="RVC425" s="15"/>
      <c r="RVD425" s="15"/>
      <c r="RVE425" s="15"/>
      <c r="RVF425" s="15"/>
      <c r="RVG425" s="15"/>
      <c r="RVH425" s="15"/>
      <c r="RVI425" s="15"/>
      <c r="RVJ425" s="15"/>
      <c r="RVK425" s="15"/>
      <c r="RVL425" s="15"/>
      <c r="RVM425" s="15"/>
      <c r="RVN425" s="15"/>
      <c r="RVO425" s="15"/>
      <c r="RVP425" s="15"/>
      <c r="RVQ425" s="15"/>
      <c r="RVR425" s="15"/>
      <c r="RVS425" s="15"/>
      <c r="RVT425" s="15"/>
      <c r="RVU425" s="15"/>
      <c r="RVV425" s="15"/>
      <c r="RVW425" s="15"/>
      <c r="RVX425" s="15"/>
      <c r="RVY425" s="15"/>
      <c r="RVZ425" s="15"/>
      <c r="RWA425" s="15"/>
      <c r="RWB425" s="15"/>
      <c r="RWC425" s="15"/>
      <c r="RWD425" s="15"/>
      <c r="RWE425" s="15"/>
      <c r="RWF425" s="15"/>
      <c r="RWG425" s="15"/>
      <c r="RWH425" s="15"/>
      <c r="RWI425" s="15"/>
      <c r="RWJ425" s="15"/>
      <c r="RWK425" s="15"/>
      <c r="RWL425" s="15"/>
      <c r="RWM425" s="15"/>
      <c r="RWN425" s="15"/>
      <c r="RWO425" s="15"/>
      <c r="RWP425" s="15"/>
      <c r="RWQ425" s="15"/>
      <c r="RWR425" s="15"/>
      <c r="RWS425" s="15"/>
      <c r="RWT425" s="15"/>
      <c r="RWU425" s="15"/>
      <c r="RWV425" s="15"/>
      <c r="RWW425" s="15"/>
      <c r="RWX425" s="15"/>
      <c r="RWY425" s="15"/>
      <c r="RWZ425" s="15"/>
      <c r="RXA425" s="15"/>
      <c r="RXB425" s="15"/>
      <c r="RXC425" s="15"/>
      <c r="RXD425" s="15"/>
      <c r="RXE425" s="15"/>
      <c r="RXF425" s="15"/>
      <c r="RXG425" s="15"/>
      <c r="RXH425" s="15"/>
      <c r="RXI425" s="15"/>
      <c r="RXJ425" s="15"/>
      <c r="RXK425" s="15"/>
      <c r="RXL425" s="15"/>
      <c r="RXM425" s="15"/>
      <c r="RXN425" s="15"/>
      <c r="RXO425" s="15"/>
      <c r="RXP425" s="15"/>
      <c r="RXQ425" s="15"/>
      <c r="RXR425" s="15"/>
      <c r="RXS425" s="15"/>
      <c r="RXT425" s="15"/>
      <c r="RXU425" s="15"/>
      <c r="RXV425" s="15"/>
      <c r="RXW425" s="15"/>
      <c r="RXX425" s="15"/>
      <c r="RXY425" s="15"/>
      <c r="RXZ425" s="15"/>
      <c r="RYA425" s="15"/>
      <c r="RYB425" s="15"/>
      <c r="RYC425" s="15"/>
      <c r="RYD425" s="15"/>
      <c r="RYE425" s="15"/>
      <c r="RYF425" s="15"/>
      <c r="RYG425" s="15"/>
      <c r="RYH425" s="15"/>
      <c r="RYI425" s="15"/>
      <c r="RYJ425" s="15"/>
      <c r="RYK425" s="15"/>
      <c r="RYL425" s="15"/>
      <c r="RYM425" s="15"/>
      <c r="RYN425" s="15"/>
      <c r="RYO425" s="15"/>
      <c r="RYP425" s="15"/>
      <c r="RYQ425" s="15"/>
      <c r="RYR425" s="15"/>
      <c r="RYS425" s="15"/>
      <c r="RYT425" s="15"/>
      <c r="RYU425" s="15"/>
      <c r="RYV425" s="15"/>
      <c r="RYW425" s="15"/>
      <c r="RYX425" s="15"/>
      <c r="RYY425" s="15"/>
      <c r="RYZ425" s="15"/>
      <c r="RZA425" s="15"/>
      <c r="RZB425" s="15"/>
      <c r="RZC425" s="15"/>
      <c r="RZD425" s="15"/>
      <c r="RZE425" s="15"/>
      <c r="RZF425" s="15"/>
      <c r="RZG425" s="15"/>
      <c r="RZH425" s="15"/>
      <c r="RZI425" s="15"/>
      <c r="RZJ425" s="15"/>
      <c r="RZK425" s="15"/>
      <c r="RZL425" s="15"/>
      <c r="RZM425" s="15"/>
      <c r="RZN425" s="15"/>
      <c r="RZO425" s="15"/>
      <c r="RZP425" s="15"/>
      <c r="RZQ425" s="15"/>
      <c r="RZR425" s="15"/>
      <c r="RZS425" s="15"/>
      <c r="RZT425" s="15"/>
      <c r="RZU425" s="15"/>
      <c r="RZV425" s="15"/>
      <c r="RZW425" s="15"/>
      <c r="RZX425" s="15"/>
      <c r="RZY425" s="15"/>
      <c r="RZZ425" s="15"/>
      <c r="SAA425" s="15"/>
      <c r="SAB425" s="15"/>
      <c r="SAC425" s="15"/>
      <c r="SAD425" s="15"/>
      <c r="SAE425" s="15"/>
      <c r="SAF425" s="15"/>
      <c r="SAG425" s="15"/>
      <c r="SAH425" s="15"/>
      <c r="SAI425" s="15"/>
      <c r="SAJ425" s="15"/>
      <c r="SAK425" s="15"/>
      <c r="SAL425" s="15"/>
      <c r="SAM425" s="15"/>
      <c r="SAN425" s="15"/>
      <c r="SAO425" s="15"/>
      <c r="SAP425" s="15"/>
      <c r="SAQ425" s="15"/>
      <c r="SAR425" s="15"/>
      <c r="SAS425" s="15"/>
      <c r="SAT425" s="15"/>
      <c r="SAU425" s="15"/>
      <c r="SAV425" s="15"/>
      <c r="SAW425" s="15"/>
      <c r="SAX425" s="15"/>
      <c r="SAY425" s="15"/>
      <c r="SAZ425" s="15"/>
      <c r="SBA425" s="15"/>
      <c r="SBB425" s="15"/>
      <c r="SBC425" s="15"/>
      <c r="SBD425" s="15"/>
      <c r="SBE425" s="15"/>
      <c r="SBF425" s="15"/>
      <c r="SBG425" s="15"/>
      <c r="SBH425" s="15"/>
      <c r="SBI425" s="15"/>
      <c r="SBJ425" s="15"/>
      <c r="SBK425" s="15"/>
      <c r="SBL425" s="15"/>
      <c r="SBM425" s="15"/>
      <c r="SBN425" s="15"/>
      <c r="SBO425" s="15"/>
      <c r="SBP425" s="15"/>
      <c r="SBQ425" s="15"/>
      <c r="SBR425" s="15"/>
      <c r="SBS425" s="15"/>
      <c r="SBT425" s="15"/>
      <c r="SBU425" s="15"/>
      <c r="SBV425" s="15"/>
      <c r="SBW425" s="15"/>
      <c r="SBX425" s="15"/>
      <c r="SBY425" s="15"/>
      <c r="SBZ425" s="15"/>
      <c r="SCA425" s="15"/>
      <c r="SCB425" s="15"/>
      <c r="SCC425" s="15"/>
      <c r="SCD425" s="15"/>
      <c r="SCE425" s="15"/>
      <c r="SCF425" s="15"/>
      <c r="SCG425" s="15"/>
      <c r="SCH425" s="15"/>
      <c r="SCI425" s="15"/>
      <c r="SCJ425" s="15"/>
      <c r="SCK425" s="15"/>
      <c r="SCL425" s="15"/>
      <c r="SCM425" s="15"/>
      <c r="SCN425" s="15"/>
      <c r="SCO425" s="15"/>
      <c r="SCP425" s="15"/>
      <c r="SCQ425" s="15"/>
      <c r="SCR425" s="15"/>
      <c r="SCS425" s="15"/>
      <c r="SCT425" s="15"/>
      <c r="SCU425" s="15"/>
      <c r="SCV425" s="15"/>
      <c r="SCW425" s="15"/>
      <c r="SCX425" s="15"/>
      <c r="SCY425" s="15"/>
      <c r="SCZ425" s="15"/>
      <c r="SDA425" s="15"/>
      <c r="SDB425" s="15"/>
      <c r="SDC425" s="15"/>
      <c r="SDD425" s="15"/>
      <c r="SDE425" s="15"/>
      <c r="SDF425" s="15"/>
      <c r="SDG425" s="15"/>
      <c r="SDH425" s="15"/>
      <c r="SDI425" s="15"/>
      <c r="SDJ425" s="15"/>
      <c r="SDK425" s="15"/>
      <c r="SDL425" s="15"/>
      <c r="SDM425" s="15"/>
      <c r="SDN425" s="15"/>
      <c r="SDO425" s="15"/>
      <c r="SDP425" s="15"/>
      <c r="SDQ425" s="15"/>
      <c r="SDR425" s="15"/>
      <c r="SDS425" s="15"/>
      <c r="SDT425" s="15"/>
      <c r="SDU425" s="15"/>
      <c r="SDV425" s="15"/>
      <c r="SDW425" s="15"/>
      <c r="SDX425" s="15"/>
      <c r="SDY425" s="15"/>
      <c r="SDZ425" s="15"/>
      <c r="SEA425" s="15"/>
      <c r="SEB425" s="15"/>
      <c r="SEC425" s="15"/>
      <c r="SED425" s="15"/>
      <c r="SEE425" s="15"/>
      <c r="SEF425" s="15"/>
      <c r="SEG425" s="15"/>
      <c r="SEH425" s="15"/>
      <c r="SEI425" s="15"/>
      <c r="SEJ425" s="15"/>
      <c r="SEK425" s="15"/>
      <c r="SEL425" s="15"/>
      <c r="SEM425" s="15"/>
      <c r="SEN425" s="15"/>
      <c r="SEO425" s="15"/>
      <c r="SEP425" s="15"/>
      <c r="SEQ425" s="15"/>
      <c r="SER425" s="15"/>
      <c r="SES425" s="15"/>
      <c r="SET425" s="15"/>
      <c r="SEU425" s="15"/>
      <c r="SEV425" s="15"/>
      <c r="SEW425" s="15"/>
      <c r="SEX425" s="15"/>
      <c r="SEY425" s="15"/>
      <c r="SEZ425" s="15"/>
      <c r="SFA425" s="15"/>
      <c r="SFB425" s="15"/>
      <c r="SFC425" s="15"/>
      <c r="SFD425" s="15"/>
      <c r="SFE425" s="15"/>
      <c r="SFF425" s="15"/>
      <c r="SFG425" s="15"/>
      <c r="SFH425" s="15"/>
      <c r="SFI425" s="15"/>
      <c r="SFJ425" s="15"/>
      <c r="SFK425" s="15"/>
      <c r="SFL425" s="15"/>
      <c r="SFM425" s="15"/>
      <c r="SFN425" s="15"/>
      <c r="SFO425" s="15"/>
      <c r="SFP425" s="15"/>
      <c r="SFQ425" s="15"/>
      <c r="SFR425" s="15"/>
      <c r="SFS425" s="15"/>
      <c r="SFT425" s="15"/>
      <c r="SFU425" s="15"/>
      <c r="SFV425" s="15"/>
      <c r="SFW425" s="15"/>
      <c r="SFX425" s="15"/>
      <c r="SFY425" s="15"/>
      <c r="SFZ425" s="15"/>
      <c r="SGA425" s="15"/>
      <c r="SGB425" s="15"/>
      <c r="SGC425" s="15"/>
      <c r="SGD425" s="15"/>
      <c r="SGE425" s="15"/>
      <c r="SGF425" s="15"/>
      <c r="SGG425" s="15"/>
      <c r="SGH425" s="15"/>
      <c r="SGI425" s="15"/>
      <c r="SGJ425" s="15"/>
      <c r="SGK425" s="15"/>
      <c r="SGL425" s="15"/>
      <c r="SGM425" s="15"/>
      <c r="SGN425" s="15"/>
      <c r="SGO425" s="15"/>
      <c r="SGP425" s="15"/>
      <c r="SGQ425" s="15"/>
      <c r="SGR425" s="15"/>
      <c r="SGS425" s="15"/>
      <c r="SGT425" s="15"/>
      <c r="SGU425" s="15"/>
      <c r="SGV425" s="15"/>
      <c r="SGW425" s="15"/>
      <c r="SGX425" s="15"/>
      <c r="SGY425" s="15"/>
      <c r="SGZ425" s="15"/>
      <c r="SHA425" s="15"/>
      <c r="SHB425" s="15"/>
      <c r="SHC425" s="15"/>
      <c r="SHD425" s="15"/>
      <c r="SHE425" s="15"/>
      <c r="SHF425" s="15"/>
      <c r="SHG425" s="15"/>
      <c r="SHH425" s="15"/>
      <c r="SHI425" s="15"/>
      <c r="SHJ425" s="15"/>
      <c r="SHK425" s="15"/>
      <c r="SHL425" s="15"/>
      <c r="SHM425" s="15"/>
      <c r="SHN425" s="15"/>
      <c r="SHO425" s="15"/>
      <c r="SHP425" s="15"/>
      <c r="SHQ425" s="15"/>
      <c r="SHR425" s="15"/>
      <c r="SHS425" s="15"/>
      <c r="SHT425" s="15"/>
      <c r="SHU425" s="15"/>
      <c r="SHV425" s="15"/>
      <c r="SHW425" s="15"/>
      <c r="SHX425" s="15"/>
      <c r="SHY425" s="15"/>
      <c r="SHZ425" s="15"/>
      <c r="SIA425" s="15"/>
      <c r="SIB425" s="15"/>
      <c r="SIC425" s="15"/>
      <c r="SID425" s="15"/>
      <c r="SIE425" s="15"/>
      <c r="SIF425" s="15"/>
      <c r="SIG425" s="15"/>
      <c r="SIH425" s="15"/>
      <c r="SII425" s="15"/>
      <c r="SIJ425" s="15"/>
      <c r="SIK425" s="15"/>
      <c r="SIL425" s="15"/>
      <c r="SIM425" s="15"/>
      <c r="SIN425" s="15"/>
      <c r="SIO425" s="15"/>
      <c r="SIP425" s="15"/>
      <c r="SIQ425" s="15"/>
      <c r="SIR425" s="15"/>
      <c r="SIS425" s="15"/>
      <c r="SIT425" s="15"/>
      <c r="SIU425" s="15"/>
      <c r="SIV425" s="15"/>
      <c r="SIW425" s="15"/>
      <c r="SIX425" s="15"/>
      <c r="SIY425" s="15"/>
      <c r="SIZ425" s="15"/>
      <c r="SJA425" s="15"/>
      <c r="SJB425" s="15"/>
      <c r="SJC425" s="15"/>
      <c r="SJD425" s="15"/>
      <c r="SJE425" s="15"/>
      <c r="SJF425" s="15"/>
      <c r="SJG425" s="15"/>
      <c r="SJH425" s="15"/>
      <c r="SJI425" s="15"/>
      <c r="SJJ425" s="15"/>
      <c r="SJK425" s="15"/>
      <c r="SJL425" s="15"/>
      <c r="SJM425" s="15"/>
      <c r="SJN425" s="15"/>
      <c r="SJO425" s="15"/>
      <c r="SJP425" s="15"/>
      <c r="SJQ425" s="15"/>
      <c r="SJR425" s="15"/>
      <c r="SJS425" s="15"/>
      <c r="SJT425" s="15"/>
      <c r="SJU425" s="15"/>
      <c r="SJV425" s="15"/>
      <c r="SJW425" s="15"/>
      <c r="SJX425" s="15"/>
      <c r="SJY425" s="15"/>
      <c r="SJZ425" s="15"/>
      <c r="SKA425" s="15"/>
      <c r="SKB425" s="15"/>
      <c r="SKC425" s="15"/>
      <c r="SKD425" s="15"/>
      <c r="SKE425" s="15"/>
      <c r="SKF425" s="15"/>
      <c r="SKG425" s="15"/>
      <c r="SKH425" s="15"/>
      <c r="SKI425" s="15"/>
      <c r="SKJ425" s="15"/>
      <c r="SKK425" s="15"/>
      <c r="SKL425" s="15"/>
      <c r="SKM425" s="15"/>
      <c r="SKN425" s="15"/>
      <c r="SKO425" s="15"/>
      <c r="SKP425" s="15"/>
      <c r="SKQ425" s="15"/>
      <c r="SKR425" s="15"/>
      <c r="SKS425" s="15"/>
      <c r="SKT425" s="15"/>
      <c r="SKU425" s="15"/>
      <c r="SKV425" s="15"/>
      <c r="SKW425" s="15"/>
      <c r="SKX425" s="15"/>
      <c r="SKY425" s="15"/>
      <c r="SKZ425" s="15"/>
      <c r="SLA425" s="15"/>
      <c r="SLB425" s="15"/>
      <c r="SLC425" s="15"/>
      <c r="SLD425" s="15"/>
      <c r="SLE425" s="15"/>
      <c r="SLF425" s="15"/>
      <c r="SLG425" s="15"/>
      <c r="SLH425" s="15"/>
      <c r="SLI425" s="15"/>
      <c r="SLJ425" s="15"/>
      <c r="SLK425" s="15"/>
      <c r="SLL425" s="15"/>
      <c r="SLM425" s="15"/>
      <c r="SLN425" s="15"/>
      <c r="SLO425" s="15"/>
      <c r="SLP425" s="15"/>
      <c r="SLQ425" s="15"/>
      <c r="SLR425" s="15"/>
      <c r="SLS425" s="15"/>
      <c r="SLT425" s="15"/>
      <c r="SLU425" s="15"/>
      <c r="SLV425" s="15"/>
      <c r="SLW425" s="15"/>
      <c r="SLX425" s="15"/>
      <c r="SLY425" s="15"/>
      <c r="SLZ425" s="15"/>
      <c r="SMA425" s="15"/>
      <c r="SMB425" s="15"/>
      <c r="SMC425" s="15"/>
      <c r="SMD425" s="15"/>
      <c r="SME425" s="15"/>
      <c r="SMF425" s="15"/>
      <c r="SMG425" s="15"/>
      <c r="SMH425" s="15"/>
      <c r="SMI425" s="15"/>
      <c r="SMJ425" s="15"/>
      <c r="SMK425" s="15"/>
      <c r="SML425" s="15"/>
      <c r="SMM425" s="15"/>
      <c r="SMN425" s="15"/>
      <c r="SMO425" s="15"/>
      <c r="SMP425" s="15"/>
      <c r="SMQ425" s="15"/>
      <c r="SMR425" s="15"/>
      <c r="SMS425" s="15"/>
      <c r="SMT425" s="15"/>
      <c r="SMU425" s="15"/>
      <c r="SMV425" s="15"/>
      <c r="SMW425" s="15"/>
      <c r="SMX425" s="15"/>
      <c r="SMY425" s="15"/>
      <c r="SMZ425" s="15"/>
      <c r="SNA425" s="15"/>
      <c r="SNB425" s="15"/>
      <c r="SNC425" s="15"/>
      <c r="SND425" s="15"/>
      <c r="SNE425" s="15"/>
      <c r="SNF425" s="15"/>
      <c r="SNG425" s="15"/>
      <c r="SNH425" s="15"/>
      <c r="SNI425" s="15"/>
      <c r="SNJ425" s="15"/>
      <c r="SNK425" s="15"/>
      <c r="SNL425" s="15"/>
      <c r="SNM425" s="15"/>
      <c r="SNN425" s="15"/>
      <c r="SNO425" s="15"/>
      <c r="SNP425" s="15"/>
      <c r="SNQ425" s="15"/>
      <c r="SNR425" s="15"/>
      <c r="SNS425" s="15"/>
      <c r="SNT425" s="15"/>
      <c r="SNU425" s="15"/>
      <c r="SNV425" s="15"/>
      <c r="SNW425" s="15"/>
      <c r="SNX425" s="15"/>
      <c r="SNY425" s="15"/>
      <c r="SNZ425" s="15"/>
      <c r="SOA425" s="15"/>
      <c r="SOB425" s="15"/>
      <c r="SOC425" s="15"/>
      <c r="SOD425" s="15"/>
      <c r="SOE425" s="15"/>
      <c r="SOF425" s="15"/>
      <c r="SOG425" s="15"/>
      <c r="SOH425" s="15"/>
      <c r="SOI425" s="15"/>
      <c r="SOJ425" s="15"/>
      <c r="SOK425" s="15"/>
      <c r="SOL425" s="15"/>
      <c r="SOM425" s="15"/>
      <c r="SON425" s="15"/>
      <c r="SOO425" s="15"/>
      <c r="SOP425" s="15"/>
      <c r="SOQ425" s="15"/>
      <c r="SOR425" s="15"/>
      <c r="SOS425" s="15"/>
      <c r="SOT425" s="15"/>
      <c r="SOU425" s="15"/>
      <c r="SOV425" s="15"/>
      <c r="SOW425" s="15"/>
      <c r="SOX425" s="15"/>
      <c r="SOY425" s="15"/>
      <c r="SOZ425" s="15"/>
      <c r="SPA425" s="15"/>
      <c r="SPB425" s="15"/>
      <c r="SPC425" s="15"/>
      <c r="SPD425" s="15"/>
      <c r="SPE425" s="15"/>
      <c r="SPF425" s="15"/>
      <c r="SPG425" s="15"/>
      <c r="SPH425" s="15"/>
      <c r="SPI425" s="15"/>
      <c r="SPJ425" s="15"/>
      <c r="SPK425" s="15"/>
      <c r="SPL425" s="15"/>
      <c r="SPM425" s="15"/>
      <c r="SPN425" s="15"/>
      <c r="SPO425" s="15"/>
      <c r="SPP425" s="15"/>
      <c r="SPQ425" s="15"/>
      <c r="SPR425" s="15"/>
      <c r="SPS425" s="15"/>
      <c r="SPT425" s="15"/>
      <c r="SPU425" s="15"/>
      <c r="SPV425" s="15"/>
      <c r="SPW425" s="15"/>
      <c r="SPX425" s="15"/>
      <c r="SPY425" s="15"/>
      <c r="SPZ425" s="15"/>
      <c r="SQA425" s="15"/>
      <c r="SQB425" s="15"/>
      <c r="SQC425" s="15"/>
      <c r="SQD425" s="15"/>
      <c r="SQE425" s="15"/>
      <c r="SQF425" s="15"/>
      <c r="SQG425" s="15"/>
      <c r="SQH425" s="15"/>
      <c r="SQI425" s="15"/>
      <c r="SQJ425" s="15"/>
      <c r="SQK425" s="15"/>
      <c r="SQL425" s="15"/>
      <c r="SQM425" s="15"/>
      <c r="SQN425" s="15"/>
      <c r="SQO425" s="15"/>
      <c r="SQP425" s="15"/>
      <c r="SQQ425" s="15"/>
      <c r="SQR425" s="15"/>
      <c r="SQS425" s="15"/>
      <c r="SQT425" s="15"/>
      <c r="SQU425" s="15"/>
      <c r="SQV425" s="15"/>
      <c r="SQW425" s="15"/>
      <c r="SQX425" s="15"/>
      <c r="SQY425" s="15"/>
      <c r="SQZ425" s="15"/>
      <c r="SRA425" s="15"/>
      <c r="SRB425" s="15"/>
      <c r="SRC425" s="15"/>
      <c r="SRD425" s="15"/>
      <c r="SRE425" s="15"/>
      <c r="SRF425" s="15"/>
      <c r="SRG425" s="15"/>
      <c r="SRH425" s="15"/>
      <c r="SRI425" s="15"/>
      <c r="SRJ425" s="15"/>
      <c r="SRK425" s="15"/>
      <c r="SRL425" s="15"/>
      <c r="SRM425" s="15"/>
      <c r="SRN425" s="15"/>
      <c r="SRO425" s="15"/>
      <c r="SRP425" s="15"/>
      <c r="SRQ425" s="15"/>
      <c r="SRR425" s="15"/>
      <c r="SRS425" s="15"/>
      <c r="SRT425" s="15"/>
      <c r="SRU425" s="15"/>
      <c r="SRV425" s="15"/>
      <c r="SRW425" s="15"/>
      <c r="SRX425" s="15"/>
      <c r="SRY425" s="15"/>
      <c r="SRZ425" s="15"/>
      <c r="SSA425" s="15"/>
      <c r="SSB425" s="15"/>
      <c r="SSC425" s="15"/>
      <c r="SSD425" s="15"/>
      <c r="SSE425" s="15"/>
      <c r="SSF425" s="15"/>
      <c r="SSG425" s="15"/>
      <c r="SSH425" s="15"/>
      <c r="SSI425" s="15"/>
      <c r="SSJ425" s="15"/>
      <c r="SSK425" s="15"/>
      <c r="SSL425" s="15"/>
      <c r="SSM425" s="15"/>
      <c r="SSN425" s="15"/>
      <c r="SSO425" s="15"/>
      <c r="SSP425" s="15"/>
      <c r="SSQ425" s="15"/>
      <c r="SSR425" s="15"/>
      <c r="SSS425" s="15"/>
      <c r="SST425" s="15"/>
      <c r="SSU425" s="15"/>
      <c r="SSV425" s="15"/>
      <c r="SSW425" s="15"/>
      <c r="SSX425" s="15"/>
      <c r="SSY425" s="15"/>
      <c r="SSZ425" s="15"/>
      <c r="STA425" s="15"/>
      <c r="STB425" s="15"/>
      <c r="STC425" s="15"/>
      <c r="STD425" s="15"/>
      <c r="STE425" s="15"/>
      <c r="STF425" s="15"/>
      <c r="STG425" s="15"/>
      <c r="STH425" s="15"/>
      <c r="STI425" s="15"/>
      <c r="STJ425" s="15"/>
      <c r="STK425" s="15"/>
      <c r="STL425" s="15"/>
      <c r="STM425" s="15"/>
      <c r="STN425" s="15"/>
      <c r="STO425" s="15"/>
      <c r="STP425" s="15"/>
      <c r="STQ425" s="15"/>
      <c r="STR425" s="15"/>
      <c r="STS425" s="15"/>
      <c r="STT425" s="15"/>
      <c r="STU425" s="15"/>
      <c r="STV425" s="15"/>
      <c r="STW425" s="15"/>
      <c r="STX425" s="15"/>
      <c r="STY425" s="15"/>
      <c r="STZ425" s="15"/>
      <c r="SUA425" s="15"/>
      <c r="SUB425" s="15"/>
      <c r="SUC425" s="15"/>
      <c r="SUD425" s="15"/>
      <c r="SUE425" s="15"/>
      <c r="SUF425" s="15"/>
      <c r="SUG425" s="15"/>
      <c r="SUH425" s="15"/>
      <c r="SUI425" s="15"/>
      <c r="SUJ425" s="15"/>
      <c r="SUK425" s="15"/>
      <c r="SUL425" s="15"/>
      <c r="SUM425" s="15"/>
      <c r="SUN425" s="15"/>
      <c r="SUO425" s="15"/>
      <c r="SUP425" s="15"/>
      <c r="SUQ425" s="15"/>
      <c r="SUR425" s="15"/>
      <c r="SUS425" s="15"/>
      <c r="SUT425" s="15"/>
      <c r="SUU425" s="15"/>
      <c r="SUV425" s="15"/>
      <c r="SUW425" s="15"/>
      <c r="SUX425" s="15"/>
      <c r="SUY425" s="15"/>
      <c r="SUZ425" s="15"/>
      <c r="SVA425" s="15"/>
      <c r="SVB425" s="15"/>
      <c r="SVC425" s="15"/>
      <c r="SVD425" s="15"/>
      <c r="SVE425" s="15"/>
      <c r="SVF425" s="15"/>
      <c r="SVG425" s="15"/>
      <c r="SVH425" s="15"/>
      <c r="SVI425" s="15"/>
      <c r="SVJ425" s="15"/>
      <c r="SVK425" s="15"/>
      <c r="SVL425" s="15"/>
      <c r="SVM425" s="15"/>
      <c r="SVN425" s="15"/>
      <c r="SVO425" s="15"/>
      <c r="SVP425" s="15"/>
      <c r="SVQ425" s="15"/>
      <c r="SVR425" s="15"/>
      <c r="SVS425" s="15"/>
      <c r="SVT425" s="15"/>
      <c r="SVU425" s="15"/>
      <c r="SVV425" s="15"/>
      <c r="SVW425" s="15"/>
      <c r="SVX425" s="15"/>
      <c r="SVY425" s="15"/>
      <c r="SVZ425" s="15"/>
      <c r="SWA425" s="15"/>
      <c r="SWB425" s="15"/>
      <c r="SWC425" s="15"/>
      <c r="SWD425" s="15"/>
      <c r="SWE425" s="15"/>
      <c r="SWF425" s="15"/>
      <c r="SWG425" s="15"/>
      <c r="SWH425" s="15"/>
      <c r="SWI425" s="15"/>
      <c r="SWJ425" s="15"/>
      <c r="SWK425" s="15"/>
      <c r="SWL425" s="15"/>
      <c r="SWM425" s="15"/>
      <c r="SWN425" s="15"/>
      <c r="SWO425" s="15"/>
      <c r="SWP425" s="15"/>
      <c r="SWQ425" s="15"/>
      <c r="SWR425" s="15"/>
      <c r="SWS425" s="15"/>
      <c r="SWT425" s="15"/>
      <c r="SWU425" s="15"/>
      <c r="SWV425" s="15"/>
      <c r="SWW425" s="15"/>
      <c r="SWX425" s="15"/>
      <c r="SWY425" s="15"/>
      <c r="SWZ425" s="15"/>
      <c r="SXA425" s="15"/>
      <c r="SXB425" s="15"/>
      <c r="SXC425" s="15"/>
      <c r="SXD425" s="15"/>
      <c r="SXE425" s="15"/>
      <c r="SXF425" s="15"/>
      <c r="SXG425" s="15"/>
      <c r="SXH425" s="15"/>
      <c r="SXI425" s="15"/>
      <c r="SXJ425" s="15"/>
      <c r="SXK425" s="15"/>
      <c r="SXL425" s="15"/>
      <c r="SXM425" s="15"/>
      <c r="SXN425" s="15"/>
      <c r="SXO425" s="15"/>
      <c r="SXP425" s="15"/>
      <c r="SXQ425" s="15"/>
      <c r="SXR425" s="15"/>
      <c r="SXS425" s="15"/>
      <c r="SXT425" s="15"/>
      <c r="SXU425" s="15"/>
      <c r="SXV425" s="15"/>
      <c r="SXW425" s="15"/>
      <c r="SXX425" s="15"/>
      <c r="SXY425" s="15"/>
      <c r="SXZ425" s="15"/>
      <c r="SYA425" s="15"/>
      <c r="SYB425" s="15"/>
      <c r="SYC425" s="15"/>
      <c r="SYD425" s="15"/>
      <c r="SYE425" s="15"/>
      <c r="SYF425" s="15"/>
      <c r="SYG425" s="15"/>
      <c r="SYH425" s="15"/>
      <c r="SYI425" s="15"/>
      <c r="SYJ425" s="15"/>
      <c r="SYK425" s="15"/>
      <c r="SYL425" s="15"/>
      <c r="SYM425" s="15"/>
      <c r="SYN425" s="15"/>
      <c r="SYO425" s="15"/>
      <c r="SYP425" s="15"/>
      <c r="SYQ425" s="15"/>
      <c r="SYR425" s="15"/>
      <c r="SYS425" s="15"/>
      <c r="SYT425" s="15"/>
      <c r="SYU425" s="15"/>
      <c r="SYV425" s="15"/>
      <c r="SYW425" s="15"/>
      <c r="SYX425" s="15"/>
      <c r="SYY425" s="15"/>
      <c r="SYZ425" s="15"/>
      <c r="SZA425" s="15"/>
      <c r="SZB425" s="15"/>
      <c r="SZC425" s="15"/>
      <c r="SZD425" s="15"/>
      <c r="SZE425" s="15"/>
      <c r="SZF425" s="15"/>
      <c r="SZG425" s="15"/>
      <c r="SZH425" s="15"/>
      <c r="SZI425" s="15"/>
      <c r="SZJ425" s="15"/>
      <c r="SZK425" s="15"/>
      <c r="SZL425" s="15"/>
      <c r="SZM425" s="15"/>
      <c r="SZN425" s="15"/>
      <c r="SZO425" s="15"/>
      <c r="SZP425" s="15"/>
      <c r="SZQ425" s="15"/>
      <c r="SZR425" s="15"/>
      <c r="SZS425" s="15"/>
      <c r="SZT425" s="15"/>
      <c r="SZU425" s="15"/>
      <c r="SZV425" s="15"/>
      <c r="SZW425" s="15"/>
      <c r="SZX425" s="15"/>
      <c r="SZY425" s="15"/>
      <c r="SZZ425" s="15"/>
      <c r="TAA425" s="15"/>
      <c r="TAB425" s="15"/>
      <c r="TAC425" s="15"/>
      <c r="TAD425" s="15"/>
      <c r="TAE425" s="15"/>
      <c r="TAF425" s="15"/>
      <c r="TAG425" s="15"/>
      <c r="TAH425" s="15"/>
      <c r="TAI425" s="15"/>
      <c r="TAJ425" s="15"/>
      <c r="TAK425" s="15"/>
      <c r="TAL425" s="15"/>
      <c r="TAM425" s="15"/>
      <c r="TAN425" s="15"/>
      <c r="TAO425" s="15"/>
      <c r="TAP425" s="15"/>
      <c r="TAQ425" s="15"/>
      <c r="TAR425" s="15"/>
      <c r="TAS425" s="15"/>
      <c r="TAT425" s="15"/>
      <c r="TAU425" s="15"/>
      <c r="TAV425" s="15"/>
      <c r="TAW425" s="15"/>
      <c r="TAX425" s="15"/>
      <c r="TAY425" s="15"/>
      <c r="TAZ425" s="15"/>
      <c r="TBA425" s="15"/>
      <c r="TBB425" s="15"/>
      <c r="TBC425" s="15"/>
      <c r="TBD425" s="15"/>
      <c r="TBE425" s="15"/>
      <c r="TBF425" s="15"/>
      <c r="TBG425" s="15"/>
      <c r="TBH425" s="15"/>
      <c r="TBI425" s="15"/>
      <c r="TBJ425" s="15"/>
      <c r="TBK425" s="15"/>
      <c r="TBL425" s="15"/>
      <c r="TBM425" s="15"/>
      <c r="TBN425" s="15"/>
      <c r="TBO425" s="15"/>
      <c r="TBP425" s="15"/>
      <c r="TBQ425" s="15"/>
      <c r="TBR425" s="15"/>
      <c r="TBS425" s="15"/>
      <c r="TBT425" s="15"/>
      <c r="TBU425" s="15"/>
      <c r="TBV425" s="15"/>
      <c r="TBW425" s="15"/>
      <c r="TBX425" s="15"/>
      <c r="TBY425" s="15"/>
      <c r="TBZ425" s="15"/>
      <c r="TCA425" s="15"/>
      <c r="TCB425" s="15"/>
      <c r="TCC425" s="15"/>
      <c r="TCD425" s="15"/>
      <c r="TCE425" s="15"/>
      <c r="TCF425" s="15"/>
      <c r="TCG425" s="15"/>
      <c r="TCH425" s="15"/>
      <c r="TCI425" s="15"/>
      <c r="TCJ425" s="15"/>
      <c r="TCK425" s="15"/>
      <c r="TCL425" s="15"/>
      <c r="TCM425" s="15"/>
      <c r="TCN425" s="15"/>
      <c r="TCO425" s="15"/>
      <c r="TCP425" s="15"/>
      <c r="TCQ425" s="15"/>
      <c r="TCR425" s="15"/>
      <c r="TCS425" s="15"/>
      <c r="TCT425" s="15"/>
      <c r="TCU425" s="15"/>
      <c r="TCV425" s="15"/>
      <c r="TCW425" s="15"/>
      <c r="TCX425" s="15"/>
      <c r="TCY425" s="15"/>
      <c r="TCZ425" s="15"/>
      <c r="TDA425" s="15"/>
      <c r="TDB425" s="15"/>
      <c r="TDC425" s="15"/>
      <c r="TDD425" s="15"/>
      <c r="TDE425" s="15"/>
      <c r="TDF425" s="15"/>
      <c r="TDG425" s="15"/>
      <c r="TDH425" s="15"/>
      <c r="TDI425" s="15"/>
      <c r="TDJ425" s="15"/>
      <c r="TDK425" s="15"/>
      <c r="TDL425" s="15"/>
      <c r="TDM425" s="15"/>
      <c r="TDN425" s="15"/>
      <c r="TDO425" s="15"/>
      <c r="TDP425" s="15"/>
      <c r="TDQ425" s="15"/>
      <c r="TDR425" s="15"/>
      <c r="TDS425" s="15"/>
      <c r="TDT425" s="15"/>
      <c r="TDU425" s="15"/>
      <c r="TDV425" s="15"/>
      <c r="TDW425" s="15"/>
      <c r="TDX425" s="15"/>
      <c r="TDY425" s="15"/>
      <c r="TDZ425" s="15"/>
      <c r="TEA425" s="15"/>
      <c r="TEB425" s="15"/>
      <c r="TEC425" s="15"/>
      <c r="TED425" s="15"/>
      <c r="TEE425" s="15"/>
      <c r="TEF425" s="15"/>
      <c r="TEG425" s="15"/>
      <c r="TEH425" s="15"/>
      <c r="TEI425" s="15"/>
      <c r="TEJ425" s="15"/>
      <c r="TEK425" s="15"/>
      <c r="TEL425" s="15"/>
      <c r="TEM425" s="15"/>
      <c r="TEN425" s="15"/>
      <c r="TEO425" s="15"/>
      <c r="TEP425" s="15"/>
      <c r="TEQ425" s="15"/>
      <c r="TER425" s="15"/>
      <c r="TES425" s="15"/>
      <c r="TET425" s="15"/>
      <c r="TEU425" s="15"/>
      <c r="TEV425" s="15"/>
      <c r="TEW425" s="15"/>
      <c r="TEX425" s="15"/>
      <c r="TEY425" s="15"/>
      <c r="TEZ425" s="15"/>
      <c r="TFA425" s="15"/>
      <c r="TFB425" s="15"/>
      <c r="TFC425" s="15"/>
      <c r="TFD425" s="15"/>
      <c r="TFE425" s="15"/>
      <c r="TFF425" s="15"/>
      <c r="TFG425" s="15"/>
      <c r="TFH425" s="15"/>
      <c r="TFI425" s="15"/>
      <c r="TFJ425" s="15"/>
      <c r="TFK425" s="15"/>
      <c r="TFL425" s="15"/>
      <c r="TFM425" s="15"/>
      <c r="TFN425" s="15"/>
      <c r="TFO425" s="15"/>
      <c r="TFP425" s="15"/>
      <c r="TFQ425" s="15"/>
      <c r="TFR425" s="15"/>
      <c r="TFS425" s="15"/>
      <c r="TFT425" s="15"/>
      <c r="TFU425" s="15"/>
      <c r="TFV425" s="15"/>
      <c r="TFW425" s="15"/>
      <c r="TFX425" s="15"/>
      <c r="TFY425" s="15"/>
      <c r="TFZ425" s="15"/>
      <c r="TGA425" s="15"/>
      <c r="TGB425" s="15"/>
      <c r="TGC425" s="15"/>
      <c r="TGD425" s="15"/>
      <c r="TGE425" s="15"/>
      <c r="TGF425" s="15"/>
      <c r="TGG425" s="15"/>
      <c r="TGH425" s="15"/>
      <c r="TGI425" s="15"/>
      <c r="TGJ425" s="15"/>
      <c r="TGK425" s="15"/>
      <c r="TGL425" s="15"/>
      <c r="TGM425" s="15"/>
      <c r="TGN425" s="15"/>
      <c r="TGO425" s="15"/>
      <c r="TGP425" s="15"/>
      <c r="TGQ425" s="15"/>
      <c r="TGR425" s="15"/>
      <c r="TGS425" s="15"/>
      <c r="TGT425" s="15"/>
      <c r="TGU425" s="15"/>
      <c r="TGV425" s="15"/>
      <c r="TGW425" s="15"/>
      <c r="TGX425" s="15"/>
      <c r="TGY425" s="15"/>
      <c r="TGZ425" s="15"/>
      <c r="THA425" s="15"/>
      <c r="THB425" s="15"/>
      <c r="THC425" s="15"/>
      <c r="THD425" s="15"/>
      <c r="THE425" s="15"/>
      <c r="THF425" s="15"/>
      <c r="THG425" s="15"/>
      <c r="THH425" s="15"/>
      <c r="THI425" s="15"/>
      <c r="THJ425" s="15"/>
      <c r="THK425" s="15"/>
      <c r="THL425" s="15"/>
      <c r="THM425" s="15"/>
      <c r="THN425" s="15"/>
      <c r="THO425" s="15"/>
      <c r="THP425" s="15"/>
      <c r="THQ425" s="15"/>
      <c r="THR425" s="15"/>
      <c r="THS425" s="15"/>
      <c r="THT425" s="15"/>
      <c r="THU425" s="15"/>
      <c r="THV425" s="15"/>
      <c r="THW425" s="15"/>
      <c r="THX425" s="15"/>
      <c r="THY425" s="15"/>
      <c r="THZ425" s="15"/>
      <c r="TIA425" s="15"/>
      <c r="TIB425" s="15"/>
      <c r="TIC425" s="15"/>
      <c r="TID425" s="15"/>
      <c r="TIE425" s="15"/>
      <c r="TIF425" s="15"/>
      <c r="TIG425" s="15"/>
      <c r="TIH425" s="15"/>
      <c r="TII425" s="15"/>
      <c r="TIJ425" s="15"/>
      <c r="TIK425" s="15"/>
      <c r="TIL425" s="15"/>
      <c r="TIM425" s="15"/>
      <c r="TIN425" s="15"/>
      <c r="TIO425" s="15"/>
      <c r="TIP425" s="15"/>
      <c r="TIQ425" s="15"/>
      <c r="TIR425" s="15"/>
      <c r="TIS425" s="15"/>
      <c r="TIT425" s="15"/>
      <c r="TIU425" s="15"/>
      <c r="TIV425" s="15"/>
      <c r="TIW425" s="15"/>
      <c r="TIX425" s="15"/>
      <c r="TIY425" s="15"/>
      <c r="TIZ425" s="15"/>
      <c r="TJA425" s="15"/>
      <c r="TJB425" s="15"/>
      <c r="TJC425" s="15"/>
      <c r="TJD425" s="15"/>
      <c r="TJE425" s="15"/>
      <c r="TJF425" s="15"/>
      <c r="TJG425" s="15"/>
      <c r="TJH425" s="15"/>
      <c r="TJI425" s="15"/>
      <c r="TJJ425" s="15"/>
      <c r="TJK425" s="15"/>
      <c r="TJL425" s="15"/>
      <c r="TJM425" s="15"/>
      <c r="TJN425" s="15"/>
      <c r="TJO425" s="15"/>
      <c r="TJP425" s="15"/>
      <c r="TJQ425" s="15"/>
      <c r="TJR425" s="15"/>
      <c r="TJS425" s="15"/>
      <c r="TJT425" s="15"/>
      <c r="TJU425" s="15"/>
      <c r="TJV425" s="15"/>
      <c r="TJW425" s="15"/>
      <c r="TJX425" s="15"/>
      <c r="TJY425" s="15"/>
      <c r="TJZ425" s="15"/>
      <c r="TKA425" s="15"/>
      <c r="TKB425" s="15"/>
      <c r="TKC425" s="15"/>
      <c r="TKD425" s="15"/>
      <c r="TKE425" s="15"/>
      <c r="TKF425" s="15"/>
      <c r="TKG425" s="15"/>
      <c r="TKH425" s="15"/>
      <c r="TKI425" s="15"/>
      <c r="TKJ425" s="15"/>
      <c r="TKK425" s="15"/>
      <c r="TKL425" s="15"/>
      <c r="TKM425" s="15"/>
      <c r="TKN425" s="15"/>
      <c r="TKO425" s="15"/>
      <c r="TKP425" s="15"/>
      <c r="TKQ425" s="15"/>
      <c r="TKR425" s="15"/>
      <c r="TKS425" s="15"/>
      <c r="TKT425" s="15"/>
      <c r="TKU425" s="15"/>
      <c r="TKV425" s="15"/>
      <c r="TKW425" s="15"/>
      <c r="TKX425" s="15"/>
      <c r="TKY425" s="15"/>
      <c r="TKZ425" s="15"/>
      <c r="TLA425" s="15"/>
      <c r="TLB425" s="15"/>
      <c r="TLC425" s="15"/>
      <c r="TLD425" s="15"/>
      <c r="TLE425" s="15"/>
      <c r="TLF425" s="15"/>
      <c r="TLG425" s="15"/>
      <c r="TLH425" s="15"/>
      <c r="TLI425" s="15"/>
      <c r="TLJ425" s="15"/>
      <c r="TLK425" s="15"/>
      <c r="TLL425" s="15"/>
      <c r="TLM425" s="15"/>
      <c r="TLN425" s="15"/>
      <c r="TLO425" s="15"/>
      <c r="TLP425" s="15"/>
      <c r="TLQ425" s="15"/>
      <c r="TLR425" s="15"/>
      <c r="TLS425" s="15"/>
      <c r="TLT425" s="15"/>
      <c r="TLU425" s="15"/>
      <c r="TLV425" s="15"/>
      <c r="TLW425" s="15"/>
      <c r="TLX425" s="15"/>
      <c r="TLY425" s="15"/>
      <c r="TLZ425" s="15"/>
      <c r="TMA425" s="15"/>
      <c r="TMB425" s="15"/>
      <c r="TMC425" s="15"/>
      <c r="TMD425" s="15"/>
      <c r="TME425" s="15"/>
      <c r="TMF425" s="15"/>
      <c r="TMG425" s="15"/>
      <c r="TMH425" s="15"/>
      <c r="TMI425" s="15"/>
      <c r="TMJ425" s="15"/>
      <c r="TMK425" s="15"/>
      <c r="TML425" s="15"/>
      <c r="TMM425" s="15"/>
      <c r="TMN425" s="15"/>
      <c r="TMO425" s="15"/>
      <c r="TMP425" s="15"/>
      <c r="TMQ425" s="15"/>
      <c r="TMR425" s="15"/>
      <c r="TMS425" s="15"/>
      <c r="TMT425" s="15"/>
      <c r="TMU425" s="15"/>
      <c r="TMV425" s="15"/>
      <c r="TMW425" s="15"/>
      <c r="TMX425" s="15"/>
      <c r="TMY425" s="15"/>
      <c r="TMZ425" s="15"/>
      <c r="TNA425" s="15"/>
      <c r="TNB425" s="15"/>
      <c r="TNC425" s="15"/>
      <c r="TND425" s="15"/>
      <c r="TNE425" s="15"/>
      <c r="TNF425" s="15"/>
      <c r="TNG425" s="15"/>
      <c r="TNH425" s="15"/>
      <c r="TNI425" s="15"/>
      <c r="TNJ425" s="15"/>
      <c r="TNK425" s="15"/>
      <c r="TNL425" s="15"/>
      <c r="TNM425" s="15"/>
      <c r="TNN425" s="15"/>
      <c r="TNO425" s="15"/>
      <c r="TNP425" s="15"/>
      <c r="TNQ425" s="15"/>
      <c r="TNR425" s="15"/>
      <c r="TNS425" s="15"/>
      <c r="TNT425" s="15"/>
      <c r="TNU425" s="15"/>
      <c r="TNV425" s="15"/>
      <c r="TNW425" s="15"/>
      <c r="TNX425" s="15"/>
      <c r="TNY425" s="15"/>
      <c r="TNZ425" s="15"/>
      <c r="TOA425" s="15"/>
      <c r="TOB425" s="15"/>
      <c r="TOC425" s="15"/>
      <c r="TOD425" s="15"/>
      <c r="TOE425" s="15"/>
      <c r="TOF425" s="15"/>
      <c r="TOG425" s="15"/>
      <c r="TOH425" s="15"/>
      <c r="TOI425" s="15"/>
      <c r="TOJ425" s="15"/>
      <c r="TOK425" s="15"/>
      <c r="TOL425" s="15"/>
      <c r="TOM425" s="15"/>
      <c r="TON425" s="15"/>
      <c r="TOO425" s="15"/>
      <c r="TOP425" s="15"/>
      <c r="TOQ425" s="15"/>
      <c r="TOR425" s="15"/>
      <c r="TOS425" s="15"/>
      <c r="TOT425" s="15"/>
      <c r="TOU425" s="15"/>
      <c r="TOV425" s="15"/>
      <c r="TOW425" s="15"/>
      <c r="TOX425" s="15"/>
      <c r="TOY425" s="15"/>
      <c r="TOZ425" s="15"/>
      <c r="TPA425" s="15"/>
      <c r="TPB425" s="15"/>
      <c r="TPC425" s="15"/>
      <c r="TPD425" s="15"/>
      <c r="TPE425" s="15"/>
      <c r="TPF425" s="15"/>
      <c r="TPG425" s="15"/>
      <c r="TPH425" s="15"/>
      <c r="TPI425" s="15"/>
      <c r="TPJ425" s="15"/>
      <c r="TPK425" s="15"/>
      <c r="TPL425" s="15"/>
      <c r="TPM425" s="15"/>
      <c r="TPN425" s="15"/>
      <c r="TPO425" s="15"/>
      <c r="TPP425" s="15"/>
      <c r="TPQ425" s="15"/>
      <c r="TPR425" s="15"/>
      <c r="TPS425" s="15"/>
      <c r="TPT425" s="15"/>
      <c r="TPU425" s="15"/>
      <c r="TPV425" s="15"/>
      <c r="TPW425" s="15"/>
      <c r="TPX425" s="15"/>
      <c r="TPY425" s="15"/>
      <c r="TPZ425" s="15"/>
      <c r="TQA425" s="15"/>
      <c r="TQB425" s="15"/>
      <c r="TQC425" s="15"/>
      <c r="TQD425" s="15"/>
      <c r="TQE425" s="15"/>
      <c r="TQF425" s="15"/>
      <c r="TQG425" s="15"/>
      <c r="TQH425" s="15"/>
      <c r="TQI425" s="15"/>
      <c r="TQJ425" s="15"/>
      <c r="TQK425" s="15"/>
      <c r="TQL425" s="15"/>
      <c r="TQM425" s="15"/>
      <c r="TQN425" s="15"/>
      <c r="TQO425" s="15"/>
      <c r="TQP425" s="15"/>
      <c r="TQQ425" s="15"/>
      <c r="TQR425" s="15"/>
      <c r="TQS425" s="15"/>
      <c r="TQT425" s="15"/>
      <c r="TQU425" s="15"/>
      <c r="TQV425" s="15"/>
      <c r="TQW425" s="15"/>
      <c r="TQX425" s="15"/>
      <c r="TQY425" s="15"/>
      <c r="TQZ425" s="15"/>
      <c r="TRA425" s="15"/>
      <c r="TRB425" s="15"/>
      <c r="TRC425" s="15"/>
      <c r="TRD425" s="15"/>
      <c r="TRE425" s="15"/>
      <c r="TRF425" s="15"/>
      <c r="TRG425" s="15"/>
      <c r="TRH425" s="15"/>
      <c r="TRI425" s="15"/>
      <c r="TRJ425" s="15"/>
      <c r="TRK425" s="15"/>
      <c r="TRL425" s="15"/>
      <c r="TRM425" s="15"/>
      <c r="TRN425" s="15"/>
      <c r="TRO425" s="15"/>
      <c r="TRP425" s="15"/>
      <c r="TRQ425" s="15"/>
      <c r="TRR425" s="15"/>
      <c r="TRS425" s="15"/>
      <c r="TRT425" s="15"/>
      <c r="TRU425" s="15"/>
      <c r="TRV425" s="15"/>
      <c r="TRW425" s="15"/>
      <c r="TRX425" s="15"/>
      <c r="TRY425" s="15"/>
      <c r="TRZ425" s="15"/>
      <c r="TSA425" s="15"/>
      <c r="TSB425" s="15"/>
      <c r="TSC425" s="15"/>
      <c r="TSD425" s="15"/>
      <c r="TSE425" s="15"/>
      <c r="TSF425" s="15"/>
      <c r="TSG425" s="15"/>
      <c r="TSH425" s="15"/>
      <c r="TSI425" s="15"/>
      <c r="TSJ425" s="15"/>
      <c r="TSK425" s="15"/>
      <c r="TSL425" s="15"/>
      <c r="TSM425" s="15"/>
      <c r="TSN425" s="15"/>
      <c r="TSO425" s="15"/>
      <c r="TSP425" s="15"/>
      <c r="TSQ425" s="15"/>
      <c r="TSR425" s="15"/>
      <c r="TSS425" s="15"/>
      <c r="TST425" s="15"/>
      <c r="TSU425" s="15"/>
      <c r="TSV425" s="15"/>
      <c r="TSW425" s="15"/>
      <c r="TSX425" s="15"/>
      <c r="TSY425" s="15"/>
      <c r="TSZ425" s="15"/>
      <c r="TTA425" s="15"/>
      <c r="TTB425" s="15"/>
      <c r="TTC425" s="15"/>
      <c r="TTD425" s="15"/>
      <c r="TTE425" s="15"/>
      <c r="TTF425" s="15"/>
      <c r="TTG425" s="15"/>
      <c r="TTH425" s="15"/>
      <c r="TTI425" s="15"/>
      <c r="TTJ425" s="15"/>
      <c r="TTK425" s="15"/>
      <c r="TTL425" s="15"/>
      <c r="TTM425" s="15"/>
      <c r="TTN425" s="15"/>
      <c r="TTO425" s="15"/>
      <c r="TTP425" s="15"/>
      <c r="TTQ425" s="15"/>
      <c r="TTR425" s="15"/>
      <c r="TTS425" s="15"/>
      <c r="TTT425" s="15"/>
      <c r="TTU425" s="15"/>
      <c r="TTV425" s="15"/>
      <c r="TTW425" s="15"/>
      <c r="TTX425" s="15"/>
      <c r="TTY425" s="15"/>
      <c r="TTZ425" s="15"/>
      <c r="TUA425" s="15"/>
      <c r="TUB425" s="15"/>
      <c r="TUC425" s="15"/>
      <c r="TUD425" s="15"/>
      <c r="TUE425" s="15"/>
      <c r="TUF425" s="15"/>
      <c r="TUG425" s="15"/>
      <c r="TUH425" s="15"/>
      <c r="TUI425" s="15"/>
      <c r="TUJ425" s="15"/>
      <c r="TUK425" s="15"/>
      <c r="TUL425" s="15"/>
      <c r="TUM425" s="15"/>
      <c r="TUN425" s="15"/>
      <c r="TUO425" s="15"/>
      <c r="TUP425" s="15"/>
      <c r="TUQ425" s="15"/>
      <c r="TUR425" s="15"/>
      <c r="TUS425" s="15"/>
      <c r="TUT425" s="15"/>
      <c r="TUU425" s="15"/>
      <c r="TUV425" s="15"/>
      <c r="TUW425" s="15"/>
      <c r="TUX425" s="15"/>
      <c r="TUY425" s="15"/>
      <c r="TUZ425" s="15"/>
      <c r="TVA425" s="15"/>
      <c r="TVB425" s="15"/>
      <c r="TVC425" s="15"/>
      <c r="TVD425" s="15"/>
      <c r="TVE425" s="15"/>
      <c r="TVF425" s="15"/>
      <c r="TVG425" s="15"/>
      <c r="TVH425" s="15"/>
      <c r="TVI425" s="15"/>
      <c r="TVJ425" s="15"/>
      <c r="TVK425" s="15"/>
      <c r="TVL425" s="15"/>
      <c r="TVM425" s="15"/>
      <c r="TVN425" s="15"/>
      <c r="TVO425" s="15"/>
      <c r="TVP425" s="15"/>
      <c r="TVQ425" s="15"/>
      <c r="TVR425" s="15"/>
      <c r="TVS425" s="15"/>
      <c r="TVT425" s="15"/>
      <c r="TVU425" s="15"/>
      <c r="TVV425" s="15"/>
      <c r="TVW425" s="15"/>
      <c r="TVX425" s="15"/>
      <c r="TVY425" s="15"/>
      <c r="TVZ425" s="15"/>
      <c r="TWA425" s="15"/>
      <c r="TWB425" s="15"/>
      <c r="TWC425" s="15"/>
      <c r="TWD425" s="15"/>
      <c r="TWE425" s="15"/>
      <c r="TWF425" s="15"/>
      <c r="TWG425" s="15"/>
      <c r="TWH425" s="15"/>
      <c r="TWI425" s="15"/>
      <c r="TWJ425" s="15"/>
      <c r="TWK425" s="15"/>
      <c r="TWL425" s="15"/>
      <c r="TWM425" s="15"/>
      <c r="TWN425" s="15"/>
      <c r="TWO425" s="15"/>
      <c r="TWP425" s="15"/>
      <c r="TWQ425" s="15"/>
      <c r="TWR425" s="15"/>
      <c r="TWS425" s="15"/>
      <c r="TWT425" s="15"/>
      <c r="TWU425" s="15"/>
      <c r="TWV425" s="15"/>
      <c r="TWW425" s="15"/>
      <c r="TWX425" s="15"/>
      <c r="TWY425" s="15"/>
      <c r="TWZ425" s="15"/>
      <c r="TXA425" s="15"/>
      <c r="TXB425" s="15"/>
      <c r="TXC425" s="15"/>
      <c r="TXD425" s="15"/>
      <c r="TXE425" s="15"/>
      <c r="TXF425" s="15"/>
      <c r="TXG425" s="15"/>
      <c r="TXH425" s="15"/>
      <c r="TXI425" s="15"/>
      <c r="TXJ425" s="15"/>
      <c r="TXK425" s="15"/>
      <c r="TXL425" s="15"/>
      <c r="TXM425" s="15"/>
      <c r="TXN425" s="15"/>
      <c r="TXO425" s="15"/>
      <c r="TXP425" s="15"/>
      <c r="TXQ425" s="15"/>
      <c r="TXR425" s="15"/>
      <c r="TXS425" s="15"/>
      <c r="TXT425" s="15"/>
      <c r="TXU425" s="15"/>
      <c r="TXV425" s="15"/>
      <c r="TXW425" s="15"/>
      <c r="TXX425" s="15"/>
      <c r="TXY425" s="15"/>
      <c r="TXZ425" s="15"/>
      <c r="TYA425" s="15"/>
      <c r="TYB425" s="15"/>
      <c r="TYC425" s="15"/>
      <c r="TYD425" s="15"/>
      <c r="TYE425" s="15"/>
      <c r="TYF425" s="15"/>
      <c r="TYG425" s="15"/>
      <c r="TYH425" s="15"/>
      <c r="TYI425" s="15"/>
      <c r="TYJ425" s="15"/>
      <c r="TYK425" s="15"/>
      <c r="TYL425" s="15"/>
      <c r="TYM425" s="15"/>
      <c r="TYN425" s="15"/>
      <c r="TYO425" s="15"/>
      <c r="TYP425" s="15"/>
      <c r="TYQ425" s="15"/>
      <c r="TYR425" s="15"/>
      <c r="TYS425" s="15"/>
      <c r="TYT425" s="15"/>
      <c r="TYU425" s="15"/>
      <c r="TYV425" s="15"/>
      <c r="TYW425" s="15"/>
      <c r="TYX425" s="15"/>
      <c r="TYY425" s="15"/>
      <c r="TYZ425" s="15"/>
      <c r="TZA425" s="15"/>
      <c r="TZB425" s="15"/>
      <c r="TZC425" s="15"/>
      <c r="TZD425" s="15"/>
      <c r="TZE425" s="15"/>
      <c r="TZF425" s="15"/>
      <c r="TZG425" s="15"/>
      <c r="TZH425" s="15"/>
      <c r="TZI425" s="15"/>
      <c r="TZJ425" s="15"/>
      <c r="TZK425" s="15"/>
      <c r="TZL425" s="15"/>
      <c r="TZM425" s="15"/>
      <c r="TZN425" s="15"/>
      <c r="TZO425" s="15"/>
      <c r="TZP425" s="15"/>
      <c r="TZQ425" s="15"/>
      <c r="TZR425" s="15"/>
      <c r="TZS425" s="15"/>
      <c r="TZT425" s="15"/>
      <c r="TZU425" s="15"/>
      <c r="TZV425" s="15"/>
      <c r="TZW425" s="15"/>
      <c r="TZX425" s="15"/>
      <c r="TZY425" s="15"/>
      <c r="TZZ425" s="15"/>
      <c r="UAA425" s="15"/>
      <c r="UAB425" s="15"/>
      <c r="UAC425" s="15"/>
      <c r="UAD425" s="15"/>
      <c r="UAE425" s="15"/>
      <c r="UAF425" s="15"/>
      <c r="UAG425" s="15"/>
      <c r="UAH425" s="15"/>
      <c r="UAI425" s="15"/>
      <c r="UAJ425" s="15"/>
      <c r="UAK425" s="15"/>
      <c r="UAL425" s="15"/>
      <c r="UAM425" s="15"/>
      <c r="UAN425" s="15"/>
      <c r="UAO425" s="15"/>
      <c r="UAP425" s="15"/>
      <c r="UAQ425" s="15"/>
      <c r="UAR425" s="15"/>
      <c r="UAS425" s="15"/>
      <c r="UAT425" s="15"/>
      <c r="UAU425" s="15"/>
      <c r="UAV425" s="15"/>
      <c r="UAW425" s="15"/>
      <c r="UAX425" s="15"/>
      <c r="UAY425" s="15"/>
      <c r="UAZ425" s="15"/>
      <c r="UBA425" s="15"/>
      <c r="UBB425" s="15"/>
      <c r="UBC425" s="15"/>
      <c r="UBD425" s="15"/>
      <c r="UBE425" s="15"/>
      <c r="UBF425" s="15"/>
      <c r="UBG425" s="15"/>
      <c r="UBH425" s="15"/>
      <c r="UBI425" s="15"/>
      <c r="UBJ425" s="15"/>
      <c r="UBK425" s="15"/>
      <c r="UBL425" s="15"/>
      <c r="UBM425" s="15"/>
      <c r="UBN425" s="15"/>
      <c r="UBO425" s="15"/>
      <c r="UBP425" s="15"/>
      <c r="UBQ425" s="15"/>
      <c r="UBR425" s="15"/>
      <c r="UBS425" s="15"/>
      <c r="UBT425" s="15"/>
      <c r="UBU425" s="15"/>
      <c r="UBV425" s="15"/>
      <c r="UBW425" s="15"/>
      <c r="UBX425" s="15"/>
      <c r="UBY425" s="15"/>
      <c r="UBZ425" s="15"/>
      <c r="UCA425" s="15"/>
      <c r="UCB425" s="15"/>
      <c r="UCC425" s="15"/>
      <c r="UCD425" s="15"/>
      <c r="UCE425" s="15"/>
      <c r="UCF425" s="15"/>
      <c r="UCG425" s="15"/>
      <c r="UCH425" s="15"/>
      <c r="UCI425" s="15"/>
      <c r="UCJ425" s="15"/>
      <c r="UCK425" s="15"/>
      <c r="UCL425" s="15"/>
      <c r="UCM425" s="15"/>
      <c r="UCN425" s="15"/>
      <c r="UCO425" s="15"/>
      <c r="UCP425" s="15"/>
      <c r="UCQ425" s="15"/>
      <c r="UCR425" s="15"/>
      <c r="UCS425" s="15"/>
      <c r="UCT425" s="15"/>
      <c r="UCU425" s="15"/>
      <c r="UCV425" s="15"/>
      <c r="UCW425" s="15"/>
      <c r="UCX425" s="15"/>
      <c r="UCY425" s="15"/>
      <c r="UCZ425" s="15"/>
      <c r="UDA425" s="15"/>
      <c r="UDB425" s="15"/>
      <c r="UDC425" s="15"/>
      <c r="UDD425" s="15"/>
      <c r="UDE425" s="15"/>
      <c r="UDF425" s="15"/>
      <c r="UDG425" s="15"/>
      <c r="UDH425" s="15"/>
      <c r="UDI425" s="15"/>
      <c r="UDJ425" s="15"/>
      <c r="UDK425" s="15"/>
      <c r="UDL425" s="15"/>
      <c r="UDM425" s="15"/>
      <c r="UDN425" s="15"/>
      <c r="UDO425" s="15"/>
      <c r="UDP425" s="15"/>
      <c r="UDQ425" s="15"/>
      <c r="UDR425" s="15"/>
      <c r="UDS425" s="15"/>
      <c r="UDT425" s="15"/>
      <c r="UDU425" s="15"/>
      <c r="UDV425" s="15"/>
      <c r="UDW425" s="15"/>
      <c r="UDX425" s="15"/>
      <c r="UDY425" s="15"/>
      <c r="UDZ425" s="15"/>
      <c r="UEA425" s="15"/>
      <c r="UEB425" s="15"/>
      <c r="UEC425" s="15"/>
      <c r="UED425" s="15"/>
      <c r="UEE425" s="15"/>
      <c r="UEF425" s="15"/>
      <c r="UEG425" s="15"/>
      <c r="UEH425" s="15"/>
      <c r="UEI425" s="15"/>
      <c r="UEJ425" s="15"/>
      <c r="UEK425" s="15"/>
      <c r="UEL425" s="15"/>
      <c r="UEM425" s="15"/>
      <c r="UEN425" s="15"/>
      <c r="UEO425" s="15"/>
      <c r="UEP425" s="15"/>
      <c r="UEQ425" s="15"/>
      <c r="UER425" s="15"/>
      <c r="UES425" s="15"/>
      <c r="UET425" s="15"/>
      <c r="UEU425" s="15"/>
      <c r="UEV425" s="15"/>
      <c r="UEW425" s="15"/>
      <c r="UEX425" s="15"/>
      <c r="UEY425" s="15"/>
      <c r="UEZ425" s="15"/>
      <c r="UFA425" s="15"/>
      <c r="UFB425" s="15"/>
      <c r="UFC425" s="15"/>
      <c r="UFD425" s="15"/>
      <c r="UFE425" s="15"/>
      <c r="UFF425" s="15"/>
      <c r="UFG425" s="15"/>
      <c r="UFH425" s="15"/>
      <c r="UFI425" s="15"/>
      <c r="UFJ425" s="15"/>
      <c r="UFK425" s="15"/>
      <c r="UFL425" s="15"/>
      <c r="UFM425" s="15"/>
      <c r="UFN425" s="15"/>
      <c r="UFO425" s="15"/>
      <c r="UFP425" s="15"/>
      <c r="UFQ425" s="15"/>
      <c r="UFR425" s="15"/>
      <c r="UFS425" s="15"/>
      <c r="UFT425" s="15"/>
      <c r="UFU425" s="15"/>
      <c r="UFV425" s="15"/>
      <c r="UFW425" s="15"/>
      <c r="UFX425" s="15"/>
      <c r="UFY425" s="15"/>
      <c r="UFZ425" s="15"/>
      <c r="UGA425" s="15"/>
      <c r="UGB425" s="15"/>
      <c r="UGC425" s="15"/>
      <c r="UGD425" s="15"/>
      <c r="UGE425" s="15"/>
      <c r="UGF425" s="15"/>
      <c r="UGG425" s="15"/>
      <c r="UGH425" s="15"/>
      <c r="UGI425" s="15"/>
      <c r="UGJ425" s="15"/>
      <c r="UGK425" s="15"/>
      <c r="UGL425" s="15"/>
      <c r="UGM425" s="15"/>
      <c r="UGN425" s="15"/>
      <c r="UGO425" s="15"/>
      <c r="UGP425" s="15"/>
      <c r="UGQ425" s="15"/>
      <c r="UGR425" s="15"/>
      <c r="UGS425" s="15"/>
      <c r="UGT425" s="15"/>
      <c r="UGU425" s="15"/>
      <c r="UGV425" s="15"/>
      <c r="UGW425" s="15"/>
      <c r="UGX425" s="15"/>
      <c r="UGY425" s="15"/>
      <c r="UGZ425" s="15"/>
      <c r="UHA425" s="15"/>
      <c r="UHB425" s="15"/>
      <c r="UHC425" s="15"/>
      <c r="UHD425" s="15"/>
      <c r="UHE425" s="15"/>
      <c r="UHF425" s="15"/>
      <c r="UHG425" s="15"/>
      <c r="UHH425" s="15"/>
      <c r="UHI425" s="15"/>
      <c r="UHJ425" s="15"/>
      <c r="UHK425" s="15"/>
      <c r="UHL425" s="15"/>
      <c r="UHM425" s="15"/>
      <c r="UHN425" s="15"/>
      <c r="UHO425" s="15"/>
      <c r="UHP425" s="15"/>
      <c r="UHQ425" s="15"/>
      <c r="UHR425" s="15"/>
      <c r="UHS425" s="15"/>
      <c r="UHT425" s="15"/>
      <c r="UHU425" s="15"/>
      <c r="UHV425" s="15"/>
      <c r="UHW425" s="15"/>
      <c r="UHX425" s="15"/>
      <c r="UHY425" s="15"/>
      <c r="UHZ425" s="15"/>
      <c r="UIA425" s="15"/>
      <c r="UIB425" s="15"/>
      <c r="UIC425" s="15"/>
      <c r="UID425" s="15"/>
      <c r="UIE425" s="15"/>
      <c r="UIF425" s="15"/>
      <c r="UIG425" s="15"/>
      <c r="UIH425" s="15"/>
      <c r="UII425" s="15"/>
      <c r="UIJ425" s="15"/>
      <c r="UIK425" s="15"/>
      <c r="UIL425" s="15"/>
      <c r="UIM425" s="15"/>
      <c r="UIN425" s="15"/>
      <c r="UIO425" s="15"/>
      <c r="UIP425" s="15"/>
      <c r="UIQ425" s="15"/>
      <c r="UIR425" s="15"/>
      <c r="UIS425" s="15"/>
      <c r="UIT425" s="15"/>
      <c r="UIU425" s="15"/>
      <c r="UIV425" s="15"/>
      <c r="UIW425" s="15"/>
      <c r="UIX425" s="15"/>
      <c r="UIY425" s="15"/>
      <c r="UIZ425" s="15"/>
      <c r="UJA425" s="15"/>
      <c r="UJB425" s="15"/>
      <c r="UJC425" s="15"/>
      <c r="UJD425" s="15"/>
      <c r="UJE425" s="15"/>
      <c r="UJF425" s="15"/>
      <c r="UJG425" s="15"/>
      <c r="UJH425" s="15"/>
      <c r="UJI425" s="15"/>
      <c r="UJJ425" s="15"/>
      <c r="UJK425" s="15"/>
      <c r="UJL425" s="15"/>
      <c r="UJM425" s="15"/>
      <c r="UJN425" s="15"/>
      <c r="UJO425" s="15"/>
      <c r="UJP425" s="15"/>
      <c r="UJQ425" s="15"/>
      <c r="UJR425" s="15"/>
      <c r="UJS425" s="15"/>
      <c r="UJT425" s="15"/>
      <c r="UJU425" s="15"/>
      <c r="UJV425" s="15"/>
      <c r="UJW425" s="15"/>
      <c r="UJX425" s="15"/>
      <c r="UJY425" s="15"/>
      <c r="UJZ425" s="15"/>
      <c r="UKA425" s="15"/>
      <c r="UKB425" s="15"/>
      <c r="UKC425" s="15"/>
      <c r="UKD425" s="15"/>
      <c r="UKE425" s="15"/>
      <c r="UKF425" s="15"/>
      <c r="UKG425" s="15"/>
      <c r="UKH425" s="15"/>
      <c r="UKI425" s="15"/>
      <c r="UKJ425" s="15"/>
      <c r="UKK425" s="15"/>
      <c r="UKL425" s="15"/>
      <c r="UKM425" s="15"/>
      <c r="UKN425" s="15"/>
      <c r="UKO425" s="15"/>
      <c r="UKP425" s="15"/>
      <c r="UKQ425" s="15"/>
      <c r="UKR425" s="15"/>
      <c r="UKS425" s="15"/>
      <c r="UKT425" s="15"/>
      <c r="UKU425" s="15"/>
      <c r="UKV425" s="15"/>
      <c r="UKW425" s="15"/>
      <c r="UKX425" s="15"/>
      <c r="UKY425" s="15"/>
      <c r="UKZ425" s="15"/>
      <c r="ULA425" s="15"/>
      <c r="ULB425" s="15"/>
      <c r="ULC425" s="15"/>
      <c r="ULD425" s="15"/>
      <c r="ULE425" s="15"/>
      <c r="ULF425" s="15"/>
      <c r="ULG425" s="15"/>
      <c r="ULH425" s="15"/>
      <c r="ULI425" s="15"/>
      <c r="ULJ425" s="15"/>
      <c r="ULK425" s="15"/>
      <c r="ULL425" s="15"/>
      <c r="ULM425" s="15"/>
      <c r="ULN425" s="15"/>
      <c r="ULO425" s="15"/>
      <c r="ULP425" s="15"/>
      <c r="ULQ425" s="15"/>
      <c r="ULR425" s="15"/>
      <c r="ULS425" s="15"/>
      <c r="ULT425" s="15"/>
      <c r="ULU425" s="15"/>
      <c r="ULV425" s="15"/>
      <c r="ULW425" s="15"/>
      <c r="ULX425" s="15"/>
      <c r="ULY425" s="15"/>
      <c r="ULZ425" s="15"/>
      <c r="UMA425" s="15"/>
      <c r="UMB425" s="15"/>
      <c r="UMC425" s="15"/>
      <c r="UMD425" s="15"/>
      <c r="UME425" s="15"/>
      <c r="UMF425" s="15"/>
      <c r="UMG425" s="15"/>
      <c r="UMH425" s="15"/>
      <c r="UMI425" s="15"/>
      <c r="UMJ425" s="15"/>
      <c r="UMK425" s="15"/>
      <c r="UML425" s="15"/>
      <c r="UMM425" s="15"/>
      <c r="UMN425" s="15"/>
      <c r="UMO425" s="15"/>
      <c r="UMP425" s="15"/>
      <c r="UMQ425" s="15"/>
      <c r="UMR425" s="15"/>
      <c r="UMS425" s="15"/>
      <c r="UMT425" s="15"/>
      <c r="UMU425" s="15"/>
      <c r="UMV425" s="15"/>
      <c r="UMW425" s="15"/>
      <c r="UMX425" s="15"/>
      <c r="UMY425" s="15"/>
      <c r="UMZ425" s="15"/>
      <c r="UNA425" s="15"/>
      <c r="UNB425" s="15"/>
      <c r="UNC425" s="15"/>
      <c r="UND425" s="15"/>
      <c r="UNE425" s="15"/>
      <c r="UNF425" s="15"/>
      <c r="UNG425" s="15"/>
      <c r="UNH425" s="15"/>
      <c r="UNI425" s="15"/>
      <c r="UNJ425" s="15"/>
      <c r="UNK425" s="15"/>
      <c r="UNL425" s="15"/>
      <c r="UNM425" s="15"/>
      <c r="UNN425" s="15"/>
      <c r="UNO425" s="15"/>
      <c r="UNP425" s="15"/>
      <c r="UNQ425" s="15"/>
      <c r="UNR425" s="15"/>
      <c r="UNS425" s="15"/>
      <c r="UNT425" s="15"/>
      <c r="UNU425" s="15"/>
      <c r="UNV425" s="15"/>
      <c r="UNW425" s="15"/>
      <c r="UNX425" s="15"/>
      <c r="UNY425" s="15"/>
      <c r="UNZ425" s="15"/>
      <c r="UOA425" s="15"/>
      <c r="UOB425" s="15"/>
      <c r="UOC425" s="15"/>
      <c r="UOD425" s="15"/>
      <c r="UOE425" s="15"/>
      <c r="UOF425" s="15"/>
      <c r="UOG425" s="15"/>
      <c r="UOH425" s="15"/>
      <c r="UOI425" s="15"/>
      <c r="UOJ425" s="15"/>
      <c r="UOK425" s="15"/>
      <c r="UOL425" s="15"/>
      <c r="UOM425" s="15"/>
      <c r="UON425" s="15"/>
      <c r="UOO425" s="15"/>
      <c r="UOP425" s="15"/>
      <c r="UOQ425" s="15"/>
      <c r="UOR425" s="15"/>
      <c r="UOS425" s="15"/>
      <c r="UOT425" s="15"/>
      <c r="UOU425" s="15"/>
      <c r="UOV425" s="15"/>
      <c r="UOW425" s="15"/>
      <c r="UOX425" s="15"/>
      <c r="UOY425" s="15"/>
      <c r="UOZ425" s="15"/>
      <c r="UPA425" s="15"/>
      <c r="UPB425" s="15"/>
      <c r="UPC425" s="15"/>
      <c r="UPD425" s="15"/>
      <c r="UPE425" s="15"/>
      <c r="UPF425" s="15"/>
      <c r="UPG425" s="15"/>
      <c r="UPH425" s="15"/>
      <c r="UPI425" s="15"/>
      <c r="UPJ425" s="15"/>
      <c r="UPK425" s="15"/>
      <c r="UPL425" s="15"/>
      <c r="UPM425" s="15"/>
      <c r="UPN425" s="15"/>
      <c r="UPO425" s="15"/>
      <c r="UPP425" s="15"/>
      <c r="UPQ425" s="15"/>
      <c r="UPR425" s="15"/>
      <c r="UPS425" s="15"/>
      <c r="UPT425" s="15"/>
      <c r="UPU425" s="15"/>
      <c r="UPV425" s="15"/>
      <c r="UPW425" s="15"/>
      <c r="UPX425" s="15"/>
      <c r="UPY425" s="15"/>
      <c r="UPZ425" s="15"/>
      <c r="UQA425" s="15"/>
      <c r="UQB425" s="15"/>
      <c r="UQC425" s="15"/>
      <c r="UQD425" s="15"/>
      <c r="UQE425" s="15"/>
      <c r="UQF425" s="15"/>
      <c r="UQG425" s="15"/>
      <c r="UQH425" s="15"/>
      <c r="UQI425" s="15"/>
      <c r="UQJ425" s="15"/>
      <c r="UQK425" s="15"/>
      <c r="UQL425" s="15"/>
      <c r="UQM425" s="15"/>
      <c r="UQN425" s="15"/>
      <c r="UQO425" s="15"/>
      <c r="UQP425" s="15"/>
      <c r="UQQ425" s="15"/>
      <c r="UQR425" s="15"/>
      <c r="UQS425" s="15"/>
      <c r="UQT425" s="15"/>
      <c r="UQU425" s="15"/>
      <c r="UQV425" s="15"/>
      <c r="UQW425" s="15"/>
      <c r="UQX425" s="15"/>
      <c r="UQY425" s="15"/>
      <c r="UQZ425" s="15"/>
      <c r="URA425" s="15"/>
      <c r="URB425" s="15"/>
      <c r="URC425" s="15"/>
      <c r="URD425" s="15"/>
      <c r="URE425" s="15"/>
      <c r="URF425" s="15"/>
      <c r="URG425" s="15"/>
      <c r="URH425" s="15"/>
      <c r="URI425" s="15"/>
      <c r="URJ425" s="15"/>
      <c r="URK425" s="15"/>
      <c r="URL425" s="15"/>
      <c r="URM425" s="15"/>
      <c r="URN425" s="15"/>
      <c r="URO425" s="15"/>
      <c r="URP425" s="15"/>
      <c r="URQ425" s="15"/>
      <c r="URR425" s="15"/>
      <c r="URS425" s="15"/>
      <c r="URT425" s="15"/>
      <c r="URU425" s="15"/>
      <c r="URV425" s="15"/>
      <c r="URW425" s="15"/>
      <c r="URX425" s="15"/>
      <c r="URY425" s="15"/>
      <c r="URZ425" s="15"/>
      <c r="USA425" s="15"/>
      <c r="USB425" s="15"/>
      <c r="USC425" s="15"/>
      <c r="USD425" s="15"/>
      <c r="USE425" s="15"/>
      <c r="USF425" s="15"/>
      <c r="USG425" s="15"/>
      <c r="USH425" s="15"/>
      <c r="USI425" s="15"/>
      <c r="USJ425" s="15"/>
      <c r="USK425" s="15"/>
      <c r="USL425" s="15"/>
      <c r="USM425" s="15"/>
      <c r="USN425" s="15"/>
      <c r="USO425" s="15"/>
      <c r="USP425" s="15"/>
      <c r="USQ425" s="15"/>
      <c r="USR425" s="15"/>
      <c r="USS425" s="15"/>
      <c r="UST425" s="15"/>
      <c r="USU425" s="15"/>
      <c r="USV425" s="15"/>
      <c r="USW425" s="15"/>
      <c r="USX425" s="15"/>
      <c r="USY425" s="15"/>
      <c r="USZ425" s="15"/>
      <c r="UTA425" s="15"/>
      <c r="UTB425" s="15"/>
      <c r="UTC425" s="15"/>
      <c r="UTD425" s="15"/>
      <c r="UTE425" s="15"/>
      <c r="UTF425" s="15"/>
      <c r="UTG425" s="15"/>
      <c r="UTH425" s="15"/>
      <c r="UTI425" s="15"/>
      <c r="UTJ425" s="15"/>
      <c r="UTK425" s="15"/>
      <c r="UTL425" s="15"/>
      <c r="UTM425" s="15"/>
      <c r="UTN425" s="15"/>
      <c r="UTO425" s="15"/>
      <c r="UTP425" s="15"/>
      <c r="UTQ425" s="15"/>
      <c r="UTR425" s="15"/>
      <c r="UTS425" s="15"/>
      <c r="UTT425" s="15"/>
      <c r="UTU425" s="15"/>
      <c r="UTV425" s="15"/>
      <c r="UTW425" s="15"/>
      <c r="UTX425" s="15"/>
      <c r="UTY425" s="15"/>
      <c r="UTZ425" s="15"/>
      <c r="UUA425" s="15"/>
      <c r="UUB425" s="15"/>
      <c r="UUC425" s="15"/>
      <c r="UUD425" s="15"/>
      <c r="UUE425" s="15"/>
      <c r="UUF425" s="15"/>
      <c r="UUG425" s="15"/>
      <c r="UUH425" s="15"/>
      <c r="UUI425" s="15"/>
      <c r="UUJ425" s="15"/>
      <c r="UUK425" s="15"/>
      <c r="UUL425" s="15"/>
      <c r="UUM425" s="15"/>
      <c r="UUN425" s="15"/>
      <c r="UUO425" s="15"/>
      <c r="UUP425" s="15"/>
      <c r="UUQ425" s="15"/>
      <c r="UUR425" s="15"/>
      <c r="UUS425" s="15"/>
      <c r="UUT425" s="15"/>
      <c r="UUU425" s="15"/>
      <c r="UUV425" s="15"/>
      <c r="UUW425" s="15"/>
      <c r="UUX425" s="15"/>
      <c r="UUY425" s="15"/>
      <c r="UUZ425" s="15"/>
      <c r="UVA425" s="15"/>
      <c r="UVB425" s="15"/>
      <c r="UVC425" s="15"/>
      <c r="UVD425" s="15"/>
      <c r="UVE425" s="15"/>
      <c r="UVF425" s="15"/>
      <c r="UVG425" s="15"/>
      <c r="UVH425" s="15"/>
      <c r="UVI425" s="15"/>
      <c r="UVJ425" s="15"/>
      <c r="UVK425" s="15"/>
      <c r="UVL425" s="15"/>
      <c r="UVM425" s="15"/>
      <c r="UVN425" s="15"/>
      <c r="UVO425" s="15"/>
      <c r="UVP425" s="15"/>
      <c r="UVQ425" s="15"/>
      <c r="UVR425" s="15"/>
      <c r="UVS425" s="15"/>
      <c r="UVT425" s="15"/>
      <c r="UVU425" s="15"/>
      <c r="UVV425" s="15"/>
      <c r="UVW425" s="15"/>
      <c r="UVX425" s="15"/>
      <c r="UVY425" s="15"/>
      <c r="UVZ425" s="15"/>
      <c r="UWA425" s="15"/>
      <c r="UWB425" s="15"/>
      <c r="UWC425" s="15"/>
      <c r="UWD425" s="15"/>
      <c r="UWE425" s="15"/>
      <c r="UWF425" s="15"/>
      <c r="UWG425" s="15"/>
      <c r="UWH425" s="15"/>
      <c r="UWI425" s="15"/>
      <c r="UWJ425" s="15"/>
      <c r="UWK425" s="15"/>
      <c r="UWL425" s="15"/>
      <c r="UWM425" s="15"/>
      <c r="UWN425" s="15"/>
      <c r="UWO425" s="15"/>
      <c r="UWP425" s="15"/>
      <c r="UWQ425" s="15"/>
      <c r="UWR425" s="15"/>
      <c r="UWS425" s="15"/>
      <c r="UWT425" s="15"/>
      <c r="UWU425" s="15"/>
      <c r="UWV425" s="15"/>
      <c r="UWW425" s="15"/>
      <c r="UWX425" s="15"/>
      <c r="UWY425" s="15"/>
      <c r="UWZ425" s="15"/>
      <c r="UXA425" s="15"/>
      <c r="UXB425" s="15"/>
      <c r="UXC425" s="15"/>
      <c r="UXD425" s="15"/>
      <c r="UXE425" s="15"/>
      <c r="UXF425" s="15"/>
      <c r="UXG425" s="15"/>
      <c r="UXH425" s="15"/>
      <c r="UXI425" s="15"/>
      <c r="UXJ425" s="15"/>
      <c r="UXK425" s="15"/>
      <c r="UXL425" s="15"/>
      <c r="UXM425" s="15"/>
      <c r="UXN425" s="15"/>
      <c r="UXO425" s="15"/>
      <c r="UXP425" s="15"/>
      <c r="UXQ425" s="15"/>
      <c r="UXR425" s="15"/>
      <c r="UXS425" s="15"/>
      <c r="UXT425" s="15"/>
      <c r="UXU425" s="15"/>
      <c r="UXV425" s="15"/>
      <c r="UXW425" s="15"/>
      <c r="UXX425" s="15"/>
      <c r="UXY425" s="15"/>
      <c r="UXZ425" s="15"/>
      <c r="UYA425" s="15"/>
      <c r="UYB425" s="15"/>
      <c r="UYC425" s="15"/>
      <c r="UYD425" s="15"/>
      <c r="UYE425" s="15"/>
      <c r="UYF425" s="15"/>
      <c r="UYG425" s="15"/>
      <c r="UYH425" s="15"/>
      <c r="UYI425" s="15"/>
      <c r="UYJ425" s="15"/>
      <c r="UYK425" s="15"/>
      <c r="UYL425" s="15"/>
      <c r="UYM425" s="15"/>
      <c r="UYN425" s="15"/>
      <c r="UYO425" s="15"/>
      <c r="UYP425" s="15"/>
      <c r="UYQ425" s="15"/>
      <c r="UYR425" s="15"/>
      <c r="UYS425" s="15"/>
      <c r="UYT425" s="15"/>
      <c r="UYU425" s="15"/>
      <c r="UYV425" s="15"/>
      <c r="UYW425" s="15"/>
      <c r="UYX425" s="15"/>
      <c r="UYY425" s="15"/>
      <c r="UYZ425" s="15"/>
      <c r="UZA425" s="15"/>
      <c r="UZB425" s="15"/>
      <c r="UZC425" s="15"/>
      <c r="UZD425" s="15"/>
      <c r="UZE425" s="15"/>
      <c r="UZF425" s="15"/>
      <c r="UZG425" s="15"/>
      <c r="UZH425" s="15"/>
      <c r="UZI425" s="15"/>
      <c r="UZJ425" s="15"/>
      <c r="UZK425" s="15"/>
      <c r="UZL425" s="15"/>
      <c r="UZM425" s="15"/>
      <c r="UZN425" s="15"/>
      <c r="UZO425" s="15"/>
      <c r="UZP425" s="15"/>
      <c r="UZQ425" s="15"/>
      <c r="UZR425" s="15"/>
      <c r="UZS425" s="15"/>
      <c r="UZT425" s="15"/>
      <c r="UZU425" s="15"/>
      <c r="UZV425" s="15"/>
      <c r="UZW425" s="15"/>
      <c r="UZX425" s="15"/>
      <c r="UZY425" s="15"/>
      <c r="UZZ425" s="15"/>
      <c r="VAA425" s="15"/>
      <c r="VAB425" s="15"/>
      <c r="VAC425" s="15"/>
      <c r="VAD425" s="15"/>
      <c r="VAE425" s="15"/>
      <c r="VAF425" s="15"/>
      <c r="VAG425" s="15"/>
      <c r="VAH425" s="15"/>
      <c r="VAI425" s="15"/>
      <c r="VAJ425" s="15"/>
      <c r="VAK425" s="15"/>
      <c r="VAL425" s="15"/>
      <c r="VAM425" s="15"/>
      <c r="VAN425" s="15"/>
      <c r="VAO425" s="15"/>
      <c r="VAP425" s="15"/>
      <c r="VAQ425" s="15"/>
      <c r="VAR425" s="15"/>
      <c r="VAS425" s="15"/>
      <c r="VAT425" s="15"/>
      <c r="VAU425" s="15"/>
      <c r="VAV425" s="15"/>
      <c r="VAW425" s="15"/>
      <c r="VAX425" s="15"/>
      <c r="VAY425" s="15"/>
      <c r="VAZ425" s="15"/>
      <c r="VBA425" s="15"/>
      <c r="VBB425" s="15"/>
      <c r="VBC425" s="15"/>
      <c r="VBD425" s="15"/>
      <c r="VBE425" s="15"/>
      <c r="VBF425" s="15"/>
      <c r="VBG425" s="15"/>
      <c r="VBH425" s="15"/>
      <c r="VBI425" s="15"/>
      <c r="VBJ425" s="15"/>
      <c r="VBK425" s="15"/>
      <c r="VBL425" s="15"/>
      <c r="VBM425" s="15"/>
      <c r="VBN425" s="15"/>
      <c r="VBO425" s="15"/>
      <c r="VBP425" s="15"/>
      <c r="VBQ425" s="15"/>
      <c r="VBR425" s="15"/>
      <c r="VBS425" s="15"/>
      <c r="VBT425" s="15"/>
      <c r="VBU425" s="15"/>
      <c r="VBV425" s="15"/>
      <c r="VBW425" s="15"/>
      <c r="VBX425" s="15"/>
      <c r="VBY425" s="15"/>
      <c r="VBZ425" s="15"/>
      <c r="VCA425" s="15"/>
      <c r="VCB425" s="15"/>
      <c r="VCC425" s="15"/>
      <c r="VCD425" s="15"/>
      <c r="VCE425" s="15"/>
      <c r="VCF425" s="15"/>
      <c r="VCG425" s="15"/>
      <c r="VCH425" s="15"/>
      <c r="VCI425" s="15"/>
      <c r="VCJ425" s="15"/>
      <c r="VCK425" s="15"/>
      <c r="VCL425" s="15"/>
      <c r="VCM425" s="15"/>
      <c r="VCN425" s="15"/>
      <c r="VCO425" s="15"/>
      <c r="VCP425" s="15"/>
      <c r="VCQ425" s="15"/>
      <c r="VCR425" s="15"/>
      <c r="VCS425" s="15"/>
      <c r="VCT425" s="15"/>
      <c r="VCU425" s="15"/>
      <c r="VCV425" s="15"/>
      <c r="VCW425" s="15"/>
      <c r="VCX425" s="15"/>
      <c r="VCY425" s="15"/>
      <c r="VCZ425" s="15"/>
      <c r="VDA425" s="15"/>
      <c r="VDB425" s="15"/>
      <c r="VDC425" s="15"/>
      <c r="VDD425" s="15"/>
      <c r="VDE425" s="15"/>
      <c r="VDF425" s="15"/>
      <c r="VDG425" s="15"/>
      <c r="VDH425" s="15"/>
      <c r="VDI425" s="15"/>
      <c r="VDJ425" s="15"/>
      <c r="VDK425" s="15"/>
      <c r="VDL425" s="15"/>
      <c r="VDM425" s="15"/>
      <c r="VDN425" s="15"/>
      <c r="VDO425" s="15"/>
      <c r="VDP425" s="15"/>
      <c r="VDQ425" s="15"/>
      <c r="VDR425" s="15"/>
      <c r="VDS425" s="15"/>
      <c r="VDT425" s="15"/>
      <c r="VDU425" s="15"/>
      <c r="VDV425" s="15"/>
      <c r="VDW425" s="15"/>
      <c r="VDX425" s="15"/>
      <c r="VDY425" s="15"/>
      <c r="VDZ425" s="15"/>
      <c r="VEA425" s="15"/>
      <c r="VEB425" s="15"/>
      <c r="VEC425" s="15"/>
      <c r="VED425" s="15"/>
      <c r="VEE425" s="15"/>
      <c r="VEF425" s="15"/>
      <c r="VEG425" s="15"/>
      <c r="VEH425" s="15"/>
      <c r="VEI425" s="15"/>
      <c r="VEJ425" s="15"/>
      <c r="VEK425" s="15"/>
      <c r="VEL425" s="15"/>
      <c r="VEM425" s="15"/>
      <c r="VEN425" s="15"/>
      <c r="VEO425" s="15"/>
      <c r="VEP425" s="15"/>
      <c r="VEQ425" s="15"/>
      <c r="VER425" s="15"/>
      <c r="VES425" s="15"/>
      <c r="VET425" s="15"/>
      <c r="VEU425" s="15"/>
      <c r="VEV425" s="15"/>
      <c r="VEW425" s="15"/>
      <c r="VEX425" s="15"/>
      <c r="VEY425" s="15"/>
      <c r="VEZ425" s="15"/>
      <c r="VFA425" s="15"/>
      <c r="VFB425" s="15"/>
      <c r="VFC425" s="15"/>
      <c r="VFD425" s="15"/>
      <c r="VFE425" s="15"/>
      <c r="VFF425" s="15"/>
      <c r="VFG425" s="15"/>
      <c r="VFH425" s="15"/>
      <c r="VFI425" s="15"/>
      <c r="VFJ425" s="15"/>
      <c r="VFK425" s="15"/>
      <c r="VFL425" s="15"/>
      <c r="VFM425" s="15"/>
      <c r="VFN425" s="15"/>
      <c r="VFO425" s="15"/>
      <c r="VFP425" s="15"/>
      <c r="VFQ425" s="15"/>
      <c r="VFR425" s="15"/>
      <c r="VFS425" s="15"/>
      <c r="VFT425" s="15"/>
      <c r="VFU425" s="15"/>
      <c r="VFV425" s="15"/>
      <c r="VFW425" s="15"/>
      <c r="VFX425" s="15"/>
      <c r="VFY425" s="15"/>
      <c r="VFZ425" s="15"/>
      <c r="VGA425" s="15"/>
      <c r="VGB425" s="15"/>
      <c r="VGC425" s="15"/>
      <c r="VGD425" s="15"/>
      <c r="VGE425" s="15"/>
      <c r="VGF425" s="15"/>
      <c r="VGG425" s="15"/>
      <c r="VGH425" s="15"/>
      <c r="VGI425" s="15"/>
      <c r="VGJ425" s="15"/>
      <c r="VGK425" s="15"/>
      <c r="VGL425" s="15"/>
      <c r="VGM425" s="15"/>
      <c r="VGN425" s="15"/>
      <c r="VGO425" s="15"/>
      <c r="VGP425" s="15"/>
      <c r="VGQ425" s="15"/>
      <c r="VGR425" s="15"/>
      <c r="VGS425" s="15"/>
      <c r="VGT425" s="15"/>
      <c r="VGU425" s="15"/>
      <c r="VGV425" s="15"/>
      <c r="VGW425" s="15"/>
      <c r="VGX425" s="15"/>
      <c r="VGY425" s="15"/>
      <c r="VGZ425" s="15"/>
      <c r="VHA425" s="15"/>
      <c r="VHB425" s="15"/>
      <c r="VHC425" s="15"/>
      <c r="VHD425" s="15"/>
      <c r="VHE425" s="15"/>
      <c r="VHF425" s="15"/>
      <c r="VHG425" s="15"/>
      <c r="VHH425" s="15"/>
      <c r="VHI425" s="15"/>
      <c r="VHJ425" s="15"/>
      <c r="VHK425" s="15"/>
      <c r="VHL425" s="15"/>
      <c r="VHM425" s="15"/>
      <c r="VHN425" s="15"/>
      <c r="VHO425" s="15"/>
      <c r="VHP425" s="15"/>
      <c r="VHQ425" s="15"/>
      <c r="VHR425" s="15"/>
      <c r="VHS425" s="15"/>
      <c r="VHT425" s="15"/>
      <c r="VHU425" s="15"/>
      <c r="VHV425" s="15"/>
      <c r="VHW425" s="15"/>
      <c r="VHX425" s="15"/>
      <c r="VHY425" s="15"/>
      <c r="VHZ425" s="15"/>
      <c r="VIA425" s="15"/>
      <c r="VIB425" s="15"/>
      <c r="VIC425" s="15"/>
      <c r="VID425" s="15"/>
      <c r="VIE425" s="15"/>
      <c r="VIF425" s="15"/>
      <c r="VIG425" s="15"/>
      <c r="VIH425" s="15"/>
      <c r="VII425" s="15"/>
      <c r="VIJ425" s="15"/>
      <c r="VIK425" s="15"/>
      <c r="VIL425" s="15"/>
      <c r="VIM425" s="15"/>
      <c r="VIN425" s="15"/>
      <c r="VIO425" s="15"/>
      <c r="VIP425" s="15"/>
      <c r="VIQ425" s="15"/>
      <c r="VIR425" s="15"/>
      <c r="VIS425" s="15"/>
      <c r="VIT425" s="15"/>
      <c r="VIU425" s="15"/>
      <c r="VIV425" s="15"/>
      <c r="VIW425" s="15"/>
      <c r="VIX425" s="15"/>
      <c r="VIY425" s="15"/>
      <c r="VIZ425" s="15"/>
      <c r="VJA425" s="15"/>
      <c r="VJB425" s="15"/>
      <c r="VJC425" s="15"/>
      <c r="VJD425" s="15"/>
      <c r="VJE425" s="15"/>
      <c r="VJF425" s="15"/>
      <c r="VJG425" s="15"/>
      <c r="VJH425" s="15"/>
      <c r="VJI425" s="15"/>
      <c r="VJJ425" s="15"/>
      <c r="VJK425" s="15"/>
      <c r="VJL425" s="15"/>
      <c r="VJM425" s="15"/>
      <c r="VJN425" s="15"/>
      <c r="VJO425" s="15"/>
      <c r="VJP425" s="15"/>
      <c r="VJQ425" s="15"/>
      <c r="VJR425" s="15"/>
      <c r="VJS425" s="15"/>
      <c r="VJT425" s="15"/>
      <c r="VJU425" s="15"/>
      <c r="VJV425" s="15"/>
      <c r="VJW425" s="15"/>
      <c r="VJX425" s="15"/>
      <c r="VJY425" s="15"/>
      <c r="VJZ425" s="15"/>
      <c r="VKA425" s="15"/>
      <c r="VKB425" s="15"/>
      <c r="VKC425" s="15"/>
      <c r="VKD425" s="15"/>
      <c r="VKE425" s="15"/>
      <c r="VKF425" s="15"/>
      <c r="VKG425" s="15"/>
      <c r="VKH425" s="15"/>
      <c r="VKI425" s="15"/>
      <c r="VKJ425" s="15"/>
      <c r="VKK425" s="15"/>
      <c r="VKL425" s="15"/>
      <c r="VKM425" s="15"/>
      <c r="VKN425" s="15"/>
      <c r="VKO425" s="15"/>
      <c r="VKP425" s="15"/>
      <c r="VKQ425" s="15"/>
      <c r="VKR425" s="15"/>
      <c r="VKS425" s="15"/>
      <c r="VKT425" s="15"/>
      <c r="VKU425" s="15"/>
      <c r="VKV425" s="15"/>
      <c r="VKW425" s="15"/>
      <c r="VKX425" s="15"/>
      <c r="VKY425" s="15"/>
      <c r="VKZ425" s="15"/>
      <c r="VLA425" s="15"/>
      <c r="VLB425" s="15"/>
      <c r="VLC425" s="15"/>
      <c r="VLD425" s="15"/>
      <c r="VLE425" s="15"/>
      <c r="VLF425" s="15"/>
      <c r="VLG425" s="15"/>
      <c r="VLH425" s="15"/>
      <c r="VLI425" s="15"/>
      <c r="VLJ425" s="15"/>
      <c r="VLK425" s="15"/>
      <c r="VLL425" s="15"/>
      <c r="VLM425" s="15"/>
      <c r="VLN425" s="15"/>
      <c r="VLO425" s="15"/>
      <c r="VLP425" s="15"/>
      <c r="VLQ425" s="15"/>
      <c r="VLR425" s="15"/>
      <c r="VLS425" s="15"/>
      <c r="VLT425" s="15"/>
      <c r="VLU425" s="15"/>
      <c r="VLV425" s="15"/>
      <c r="VLW425" s="15"/>
      <c r="VLX425" s="15"/>
      <c r="VLY425" s="15"/>
      <c r="VLZ425" s="15"/>
      <c r="VMA425" s="15"/>
      <c r="VMB425" s="15"/>
      <c r="VMC425" s="15"/>
      <c r="VMD425" s="15"/>
      <c r="VME425" s="15"/>
      <c r="VMF425" s="15"/>
      <c r="VMG425" s="15"/>
      <c r="VMH425" s="15"/>
      <c r="VMI425" s="15"/>
      <c r="VMJ425" s="15"/>
      <c r="VMK425" s="15"/>
      <c r="VML425" s="15"/>
      <c r="VMM425" s="15"/>
      <c r="VMN425" s="15"/>
      <c r="VMO425" s="15"/>
      <c r="VMP425" s="15"/>
      <c r="VMQ425" s="15"/>
      <c r="VMR425" s="15"/>
      <c r="VMS425" s="15"/>
      <c r="VMT425" s="15"/>
      <c r="VMU425" s="15"/>
      <c r="VMV425" s="15"/>
      <c r="VMW425" s="15"/>
      <c r="VMX425" s="15"/>
      <c r="VMY425" s="15"/>
      <c r="VMZ425" s="15"/>
      <c r="VNA425" s="15"/>
      <c r="VNB425" s="15"/>
      <c r="VNC425" s="15"/>
      <c r="VND425" s="15"/>
      <c r="VNE425" s="15"/>
      <c r="VNF425" s="15"/>
      <c r="VNG425" s="15"/>
      <c r="VNH425" s="15"/>
      <c r="VNI425" s="15"/>
      <c r="VNJ425" s="15"/>
      <c r="VNK425" s="15"/>
      <c r="VNL425" s="15"/>
      <c r="VNM425" s="15"/>
      <c r="VNN425" s="15"/>
      <c r="VNO425" s="15"/>
      <c r="VNP425" s="15"/>
      <c r="VNQ425" s="15"/>
      <c r="VNR425" s="15"/>
      <c r="VNS425" s="15"/>
      <c r="VNT425" s="15"/>
      <c r="VNU425" s="15"/>
      <c r="VNV425" s="15"/>
      <c r="VNW425" s="15"/>
      <c r="VNX425" s="15"/>
      <c r="VNY425" s="15"/>
      <c r="VNZ425" s="15"/>
      <c r="VOA425" s="15"/>
      <c r="VOB425" s="15"/>
      <c r="VOC425" s="15"/>
      <c r="VOD425" s="15"/>
      <c r="VOE425" s="15"/>
      <c r="VOF425" s="15"/>
      <c r="VOG425" s="15"/>
      <c r="VOH425" s="15"/>
      <c r="VOI425" s="15"/>
      <c r="VOJ425" s="15"/>
      <c r="VOK425" s="15"/>
      <c r="VOL425" s="15"/>
      <c r="VOM425" s="15"/>
      <c r="VON425" s="15"/>
      <c r="VOO425" s="15"/>
      <c r="VOP425" s="15"/>
      <c r="VOQ425" s="15"/>
      <c r="VOR425" s="15"/>
      <c r="VOS425" s="15"/>
      <c r="VOT425" s="15"/>
      <c r="VOU425" s="15"/>
      <c r="VOV425" s="15"/>
      <c r="VOW425" s="15"/>
      <c r="VOX425" s="15"/>
      <c r="VOY425" s="15"/>
      <c r="VOZ425" s="15"/>
      <c r="VPA425" s="15"/>
      <c r="VPB425" s="15"/>
      <c r="VPC425" s="15"/>
      <c r="VPD425" s="15"/>
      <c r="VPE425" s="15"/>
      <c r="VPF425" s="15"/>
      <c r="VPG425" s="15"/>
      <c r="VPH425" s="15"/>
      <c r="VPI425" s="15"/>
      <c r="VPJ425" s="15"/>
      <c r="VPK425" s="15"/>
      <c r="VPL425" s="15"/>
      <c r="VPM425" s="15"/>
      <c r="VPN425" s="15"/>
      <c r="VPO425" s="15"/>
      <c r="VPP425" s="15"/>
      <c r="VPQ425" s="15"/>
      <c r="VPR425" s="15"/>
      <c r="VPS425" s="15"/>
      <c r="VPT425" s="15"/>
      <c r="VPU425" s="15"/>
      <c r="VPV425" s="15"/>
      <c r="VPW425" s="15"/>
      <c r="VPX425" s="15"/>
      <c r="VPY425" s="15"/>
      <c r="VPZ425" s="15"/>
      <c r="VQA425" s="15"/>
      <c r="VQB425" s="15"/>
      <c r="VQC425" s="15"/>
      <c r="VQD425" s="15"/>
      <c r="VQE425" s="15"/>
      <c r="VQF425" s="15"/>
      <c r="VQG425" s="15"/>
      <c r="VQH425" s="15"/>
      <c r="VQI425" s="15"/>
      <c r="VQJ425" s="15"/>
      <c r="VQK425" s="15"/>
      <c r="VQL425" s="15"/>
      <c r="VQM425" s="15"/>
      <c r="VQN425" s="15"/>
      <c r="VQO425" s="15"/>
      <c r="VQP425" s="15"/>
      <c r="VQQ425" s="15"/>
      <c r="VQR425" s="15"/>
      <c r="VQS425" s="15"/>
      <c r="VQT425" s="15"/>
      <c r="VQU425" s="15"/>
      <c r="VQV425" s="15"/>
      <c r="VQW425" s="15"/>
      <c r="VQX425" s="15"/>
      <c r="VQY425" s="15"/>
      <c r="VQZ425" s="15"/>
      <c r="VRA425" s="15"/>
      <c r="VRB425" s="15"/>
      <c r="VRC425" s="15"/>
      <c r="VRD425" s="15"/>
      <c r="VRE425" s="15"/>
      <c r="VRF425" s="15"/>
      <c r="VRG425" s="15"/>
      <c r="VRH425" s="15"/>
      <c r="VRI425" s="15"/>
      <c r="VRJ425" s="15"/>
      <c r="VRK425" s="15"/>
      <c r="VRL425" s="15"/>
      <c r="VRM425" s="15"/>
      <c r="VRN425" s="15"/>
      <c r="VRO425" s="15"/>
      <c r="VRP425" s="15"/>
      <c r="VRQ425" s="15"/>
      <c r="VRR425" s="15"/>
      <c r="VRS425" s="15"/>
      <c r="VRT425" s="15"/>
      <c r="VRU425" s="15"/>
      <c r="VRV425" s="15"/>
      <c r="VRW425" s="15"/>
      <c r="VRX425" s="15"/>
      <c r="VRY425" s="15"/>
      <c r="VRZ425" s="15"/>
      <c r="VSA425" s="15"/>
      <c r="VSB425" s="15"/>
      <c r="VSC425" s="15"/>
      <c r="VSD425" s="15"/>
      <c r="VSE425" s="15"/>
      <c r="VSF425" s="15"/>
      <c r="VSG425" s="15"/>
      <c r="VSH425" s="15"/>
      <c r="VSI425" s="15"/>
      <c r="VSJ425" s="15"/>
      <c r="VSK425" s="15"/>
      <c r="VSL425" s="15"/>
      <c r="VSM425" s="15"/>
      <c r="VSN425" s="15"/>
      <c r="VSO425" s="15"/>
      <c r="VSP425" s="15"/>
      <c r="VSQ425" s="15"/>
      <c r="VSR425" s="15"/>
      <c r="VSS425" s="15"/>
      <c r="VST425" s="15"/>
      <c r="VSU425" s="15"/>
      <c r="VSV425" s="15"/>
      <c r="VSW425" s="15"/>
      <c r="VSX425" s="15"/>
      <c r="VSY425" s="15"/>
      <c r="VSZ425" s="15"/>
      <c r="VTA425" s="15"/>
      <c r="VTB425" s="15"/>
      <c r="VTC425" s="15"/>
      <c r="VTD425" s="15"/>
      <c r="VTE425" s="15"/>
      <c r="VTF425" s="15"/>
      <c r="VTG425" s="15"/>
      <c r="VTH425" s="15"/>
      <c r="VTI425" s="15"/>
      <c r="VTJ425" s="15"/>
      <c r="VTK425" s="15"/>
      <c r="VTL425" s="15"/>
      <c r="VTM425" s="15"/>
      <c r="VTN425" s="15"/>
      <c r="VTO425" s="15"/>
      <c r="VTP425" s="15"/>
      <c r="VTQ425" s="15"/>
      <c r="VTR425" s="15"/>
      <c r="VTS425" s="15"/>
      <c r="VTT425" s="15"/>
      <c r="VTU425" s="15"/>
      <c r="VTV425" s="15"/>
      <c r="VTW425" s="15"/>
      <c r="VTX425" s="15"/>
      <c r="VTY425" s="15"/>
      <c r="VTZ425" s="15"/>
      <c r="VUA425" s="15"/>
      <c r="VUB425" s="15"/>
      <c r="VUC425" s="15"/>
      <c r="VUD425" s="15"/>
      <c r="VUE425" s="15"/>
      <c r="VUF425" s="15"/>
      <c r="VUG425" s="15"/>
      <c r="VUH425" s="15"/>
      <c r="VUI425" s="15"/>
      <c r="VUJ425" s="15"/>
      <c r="VUK425" s="15"/>
      <c r="VUL425" s="15"/>
      <c r="VUM425" s="15"/>
      <c r="VUN425" s="15"/>
      <c r="VUO425" s="15"/>
      <c r="VUP425" s="15"/>
      <c r="VUQ425" s="15"/>
      <c r="VUR425" s="15"/>
      <c r="VUS425" s="15"/>
      <c r="VUT425" s="15"/>
      <c r="VUU425" s="15"/>
      <c r="VUV425" s="15"/>
      <c r="VUW425" s="15"/>
      <c r="VUX425" s="15"/>
      <c r="VUY425" s="15"/>
      <c r="VUZ425" s="15"/>
      <c r="VVA425" s="15"/>
      <c r="VVB425" s="15"/>
      <c r="VVC425" s="15"/>
      <c r="VVD425" s="15"/>
      <c r="VVE425" s="15"/>
      <c r="VVF425" s="15"/>
      <c r="VVG425" s="15"/>
      <c r="VVH425" s="15"/>
      <c r="VVI425" s="15"/>
      <c r="VVJ425" s="15"/>
      <c r="VVK425" s="15"/>
      <c r="VVL425" s="15"/>
      <c r="VVM425" s="15"/>
      <c r="VVN425" s="15"/>
      <c r="VVO425" s="15"/>
      <c r="VVP425" s="15"/>
      <c r="VVQ425" s="15"/>
      <c r="VVR425" s="15"/>
      <c r="VVS425" s="15"/>
      <c r="VVT425" s="15"/>
      <c r="VVU425" s="15"/>
      <c r="VVV425" s="15"/>
      <c r="VVW425" s="15"/>
      <c r="VVX425" s="15"/>
      <c r="VVY425" s="15"/>
      <c r="VVZ425" s="15"/>
      <c r="VWA425" s="15"/>
      <c r="VWB425" s="15"/>
      <c r="VWC425" s="15"/>
      <c r="VWD425" s="15"/>
      <c r="VWE425" s="15"/>
      <c r="VWF425" s="15"/>
      <c r="VWG425" s="15"/>
      <c r="VWH425" s="15"/>
      <c r="VWI425" s="15"/>
      <c r="VWJ425" s="15"/>
      <c r="VWK425" s="15"/>
      <c r="VWL425" s="15"/>
      <c r="VWM425" s="15"/>
      <c r="VWN425" s="15"/>
      <c r="VWO425" s="15"/>
      <c r="VWP425" s="15"/>
      <c r="VWQ425" s="15"/>
      <c r="VWR425" s="15"/>
      <c r="VWS425" s="15"/>
      <c r="VWT425" s="15"/>
      <c r="VWU425" s="15"/>
      <c r="VWV425" s="15"/>
      <c r="VWW425" s="15"/>
      <c r="VWX425" s="15"/>
      <c r="VWY425" s="15"/>
      <c r="VWZ425" s="15"/>
      <c r="VXA425" s="15"/>
      <c r="VXB425" s="15"/>
      <c r="VXC425" s="15"/>
      <c r="VXD425" s="15"/>
      <c r="VXE425" s="15"/>
      <c r="VXF425" s="15"/>
      <c r="VXG425" s="15"/>
      <c r="VXH425" s="15"/>
      <c r="VXI425" s="15"/>
      <c r="VXJ425" s="15"/>
      <c r="VXK425" s="15"/>
      <c r="VXL425" s="15"/>
      <c r="VXM425" s="15"/>
      <c r="VXN425" s="15"/>
      <c r="VXO425" s="15"/>
      <c r="VXP425" s="15"/>
      <c r="VXQ425" s="15"/>
      <c r="VXR425" s="15"/>
      <c r="VXS425" s="15"/>
      <c r="VXT425" s="15"/>
      <c r="VXU425" s="15"/>
      <c r="VXV425" s="15"/>
      <c r="VXW425" s="15"/>
      <c r="VXX425" s="15"/>
      <c r="VXY425" s="15"/>
      <c r="VXZ425" s="15"/>
      <c r="VYA425" s="15"/>
      <c r="VYB425" s="15"/>
      <c r="VYC425" s="15"/>
      <c r="VYD425" s="15"/>
      <c r="VYE425" s="15"/>
      <c r="VYF425" s="15"/>
      <c r="VYG425" s="15"/>
      <c r="VYH425" s="15"/>
      <c r="VYI425" s="15"/>
      <c r="VYJ425" s="15"/>
      <c r="VYK425" s="15"/>
      <c r="VYL425" s="15"/>
      <c r="VYM425" s="15"/>
      <c r="VYN425" s="15"/>
      <c r="VYO425" s="15"/>
      <c r="VYP425" s="15"/>
      <c r="VYQ425" s="15"/>
      <c r="VYR425" s="15"/>
      <c r="VYS425" s="15"/>
      <c r="VYT425" s="15"/>
      <c r="VYU425" s="15"/>
      <c r="VYV425" s="15"/>
      <c r="VYW425" s="15"/>
      <c r="VYX425" s="15"/>
      <c r="VYY425" s="15"/>
      <c r="VYZ425" s="15"/>
      <c r="VZA425" s="15"/>
      <c r="VZB425" s="15"/>
      <c r="VZC425" s="15"/>
      <c r="VZD425" s="15"/>
      <c r="VZE425" s="15"/>
      <c r="VZF425" s="15"/>
      <c r="VZG425" s="15"/>
      <c r="VZH425" s="15"/>
      <c r="VZI425" s="15"/>
      <c r="VZJ425" s="15"/>
      <c r="VZK425" s="15"/>
      <c r="VZL425" s="15"/>
      <c r="VZM425" s="15"/>
      <c r="VZN425" s="15"/>
      <c r="VZO425" s="15"/>
      <c r="VZP425" s="15"/>
      <c r="VZQ425" s="15"/>
      <c r="VZR425" s="15"/>
      <c r="VZS425" s="15"/>
      <c r="VZT425" s="15"/>
      <c r="VZU425" s="15"/>
      <c r="VZV425" s="15"/>
      <c r="VZW425" s="15"/>
      <c r="VZX425" s="15"/>
      <c r="VZY425" s="15"/>
      <c r="VZZ425" s="15"/>
      <c r="WAA425" s="15"/>
      <c r="WAB425" s="15"/>
      <c r="WAC425" s="15"/>
      <c r="WAD425" s="15"/>
      <c r="WAE425" s="15"/>
      <c r="WAF425" s="15"/>
      <c r="WAG425" s="15"/>
      <c r="WAH425" s="15"/>
      <c r="WAI425" s="15"/>
      <c r="WAJ425" s="15"/>
      <c r="WAK425" s="15"/>
      <c r="WAL425" s="15"/>
      <c r="WAM425" s="15"/>
      <c r="WAN425" s="15"/>
      <c r="WAO425" s="15"/>
      <c r="WAP425" s="15"/>
      <c r="WAQ425" s="15"/>
      <c r="WAR425" s="15"/>
      <c r="WAS425" s="15"/>
      <c r="WAT425" s="15"/>
      <c r="WAU425" s="15"/>
      <c r="WAV425" s="15"/>
      <c r="WAW425" s="15"/>
      <c r="WAX425" s="15"/>
      <c r="WAY425" s="15"/>
      <c r="WAZ425" s="15"/>
      <c r="WBA425" s="15"/>
      <c r="WBB425" s="15"/>
      <c r="WBC425" s="15"/>
      <c r="WBD425" s="15"/>
      <c r="WBE425" s="15"/>
      <c r="WBF425" s="15"/>
      <c r="WBG425" s="15"/>
      <c r="WBH425" s="15"/>
      <c r="WBI425" s="15"/>
      <c r="WBJ425" s="15"/>
      <c r="WBK425" s="15"/>
      <c r="WBL425" s="15"/>
      <c r="WBM425" s="15"/>
      <c r="WBN425" s="15"/>
      <c r="WBO425" s="15"/>
      <c r="WBP425" s="15"/>
      <c r="WBQ425" s="15"/>
      <c r="WBR425" s="15"/>
      <c r="WBS425" s="15"/>
      <c r="WBT425" s="15"/>
      <c r="WBU425" s="15"/>
      <c r="WBV425" s="15"/>
      <c r="WBW425" s="15"/>
      <c r="WBX425" s="15"/>
      <c r="WBY425" s="15"/>
      <c r="WBZ425" s="15"/>
      <c r="WCA425" s="15"/>
      <c r="WCB425" s="15"/>
      <c r="WCC425" s="15"/>
      <c r="WCD425" s="15"/>
      <c r="WCE425" s="15"/>
      <c r="WCF425" s="15"/>
      <c r="WCG425" s="15"/>
      <c r="WCH425" s="15"/>
      <c r="WCI425" s="15"/>
      <c r="WCJ425" s="15"/>
      <c r="WCK425" s="15"/>
      <c r="WCL425" s="15"/>
      <c r="WCM425" s="15"/>
      <c r="WCN425" s="15"/>
      <c r="WCO425" s="15"/>
      <c r="WCP425" s="15"/>
      <c r="WCQ425" s="15"/>
      <c r="WCR425" s="15"/>
      <c r="WCS425" s="15"/>
      <c r="WCT425" s="15"/>
      <c r="WCU425" s="15"/>
      <c r="WCV425" s="15"/>
      <c r="WCW425" s="15"/>
      <c r="WCX425" s="15"/>
      <c r="WCY425" s="15"/>
      <c r="WCZ425" s="15"/>
      <c r="WDA425" s="15"/>
      <c r="WDB425" s="15"/>
      <c r="WDC425" s="15"/>
      <c r="WDD425" s="15"/>
      <c r="WDE425" s="15"/>
      <c r="WDF425" s="15"/>
      <c r="WDG425" s="15"/>
      <c r="WDH425" s="15"/>
      <c r="WDI425" s="15"/>
      <c r="WDJ425" s="15"/>
      <c r="WDK425" s="15"/>
      <c r="WDL425" s="15"/>
      <c r="WDM425" s="15"/>
      <c r="WDN425" s="15"/>
      <c r="WDO425" s="15"/>
      <c r="WDP425" s="15"/>
      <c r="WDQ425" s="15"/>
      <c r="WDR425" s="15"/>
      <c r="WDS425" s="15"/>
      <c r="WDT425" s="15"/>
      <c r="WDU425" s="15"/>
      <c r="WDV425" s="15"/>
      <c r="WDW425" s="15"/>
      <c r="WDX425" s="15"/>
      <c r="WDY425" s="15"/>
      <c r="WDZ425" s="15"/>
      <c r="WEA425" s="15"/>
      <c r="WEB425" s="15"/>
      <c r="WEC425" s="15"/>
      <c r="WED425" s="15"/>
      <c r="WEE425" s="15"/>
      <c r="WEF425" s="15"/>
      <c r="WEG425" s="15"/>
      <c r="WEH425" s="15"/>
      <c r="WEI425" s="15"/>
      <c r="WEJ425" s="15"/>
      <c r="WEK425" s="15"/>
      <c r="WEL425" s="15"/>
      <c r="WEM425" s="15"/>
      <c r="WEN425" s="15"/>
      <c r="WEO425" s="15"/>
      <c r="WEP425" s="15"/>
      <c r="WEQ425" s="15"/>
      <c r="WER425" s="15"/>
      <c r="WES425" s="15"/>
      <c r="WET425" s="15"/>
      <c r="WEU425" s="15"/>
      <c r="WEV425" s="15"/>
      <c r="WEW425" s="15"/>
      <c r="WEX425" s="15"/>
      <c r="WEY425" s="15"/>
      <c r="WEZ425" s="15"/>
      <c r="WFA425" s="15"/>
      <c r="WFB425" s="15"/>
      <c r="WFC425" s="15"/>
      <c r="WFD425" s="15"/>
      <c r="WFE425" s="15"/>
      <c r="WFF425" s="15"/>
      <c r="WFG425" s="15"/>
      <c r="WFH425" s="15"/>
      <c r="WFI425" s="15"/>
      <c r="WFJ425" s="15"/>
      <c r="WFK425" s="15"/>
      <c r="WFL425" s="15"/>
      <c r="WFM425" s="15"/>
      <c r="WFN425" s="15"/>
      <c r="WFO425" s="15"/>
      <c r="WFP425" s="15"/>
      <c r="WFQ425" s="15"/>
      <c r="WFR425" s="15"/>
      <c r="WFS425" s="15"/>
      <c r="WFT425" s="15"/>
      <c r="WFU425" s="15"/>
      <c r="WFV425" s="15"/>
      <c r="WFW425" s="15"/>
      <c r="WFX425" s="15"/>
      <c r="WFY425" s="15"/>
      <c r="WFZ425" s="15"/>
      <c r="WGA425" s="15"/>
      <c r="WGB425" s="15"/>
      <c r="WGC425" s="15"/>
      <c r="WGD425" s="15"/>
      <c r="WGE425" s="15"/>
      <c r="WGF425" s="15"/>
      <c r="WGG425" s="15"/>
      <c r="WGH425" s="15"/>
      <c r="WGI425" s="15"/>
      <c r="WGJ425" s="15"/>
      <c r="WGK425" s="15"/>
      <c r="WGL425" s="15"/>
      <c r="WGM425" s="15"/>
      <c r="WGN425" s="15"/>
      <c r="WGO425" s="15"/>
      <c r="WGP425" s="15"/>
      <c r="WGQ425" s="15"/>
      <c r="WGR425" s="15"/>
      <c r="WGS425" s="15"/>
      <c r="WGT425" s="15"/>
      <c r="WGU425" s="15"/>
      <c r="WGV425" s="15"/>
      <c r="WGW425" s="15"/>
      <c r="WGX425" s="15"/>
      <c r="WGY425" s="15"/>
      <c r="WGZ425" s="15"/>
      <c r="WHA425" s="15"/>
      <c r="WHB425" s="15"/>
      <c r="WHC425" s="15"/>
      <c r="WHD425" s="15"/>
      <c r="WHE425" s="15"/>
      <c r="WHF425" s="15"/>
      <c r="WHG425" s="15"/>
      <c r="WHH425" s="15"/>
      <c r="WHI425" s="15"/>
      <c r="WHJ425" s="15"/>
      <c r="WHK425" s="15"/>
      <c r="WHL425" s="15"/>
      <c r="WHM425" s="15"/>
      <c r="WHN425" s="15"/>
      <c r="WHO425" s="15"/>
      <c r="WHP425" s="15"/>
      <c r="WHQ425" s="15"/>
      <c r="WHR425" s="15"/>
      <c r="WHS425" s="15"/>
      <c r="WHT425" s="15"/>
      <c r="WHU425" s="15"/>
      <c r="WHV425" s="15"/>
      <c r="WHW425" s="15"/>
      <c r="WHX425" s="15"/>
      <c r="WHY425" s="15"/>
      <c r="WHZ425" s="15"/>
      <c r="WIA425" s="15"/>
      <c r="WIB425" s="15"/>
      <c r="WIC425" s="15"/>
      <c r="WID425" s="15"/>
      <c r="WIE425" s="15"/>
      <c r="WIF425" s="15"/>
      <c r="WIG425" s="15"/>
      <c r="WIH425" s="15"/>
      <c r="WII425" s="15"/>
      <c r="WIJ425" s="15"/>
      <c r="WIK425" s="15"/>
      <c r="WIL425" s="15"/>
      <c r="WIM425" s="15"/>
      <c r="WIN425" s="15"/>
      <c r="WIO425" s="15"/>
      <c r="WIP425" s="15"/>
      <c r="WIQ425" s="15"/>
      <c r="WIR425" s="15"/>
      <c r="WIS425" s="15"/>
      <c r="WIT425" s="15"/>
      <c r="WIU425" s="15"/>
      <c r="WIV425" s="15"/>
      <c r="WIW425" s="15"/>
      <c r="WIX425" s="15"/>
      <c r="WIY425" s="15"/>
      <c r="WIZ425" s="15"/>
      <c r="WJA425" s="15"/>
      <c r="WJB425" s="15"/>
      <c r="WJC425" s="15"/>
      <c r="WJD425" s="15"/>
      <c r="WJE425" s="15"/>
      <c r="WJF425" s="15"/>
      <c r="WJG425" s="15"/>
      <c r="WJH425" s="15"/>
      <c r="WJI425" s="15"/>
      <c r="WJJ425" s="15"/>
      <c r="WJK425" s="15"/>
      <c r="WJL425" s="15"/>
      <c r="WJM425" s="15"/>
      <c r="WJN425" s="15"/>
      <c r="WJO425" s="15"/>
      <c r="WJP425" s="15"/>
      <c r="WJQ425" s="15"/>
      <c r="WJR425" s="15"/>
      <c r="WJS425" s="15"/>
      <c r="WJT425" s="15"/>
      <c r="WJU425" s="15"/>
      <c r="WJV425" s="15"/>
      <c r="WJW425" s="15"/>
      <c r="WJX425" s="15"/>
      <c r="WJY425" s="15"/>
      <c r="WJZ425" s="15"/>
      <c r="WKA425" s="15"/>
      <c r="WKB425" s="15"/>
      <c r="WKC425" s="15"/>
      <c r="WKD425" s="15"/>
      <c r="WKE425" s="15"/>
      <c r="WKF425" s="15"/>
      <c r="WKG425" s="15"/>
      <c r="WKH425" s="15"/>
      <c r="WKI425" s="15"/>
      <c r="WKJ425" s="15"/>
      <c r="WKK425" s="15"/>
      <c r="WKL425" s="15"/>
      <c r="WKM425" s="15"/>
      <c r="WKN425" s="15"/>
      <c r="WKO425" s="15"/>
      <c r="WKP425" s="15"/>
      <c r="WKQ425" s="15"/>
      <c r="WKR425" s="15"/>
      <c r="WKS425" s="15"/>
      <c r="WKT425" s="15"/>
      <c r="WKU425" s="15"/>
      <c r="WKV425" s="15"/>
      <c r="WKW425" s="15"/>
      <c r="WKX425" s="15"/>
      <c r="WKY425" s="15"/>
      <c r="WKZ425" s="15"/>
      <c r="WLA425" s="15"/>
      <c r="WLB425" s="15"/>
      <c r="WLC425" s="15"/>
      <c r="WLD425" s="15"/>
      <c r="WLE425" s="15"/>
      <c r="WLF425" s="15"/>
      <c r="WLG425" s="15"/>
      <c r="WLH425" s="15"/>
      <c r="WLI425" s="15"/>
      <c r="WLJ425" s="15"/>
      <c r="WLK425" s="15"/>
      <c r="WLL425" s="15"/>
      <c r="WLM425" s="15"/>
      <c r="WLN425" s="15"/>
      <c r="WLO425" s="15"/>
      <c r="WLP425" s="15"/>
      <c r="WLQ425" s="15"/>
      <c r="WLR425" s="15"/>
      <c r="WLS425" s="15"/>
      <c r="WLT425" s="15"/>
      <c r="WLU425" s="15"/>
      <c r="WLV425" s="15"/>
      <c r="WLW425" s="15"/>
      <c r="WLX425" s="15"/>
      <c r="WLY425" s="15"/>
      <c r="WLZ425" s="15"/>
      <c r="WMA425" s="15"/>
      <c r="WMB425" s="15"/>
      <c r="WMC425" s="15"/>
      <c r="WMD425" s="15"/>
      <c r="WME425" s="15"/>
      <c r="WMF425" s="15"/>
      <c r="WMG425" s="15"/>
      <c r="WMH425" s="15"/>
      <c r="WMI425" s="15"/>
      <c r="WMJ425" s="15"/>
      <c r="WMK425" s="15"/>
      <c r="WML425" s="15"/>
      <c r="WMM425" s="15"/>
      <c r="WMN425" s="15"/>
      <c r="WMO425" s="15"/>
      <c r="WMP425" s="15"/>
      <c r="WMQ425" s="15"/>
      <c r="WMR425" s="15"/>
      <c r="WMS425" s="15"/>
      <c r="WMT425" s="15"/>
      <c r="WMU425" s="15"/>
      <c r="WMV425" s="15"/>
      <c r="WMW425" s="15"/>
      <c r="WMX425" s="15"/>
      <c r="WMY425" s="15"/>
      <c r="WMZ425" s="15"/>
      <c r="WNA425" s="15"/>
      <c r="WNB425" s="15"/>
      <c r="WNC425" s="15"/>
      <c r="WND425" s="15"/>
      <c r="WNE425" s="15"/>
      <c r="WNF425" s="15"/>
      <c r="WNG425" s="15"/>
      <c r="WNH425" s="15"/>
      <c r="WNI425" s="15"/>
      <c r="WNJ425" s="15"/>
      <c r="WNK425" s="15"/>
      <c r="WNL425" s="15"/>
      <c r="WNM425" s="15"/>
      <c r="WNN425" s="15"/>
      <c r="WNO425" s="15"/>
      <c r="WNP425" s="15"/>
      <c r="WNQ425" s="15"/>
      <c r="WNR425" s="15"/>
      <c r="WNS425" s="15"/>
      <c r="WNT425" s="15"/>
      <c r="WNU425" s="15"/>
      <c r="WNV425" s="15"/>
      <c r="WNW425" s="15"/>
      <c r="WNX425" s="15"/>
      <c r="WNY425" s="15"/>
      <c r="WNZ425" s="15"/>
      <c r="WOA425" s="15"/>
      <c r="WOB425" s="15"/>
      <c r="WOC425" s="15"/>
      <c r="WOD425" s="15"/>
      <c r="WOE425" s="15"/>
      <c r="WOF425" s="15"/>
      <c r="WOG425" s="15"/>
      <c r="WOH425" s="15"/>
      <c r="WOI425" s="15"/>
      <c r="WOJ425" s="15"/>
      <c r="WOK425" s="15"/>
      <c r="WOL425" s="15"/>
      <c r="WOM425" s="15"/>
      <c r="WON425" s="15"/>
      <c r="WOO425" s="15"/>
      <c r="WOP425" s="15"/>
      <c r="WOQ425" s="15"/>
      <c r="WOR425" s="15"/>
      <c r="WOS425" s="15"/>
      <c r="WOT425" s="15"/>
      <c r="WOU425" s="15"/>
      <c r="WOV425" s="15"/>
      <c r="WOW425" s="15"/>
      <c r="WOX425" s="15"/>
      <c r="WOY425" s="15"/>
      <c r="WOZ425" s="15"/>
      <c r="WPA425" s="15"/>
      <c r="WPB425" s="15"/>
      <c r="WPC425" s="15"/>
      <c r="WPD425" s="15"/>
      <c r="WPE425" s="15"/>
      <c r="WPF425" s="15"/>
      <c r="WPG425" s="15"/>
      <c r="WPH425" s="15"/>
      <c r="WPI425" s="15"/>
      <c r="WPJ425" s="15"/>
      <c r="WPK425" s="15"/>
      <c r="WPL425" s="15"/>
      <c r="WPM425" s="15"/>
      <c r="WPN425" s="15"/>
      <c r="WPO425" s="15"/>
      <c r="WPP425" s="15"/>
      <c r="WPQ425" s="15"/>
      <c r="WPR425" s="15"/>
      <c r="WPS425" s="15"/>
      <c r="WPT425" s="15"/>
      <c r="WPU425" s="15"/>
      <c r="WPV425" s="15"/>
      <c r="WPW425" s="15"/>
      <c r="WPX425" s="15"/>
      <c r="WPY425" s="15"/>
      <c r="WPZ425" s="15"/>
      <c r="WQA425" s="15"/>
      <c r="WQB425" s="15"/>
      <c r="WQC425" s="15"/>
      <c r="WQD425" s="15"/>
      <c r="WQE425" s="15"/>
      <c r="WQF425" s="15"/>
      <c r="WQG425" s="15"/>
      <c r="WQH425" s="15"/>
      <c r="WQI425" s="15"/>
      <c r="WQJ425" s="15"/>
      <c r="WQK425" s="15"/>
      <c r="WQL425" s="15"/>
      <c r="WQM425" s="15"/>
      <c r="WQN425" s="15"/>
      <c r="WQO425" s="15"/>
      <c r="WQP425" s="15"/>
      <c r="WQQ425" s="15"/>
      <c r="WQR425" s="15"/>
      <c r="WQS425" s="15"/>
      <c r="WQT425" s="15"/>
      <c r="WQU425" s="15"/>
      <c r="WQV425" s="15"/>
      <c r="WQW425" s="15"/>
      <c r="WQX425" s="15"/>
      <c r="WQY425" s="15"/>
      <c r="WQZ425" s="15"/>
      <c r="WRA425" s="15"/>
      <c r="WRB425" s="15"/>
      <c r="WRC425" s="15"/>
      <c r="WRD425" s="15"/>
      <c r="WRE425" s="15"/>
      <c r="WRF425" s="15"/>
      <c r="WRG425" s="15"/>
      <c r="WRH425" s="15"/>
      <c r="WRI425" s="15"/>
      <c r="WRJ425" s="15"/>
      <c r="WRK425" s="15"/>
      <c r="WRL425" s="15"/>
      <c r="WRM425" s="15"/>
      <c r="WRN425" s="15"/>
      <c r="WRO425" s="15"/>
      <c r="WRP425" s="15"/>
      <c r="WRQ425" s="15"/>
      <c r="WRR425" s="15"/>
      <c r="WRS425" s="15"/>
      <c r="WRT425" s="15"/>
      <c r="WRU425" s="15"/>
      <c r="WRV425" s="15"/>
      <c r="WRW425" s="15"/>
      <c r="WRX425" s="15"/>
      <c r="WRY425" s="15"/>
      <c r="WRZ425" s="15"/>
      <c r="WSA425" s="15"/>
      <c r="WSB425" s="15"/>
      <c r="WSC425" s="15"/>
      <c r="WSD425" s="15"/>
      <c r="WSE425" s="15"/>
      <c r="WSF425" s="15"/>
      <c r="WSG425" s="15"/>
      <c r="WSH425" s="15"/>
      <c r="WSI425" s="15"/>
      <c r="WSJ425" s="15"/>
      <c r="WSK425" s="15"/>
      <c r="WSL425" s="15"/>
      <c r="WSM425" s="15"/>
      <c r="WSN425" s="15"/>
      <c r="WSO425" s="15"/>
      <c r="WSP425" s="15"/>
      <c r="WSQ425" s="15"/>
      <c r="WSR425" s="15"/>
      <c r="WSS425" s="15"/>
      <c r="WST425" s="15"/>
      <c r="WSU425" s="15"/>
      <c r="WSV425" s="15"/>
      <c r="WSW425" s="15"/>
      <c r="WSX425" s="15"/>
      <c r="WSY425" s="15"/>
      <c r="WSZ425" s="15"/>
      <c r="WTA425" s="15"/>
      <c r="WTB425" s="15"/>
      <c r="WTC425" s="15"/>
      <c r="WTD425" s="15"/>
      <c r="WTE425" s="15"/>
      <c r="WTF425" s="15"/>
      <c r="WTG425" s="15"/>
      <c r="WTH425" s="15"/>
      <c r="WTI425" s="15"/>
      <c r="WTJ425" s="15"/>
      <c r="WTK425" s="15"/>
      <c r="WTL425" s="15"/>
      <c r="WTM425" s="15"/>
      <c r="WTN425" s="15"/>
      <c r="WTO425" s="15"/>
      <c r="WTP425" s="15"/>
      <c r="WTQ425" s="15"/>
      <c r="WTR425" s="15"/>
      <c r="WTS425" s="15"/>
      <c r="WTT425" s="15"/>
      <c r="WTU425" s="15"/>
      <c r="WTV425" s="15"/>
      <c r="WTW425" s="15"/>
      <c r="WTX425" s="15"/>
      <c r="WTY425" s="15"/>
      <c r="WTZ425" s="15"/>
      <c r="WUA425" s="15"/>
      <c r="WUB425" s="15"/>
      <c r="WUC425" s="15"/>
      <c r="WUD425" s="15"/>
      <c r="WUE425" s="15"/>
      <c r="WUF425" s="15"/>
      <c r="WUG425" s="15"/>
      <c r="WUH425" s="15"/>
      <c r="WUI425" s="15"/>
      <c r="WUJ425" s="15"/>
      <c r="WUK425" s="15"/>
      <c r="WUL425" s="15"/>
      <c r="WUM425" s="15"/>
      <c r="WUN425" s="15"/>
      <c r="WUO425" s="15"/>
      <c r="WUP425" s="15"/>
      <c r="WUQ425" s="15"/>
      <c r="WUR425" s="15"/>
      <c r="WUS425" s="15"/>
      <c r="WUT425" s="15"/>
      <c r="WUU425" s="15"/>
      <c r="WUV425" s="15"/>
      <c r="WUW425" s="15"/>
      <c r="WUX425" s="15"/>
      <c r="WUY425" s="15"/>
      <c r="WUZ425" s="15"/>
      <c r="WVA425" s="15"/>
      <c r="WVB425" s="15"/>
      <c r="WVC425" s="15"/>
      <c r="WVD425" s="15"/>
      <c r="WVE425" s="15"/>
      <c r="WVF425" s="15"/>
      <c r="WVG425" s="15"/>
      <c r="WVH425" s="15"/>
      <c r="WVI425" s="15"/>
      <c r="WVJ425" s="15"/>
      <c r="WVK425" s="15"/>
      <c r="WVL425" s="15"/>
      <c r="WVM425" s="15"/>
      <c r="WVN425" s="15"/>
      <c r="WVO425" s="15"/>
      <c r="WVP425" s="15"/>
      <c r="WVQ425" s="15"/>
      <c r="WVR425" s="15"/>
      <c r="WVS425" s="15"/>
      <c r="WVT425" s="15"/>
      <c r="WVU425" s="15"/>
      <c r="WVV425" s="15"/>
      <c r="WVW425" s="15"/>
      <c r="WVX425" s="15"/>
      <c r="WVY425" s="15"/>
      <c r="WVZ425" s="15"/>
      <c r="WWA425" s="15"/>
      <c r="WWB425" s="15"/>
      <c r="WWC425" s="15"/>
      <c r="WWD425" s="15"/>
      <c r="WWE425" s="15"/>
      <c r="WWF425" s="15"/>
      <c r="WWG425" s="15"/>
      <c r="WWH425" s="15"/>
      <c r="WWI425" s="15"/>
      <c r="WWJ425" s="15"/>
      <c r="WWK425" s="15"/>
      <c r="WWL425" s="15"/>
      <c r="WWM425" s="15"/>
      <c r="WWN425" s="15"/>
      <c r="WWO425" s="15"/>
      <c r="WWP425" s="15"/>
      <c r="WWQ425" s="15"/>
      <c r="WWR425" s="15"/>
      <c r="WWS425" s="15"/>
      <c r="WWT425" s="15"/>
      <c r="WWU425" s="15"/>
      <c r="WWV425" s="15"/>
      <c r="WWW425" s="15"/>
      <c r="WWX425" s="15"/>
      <c r="WWY425" s="15"/>
      <c r="WWZ425" s="15"/>
      <c r="WXA425" s="15"/>
      <c r="WXB425" s="15"/>
      <c r="WXC425" s="15"/>
      <c r="WXD425" s="15"/>
      <c r="WXE425" s="15"/>
      <c r="WXF425" s="15"/>
      <c r="WXG425" s="15"/>
      <c r="WXH425" s="15"/>
      <c r="WXI425" s="15"/>
      <c r="WXJ425" s="15"/>
      <c r="WXK425" s="15"/>
      <c r="WXL425" s="15"/>
      <c r="WXM425" s="15"/>
      <c r="WXN425" s="15"/>
      <c r="WXO425" s="15"/>
      <c r="WXP425" s="15"/>
      <c r="WXQ425" s="15"/>
      <c r="WXR425" s="15"/>
      <c r="WXS425" s="15"/>
      <c r="WXT425" s="15"/>
      <c r="WXU425" s="15"/>
      <c r="WXV425" s="15"/>
      <c r="WXW425" s="15"/>
      <c r="WXX425" s="15"/>
      <c r="WXY425" s="15"/>
      <c r="WXZ425" s="15"/>
      <c r="WYA425" s="15"/>
      <c r="WYB425" s="15"/>
      <c r="WYC425" s="15"/>
      <c r="WYD425" s="15"/>
      <c r="WYE425" s="15"/>
      <c r="WYF425" s="15"/>
      <c r="WYG425" s="15"/>
      <c r="WYH425" s="15"/>
      <c r="WYI425" s="15"/>
      <c r="WYJ425" s="15"/>
      <c r="WYK425" s="15"/>
      <c r="WYL425" s="15"/>
      <c r="WYM425" s="15"/>
      <c r="WYN425" s="15"/>
      <c r="WYO425" s="15"/>
      <c r="WYP425" s="15"/>
      <c r="WYQ425" s="15"/>
      <c r="WYR425" s="15"/>
      <c r="WYS425" s="15"/>
      <c r="WYT425" s="15"/>
      <c r="WYU425" s="15"/>
      <c r="WYV425" s="15"/>
      <c r="WYW425" s="15"/>
      <c r="WYX425" s="15"/>
      <c r="WYY425" s="15"/>
      <c r="WYZ425" s="15"/>
      <c r="WZA425" s="15"/>
      <c r="WZB425" s="15"/>
      <c r="WZC425" s="15"/>
      <c r="WZD425" s="15"/>
      <c r="WZE425" s="15"/>
      <c r="WZF425" s="15"/>
      <c r="WZG425" s="15"/>
      <c r="WZH425" s="15"/>
      <c r="WZI425" s="15"/>
      <c r="WZJ425" s="15"/>
      <c r="WZK425" s="15"/>
      <c r="WZL425" s="15"/>
      <c r="WZM425" s="15"/>
      <c r="WZN425" s="15"/>
      <c r="WZO425" s="15"/>
      <c r="WZP425" s="15"/>
      <c r="WZQ425" s="15"/>
      <c r="WZR425" s="15"/>
      <c r="WZS425" s="15"/>
      <c r="WZT425" s="15"/>
      <c r="WZU425" s="15"/>
      <c r="WZV425" s="15"/>
      <c r="WZW425" s="15"/>
      <c r="WZX425" s="15"/>
      <c r="WZY425" s="15"/>
      <c r="WZZ425" s="15"/>
      <c r="XAA425" s="15"/>
      <c r="XAB425" s="15"/>
      <c r="XAC425" s="15"/>
      <c r="XAD425" s="15"/>
      <c r="XAE425" s="15"/>
      <c r="XAF425" s="15"/>
      <c r="XAG425" s="15"/>
      <c r="XAH425" s="15"/>
      <c r="XAI425" s="15"/>
      <c r="XAJ425" s="15"/>
      <c r="XAK425" s="15"/>
      <c r="XAL425" s="15"/>
      <c r="XAM425" s="15"/>
      <c r="XAN425" s="15"/>
      <c r="XAO425" s="15"/>
      <c r="XAP425" s="15"/>
      <c r="XAQ425" s="15"/>
      <c r="XAR425" s="15"/>
      <c r="XAS425" s="15"/>
      <c r="XAT425" s="15"/>
      <c r="XAU425" s="15"/>
      <c r="XAV425" s="15"/>
      <c r="XAW425" s="15"/>
      <c r="XAX425" s="15"/>
      <c r="XAY425" s="15"/>
      <c r="XAZ425" s="15"/>
      <c r="XBA425" s="15"/>
      <c r="XBB425" s="15"/>
      <c r="XBC425" s="15"/>
      <c r="XBD425" s="15"/>
      <c r="XBE425" s="15"/>
      <c r="XBF425" s="15"/>
      <c r="XBG425" s="15"/>
      <c r="XBH425" s="15"/>
      <c r="XBI425" s="15"/>
      <c r="XBJ425" s="15"/>
      <c r="XBK425" s="15"/>
      <c r="XBL425" s="15"/>
      <c r="XBM425" s="15"/>
      <c r="XBN425" s="15"/>
      <c r="XBO425" s="15"/>
      <c r="XBP425" s="15"/>
      <c r="XBQ425" s="15"/>
      <c r="XBR425" s="15"/>
      <c r="XBS425" s="15"/>
      <c r="XBT425" s="15"/>
      <c r="XBU425" s="15"/>
      <c r="XBV425" s="15"/>
      <c r="XBW425" s="15"/>
      <c r="XBX425" s="15"/>
      <c r="XBY425" s="15"/>
      <c r="XBZ425" s="15"/>
      <c r="XCA425" s="15"/>
      <c r="XCB425" s="15"/>
      <c r="XCC425" s="15"/>
      <c r="XCD425" s="15"/>
      <c r="XCE425" s="15"/>
      <c r="XCF425" s="15"/>
      <c r="XCG425" s="15"/>
      <c r="XCH425" s="15"/>
      <c r="XCI425" s="15"/>
      <c r="XCJ425" s="15"/>
      <c r="XCK425" s="15"/>
      <c r="XCL425" s="15"/>
      <c r="XCM425" s="15"/>
      <c r="XCN425" s="15"/>
      <c r="XCO425" s="15"/>
      <c r="XCP425" s="15"/>
      <c r="XCQ425" s="15"/>
      <c r="XCR425" s="15"/>
      <c r="XCS425" s="15"/>
      <c r="XCT425" s="15"/>
      <c r="XCU425" s="15"/>
      <c r="XCV425" s="15"/>
      <c r="XCW425" s="15"/>
      <c r="XCX425" s="15"/>
      <c r="XCY425" s="15"/>
      <c r="XCZ425" s="15"/>
      <c r="XDA425" s="15"/>
      <c r="XDB425" s="15"/>
      <c r="XDC425" s="15"/>
      <c r="XDD425" s="15"/>
      <c r="XDE425" s="15"/>
      <c r="XDF425" s="15"/>
      <c r="XDG425" s="15"/>
      <c r="XDH425" s="15"/>
      <c r="XDI425" s="15"/>
      <c r="XDJ425" s="15"/>
      <c r="XDK425" s="15"/>
      <c r="XDL425" s="15"/>
      <c r="XDM425" s="15"/>
      <c r="XDN425" s="15"/>
      <c r="XDO425" s="15"/>
      <c r="XDP425" s="15"/>
      <c r="XDQ425" s="15"/>
      <c r="XDR425" s="15"/>
      <c r="XDS425" s="15"/>
      <c r="XDT425" s="15"/>
      <c r="XDU425" s="15"/>
      <c r="XDV425" s="15"/>
      <c r="XDW425" s="15"/>
      <c r="XDX425" s="15"/>
      <c r="XDY425" s="15"/>
      <c r="XDZ425" s="15"/>
      <c r="XEA425" s="15"/>
      <c r="XEB425" s="15"/>
      <c r="XEC425" s="15"/>
      <c r="XED425" s="15"/>
      <c r="XEE425" s="15"/>
      <c r="XEF425" s="15"/>
      <c r="XEG425" s="15"/>
      <c r="XEH425" s="15"/>
      <c r="XEI425" s="15"/>
      <c r="XEJ425" s="15"/>
      <c r="XEK425" s="15"/>
      <c r="XEL425" s="15"/>
      <c r="XEM425" s="15"/>
      <c r="XEN425" s="15"/>
      <c r="XEO425" s="15"/>
      <c r="XEP425" s="15"/>
      <c r="XEQ425" s="15"/>
      <c r="XER425" s="15"/>
      <c r="XES425" s="15"/>
      <c r="XET425" s="15"/>
      <c r="XEU425" s="15"/>
      <c r="XEV425" s="15"/>
      <c r="XEW425" s="15"/>
      <c r="XEX425" s="15"/>
      <c r="XEY425" s="15"/>
      <c r="XEZ425" s="15"/>
      <c r="XFA425" s="15"/>
      <c r="XFB425" s="15"/>
      <c r="XFC425" s="15"/>
      <c r="XFD425" s="15"/>
    </row>
  </sheetData>
  <autoFilter ref="A1:Z425">
    <sortState ref="A1:Z425">
      <sortCondition ref="C1"/>
    </sortState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81"/>
  <sheetViews>
    <sheetView tabSelected="1" workbookViewId="0">
      <pane xSplit="5" ySplit="1" topLeftCell="W203" activePane="bottomRight" state="frozen"/>
      <selection/>
      <selection pane="topRight"/>
      <selection pane="bottomLeft"/>
      <selection pane="bottomRight" activeCell="C217" sqref="C217"/>
    </sheetView>
  </sheetViews>
  <sheetFormatPr defaultColWidth="8.83333333333333" defaultRowHeight="14.25"/>
  <cols>
    <col min="1" max="1" width="9" style="1" customWidth="1"/>
    <col min="3" max="3" width="16" customWidth="1"/>
    <col min="5" max="5" width="9" style="14" customWidth="1"/>
    <col min="12" max="12" width="9" style="17" customWidth="1"/>
    <col min="18" max="18" width="18" customWidth="1"/>
    <col min="19" max="21" width="19" customWidth="1"/>
    <col min="30" max="30" width="18.3333333333333" customWidth="1"/>
  </cols>
  <sheetData>
    <row r="1" spans="1:30">
      <c r="A1" s="1" t="s">
        <v>0</v>
      </c>
      <c r="B1" t="s">
        <v>1</v>
      </c>
      <c r="C1" t="s">
        <v>2</v>
      </c>
      <c r="D1" t="s">
        <v>3</v>
      </c>
      <c r="E1" s="14" t="s">
        <v>1648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4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1649</v>
      </c>
      <c r="S1" t="s">
        <v>1650</v>
      </c>
      <c r="T1" t="s">
        <v>1651</v>
      </c>
      <c r="U1" t="s">
        <v>1652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26</v>
      </c>
      <c r="AB1" t="s">
        <v>27</v>
      </c>
      <c r="AC1" t="s">
        <v>28</v>
      </c>
      <c r="AD1" t="s">
        <v>1653</v>
      </c>
    </row>
    <row r="2" spans="1:26">
      <c r="A2" s="1" t="s">
        <v>1654</v>
      </c>
      <c r="B2" t="s">
        <v>37</v>
      </c>
      <c r="C2" t="s">
        <v>1655</v>
      </c>
      <c r="D2" t="s">
        <v>1656</v>
      </c>
      <c r="E2" s="14">
        <v>100</v>
      </c>
      <c r="F2">
        <v>9999</v>
      </c>
      <c r="G2">
        <v>0</v>
      </c>
      <c r="H2">
        <v>0</v>
      </c>
      <c r="I2">
        <v>180</v>
      </c>
      <c r="J2">
        <v>150</v>
      </c>
      <c r="K2">
        <v>0</v>
      </c>
      <c r="L2" s="14">
        <v>0</v>
      </c>
      <c r="M2" s="14">
        <v>100</v>
      </c>
      <c r="N2" s="14">
        <v>0</v>
      </c>
      <c r="O2" s="14">
        <v>27</v>
      </c>
      <c r="P2">
        <v>3</v>
      </c>
      <c r="Q2">
        <v>0</v>
      </c>
      <c r="R2" t="s">
        <v>1657</v>
      </c>
      <c r="V2">
        <f t="shared" ref="V2:V33" si="0">SUM(W2:Z2)</f>
        <v>0</v>
      </c>
      <c r="W2">
        <v>0</v>
      </c>
      <c r="X2">
        <v>0</v>
      </c>
      <c r="Y2">
        <v>0</v>
      </c>
      <c r="Z2">
        <v>0</v>
      </c>
    </row>
    <row r="3" spans="1:26">
      <c r="A3" s="1" t="s">
        <v>1658</v>
      </c>
      <c r="B3" t="s">
        <v>265</v>
      </c>
      <c r="C3" t="s">
        <v>1659</v>
      </c>
      <c r="D3" t="s">
        <v>1656</v>
      </c>
      <c r="E3" s="14">
        <v>1</v>
      </c>
      <c r="F3">
        <v>20</v>
      </c>
      <c r="G3">
        <v>5</v>
      </c>
      <c r="H3">
        <v>15</v>
      </c>
      <c r="I3">
        <v>5</v>
      </c>
      <c r="J3">
        <v>6</v>
      </c>
      <c r="K3">
        <v>25</v>
      </c>
      <c r="L3" s="14">
        <v>15</v>
      </c>
      <c r="M3">
        <v>14</v>
      </c>
      <c r="N3">
        <v>3</v>
      </c>
      <c r="O3">
        <v>35</v>
      </c>
      <c r="P3">
        <v>1</v>
      </c>
      <c r="Q3">
        <v>1</v>
      </c>
      <c r="R3" t="s">
        <v>1660</v>
      </c>
      <c r="V3">
        <f t="shared" si="0"/>
        <v>0</v>
      </c>
      <c r="W3">
        <v>0</v>
      </c>
      <c r="X3">
        <v>0</v>
      </c>
      <c r="Y3">
        <v>0</v>
      </c>
      <c r="Z3">
        <v>0</v>
      </c>
    </row>
    <row r="4" spans="1:26">
      <c r="A4" s="1" t="s">
        <v>1661</v>
      </c>
      <c r="B4" t="s">
        <v>265</v>
      </c>
      <c r="C4" t="s">
        <v>1662</v>
      </c>
      <c r="D4" t="s">
        <v>1656</v>
      </c>
      <c r="E4" s="14">
        <v>17</v>
      </c>
      <c r="F4">
        <v>30</v>
      </c>
      <c r="G4">
        <v>15</v>
      </c>
      <c r="H4">
        <v>32</v>
      </c>
      <c r="I4">
        <v>12</v>
      </c>
      <c r="J4">
        <v>10</v>
      </c>
      <c r="K4">
        <v>35</v>
      </c>
      <c r="L4" s="14">
        <v>30</v>
      </c>
      <c r="M4">
        <v>30</v>
      </c>
      <c r="N4">
        <v>6</v>
      </c>
      <c r="O4">
        <v>40</v>
      </c>
      <c r="P4">
        <v>1</v>
      </c>
      <c r="Q4">
        <v>10</v>
      </c>
      <c r="R4" t="s">
        <v>1660</v>
      </c>
      <c r="S4" t="s">
        <v>1663</v>
      </c>
      <c r="V4">
        <f t="shared" si="0"/>
        <v>0</v>
      </c>
      <c r="W4">
        <v>0</v>
      </c>
      <c r="X4">
        <v>0</v>
      </c>
      <c r="Y4">
        <v>0</v>
      </c>
      <c r="Z4">
        <v>0</v>
      </c>
    </row>
    <row r="5" spans="1:26">
      <c r="A5" s="1" t="s">
        <v>1664</v>
      </c>
      <c r="B5" t="s">
        <v>265</v>
      </c>
      <c r="C5" t="s">
        <v>1665</v>
      </c>
      <c r="D5" t="s">
        <v>1656</v>
      </c>
      <c r="E5" s="14">
        <v>53</v>
      </c>
      <c r="F5">
        <v>39</v>
      </c>
      <c r="G5">
        <v>32</v>
      </c>
      <c r="H5">
        <v>60</v>
      </c>
      <c r="I5">
        <v>24</v>
      </c>
      <c r="J5">
        <v>14</v>
      </c>
      <c r="K5">
        <v>82</v>
      </c>
      <c r="L5" s="17">
        <v>60</v>
      </c>
      <c r="M5">
        <v>60</v>
      </c>
      <c r="N5">
        <v>10</v>
      </c>
      <c r="O5">
        <v>45</v>
      </c>
      <c r="P5">
        <v>1</v>
      </c>
      <c r="Q5" s="17">
        <v>30</v>
      </c>
      <c r="R5" t="s">
        <v>1666</v>
      </c>
      <c r="S5" t="s">
        <v>1667</v>
      </c>
      <c r="T5" t="s">
        <v>1668</v>
      </c>
      <c r="V5">
        <f t="shared" si="0"/>
        <v>0</v>
      </c>
      <c r="W5">
        <v>0</v>
      </c>
      <c r="X5">
        <v>0</v>
      </c>
      <c r="Y5">
        <v>0</v>
      </c>
      <c r="Z5">
        <v>0</v>
      </c>
    </row>
    <row r="6" spans="1:26">
      <c r="A6" s="1" t="s">
        <v>1669</v>
      </c>
      <c r="B6" t="s">
        <v>265</v>
      </c>
      <c r="C6" t="s">
        <v>1670</v>
      </c>
      <c r="D6" t="s">
        <v>1656</v>
      </c>
      <c r="E6" s="14">
        <v>77</v>
      </c>
      <c r="F6">
        <v>44</v>
      </c>
      <c r="G6">
        <v>38</v>
      </c>
      <c r="H6">
        <v>77</v>
      </c>
      <c r="I6">
        <v>28</v>
      </c>
      <c r="J6">
        <v>18</v>
      </c>
      <c r="K6">
        <v>90</v>
      </c>
      <c r="L6" s="14">
        <v>80</v>
      </c>
      <c r="M6">
        <v>80</v>
      </c>
      <c r="N6">
        <v>12</v>
      </c>
      <c r="O6">
        <v>45</v>
      </c>
      <c r="P6">
        <v>1</v>
      </c>
      <c r="Q6">
        <v>50</v>
      </c>
      <c r="R6" t="s">
        <v>1671</v>
      </c>
      <c r="S6" t="s">
        <v>1672</v>
      </c>
      <c r="T6" t="s">
        <v>1668</v>
      </c>
      <c r="V6">
        <f t="shared" si="0"/>
        <v>0</v>
      </c>
      <c r="W6">
        <v>0</v>
      </c>
      <c r="X6">
        <v>0</v>
      </c>
      <c r="Y6">
        <v>0</v>
      </c>
      <c r="Z6">
        <v>0</v>
      </c>
    </row>
    <row r="7" spans="1:26">
      <c r="A7" s="1" t="s">
        <v>1673</v>
      </c>
      <c r="B7" t="s">
        <v>265</v>
      </c>
      <c r="C7" t="s">
        <v>1674</v>
      </c>
      <c r="D7" t="s">
        <v>1656</v>
      </c>
      <c r="E7" s="14">
        <v>3</v>
      </c>
      <c r="F7">
        <v>28</v>
      </c>
      <c r="G7">
        <v>8</v>
      </c>
      <c r="H7">
        <v>24</v>
      </c>
      <c r="I7">
        <v>9</v>
      </c>
      <c r="J7">
        <v>8</v>
      </c>
      <c r="K7">
        <v>35</v>
      </c>
      <c r="L7" s="14">
        <v>18</v>
      </c>
      <c r="M7">
        <v>18</v>
      </c>
      <c r="N7">
        <v>4</v>
      </c>
      <c r="O7">
        <v>35</v>
      </c>
      <c r="P7">
        <v>1</v>
      </c>
      <c r="Q7">
        <v>5</v>
      </c>
      <c r="R7" t="s">
        <v>1675</v>
      </c>
      <c r="S7" t="s">
        <v>1676</v>
      </c>
      <c r="V7">
        <f t="shared" si="0"/>
        <v>0</v>
      </c>
      <c r="W7">
        <v>0</v>
      </c>
      <c r="X7">
        <v>0</v>
      </c>
      <c r="Y7">
        <v>0</v>
      </c>
      <c r="Z7">
        <v>0</v>
      </c>
    </row>
    <row r="8" spans="1:26">
      <c r="A8" s="1" t="s">
        <v>1677</v>
      </c>
      <c r="B8" t="s">
        <v>265</v>
      </c>
      <c r="C8" t="s">
        <v>1678</v>
      </c>
      <c r="D8" t="s">
        <v>1656</v>
      </c>
      <c r="E8" s="14">
        <v>29</v>
      </c>
      <c r="F8">
        <v>45</v>
      </c>
      <c r="G8">
        <v>20</v>
      </c>
      <c r="H8">
        <v>40</v>
      </c>
      <c r="I8">
        <v>18</v>
      </c>
      <c r="J8">
        <v>12</v>
      </c>
      <c r="K8">
        <v>45</v>
      </c>
      <c r="L8" s="14">
        <v>40</v>
      </c>
      <c r="M8">
        <v>40</v>
      </c>
      <c r="N8">
        <v>7</v>
      </c>
      <c r="O8">
        <v>40</v>
      </c>
      <c r="P8">
        <v>1</v>
      </c>
      <c r="Q8">
        <v>10</v>
      </c>
      <c r="R8" t="s">
        <v>1675</v>
      </c>
      <c r="S8" t="s">
        <v>1679</v>
      </c>
      <c r="V8">
        <f t="shared" si="0"/>
        <v>0</v>
      </c>
      <c r="W8">
        <v>0</v>
      </c>
      <c r="X8">
        <v>0</v>
      </c>
      <c r="Y8">
        <v>0</v>
      </c>
      <c r="Z8">
        <v>0</v>
      </c>
    </row>
    <row r="9" spans="1:26">
      <c r="A9" s="1" t="s">
        <v>1680</v>
      </c>
      <c r="B9" t="s">
        <v>265</v>
      </c>
      <c r="C9" t="s">
        <v>1681</v>
      </c>
      <c r="D9" t="s">
        <v>1656</v>
      </c>
      <c r="E9" s="14">
        <v>59</v>
      </c>
      <c r="F9">
        <v>50</v>
      </c>
      <c r="G9">
        <v>25</v>
      </c>
      <c r="H9">
        <v>60</v>
      </c>
      <c r="I9">
        <v>23</v>
      </c>
      <c r="J9">
        <v>16</v>
      </c>
      <c r="K9">
        <v>68</v>
      </c>
      <c r="L9">
        <v>65</v>
      </c>
      <c r="M9">
        <v>65</v>
      </c>
      <c r="N9">
        <v>10</v>
      </c>
      <c r="O9">
        <v>45</v>
      </c>
      <c r="P9">
        <v>1</v>
      </c>
      <c r="Q9">
        <v>30</v>
      </c>
      <c r="R9" t="s">
        <v>1675</v>
      </c>
      <c r="S9" t="s">
        <v>1675</v>
      </c>
      <c r="T9" t="s">
        <v>1679</v>
      </c>
      <c r="V9">
        <f t="shared" si="0"/>
        <v>0</v>
      </c>
      <c r="W9">
        <v>0</v>
      </c>
      <c r="X9">
        <v>0</v>
      </c>
      <c r="Y9">
        <v>0</v>
      </c>
      <c r="Z9">
        <v>0</v>
      </c>
    </row>
    <row r="10" spans="1:26">
      <c r="A10" s="1" t="s">
        <v>1682</v>
      </c>
      <c r="B10" t="s">
        <v>265</v>
      </c>
      <c r="C10" t="s">
        <v>1683</v>
      </c>
      <c r="D10" t="s">
        <v>1656</v>
      </c>
      <c r="E10" s="14">
        <v>1</v>
      </c>
      <c r="F10">
        <v>24</v>
      </c>
      <c r="G10">
        <v>6</v>
      </c>
      <c r="H10">
        <v>16</v>
      </c>
      <c r="I10">
        <v>7</v>
      </c>
      <c r="J10">
        <v>6</v>
      </c>
      <c r="K10">
        <v>30</v>
      </c>
      <c r="L10" s="14">
        <v>16</v>
      </c>
      <c r="M10">
        <v>16</v>
      </c>
      <c r="N10">
        <v>4</v>
      </c>
      <c r="O10">
        <v>35</v>
      </c>
      <c r="P10">
        <v>1</v>
      </c>
      <c r="Q10">
        <v>1</v>
      </c>
      <c r="R10" t="s">
        <v>1675</v>
      </c>
      <c r="S10" t="s">
        <v>1676</v>
      </c>
      <c r="V10">
        <f t="shared" si="0"/>
        <v>0</v>
      </c>
      <c r="W10">
        <v>0</v>
      </c>
      <c r="X10">
        <v>0</v>
      </c>
      <c r="Y10">
        <v>0</v>
      </c>
      <c r="Z10">
        <v>0</v>
      </c>
    </row>
    <row r="11" spans="1:26">
      <c r="A11" s="1" t="s">
        <v>1684</v>
      </c>
      <c r="B11" t="s">
        <v>265</v>
      </c>
      <c r="C11" t="s">
        <v>1685</v>
      </c>
      <c r="D11" t="s">
        <v>1656</v>
      </c>
      <c r="E11" s="14">
        <v>23</v>
      </c>
      <c r="F11">
        <v>40</v>
      </c>
      <c r="G11">
        <v>15</v>
      </c>
      <c r="H11">
        <v>32</v>
      </c>
      <c r="I11">
        <v>16</v>
      </c>
      <c r="J11">
        <v>10</v>
      </c>
      <c r="K11">
        <v>40</v>
      </c>
      <c r="L11" s="14">
        <v>35</v>
      </c>
      <c r="M11">
        <v>35</v>
      </c>
      <c r="N11">
        <v>7</v>
      </c>
      <c r="O11">
        <v>40</v>
      </c>
      <c r="P11">
        <v>1</v>
      </c>
      <c r="Q11">
        <v>10</v>
      </c>
      <c r="R11" t="s">
        <v>1675</v>
      </c>
      <c r="S11" t="s">
        <v>1679</v>
      </c>
      <c r="V11">
        <f t="shared" si="0"/>
        <v>0</v>
      </c>
      <c r="W11">
        <v>0</v>
      </c>
      <c r="X11">
        <v>0</v>
      </c>
      <c r="Y11">
        <v>0</v>
      </c>
      <c r="Z11">
        <v>0</v>
      </c>
    </row>
    <row r="12" spans="1:26">
      <c r="A12" s="1" t="s">
        <v>1686</v>
      </c>
      <c r="B12" t="s">
        <v>265</v>
      </c>
      <c r="C12" t="s">
        <v>1687</v>
      </c>
      <c r="D12" t="s">
        <v>1656</v>
      </c>
      <c r="E12" s="14">
        <v>46</v>
      </c>
      <c r="F12">
        <v>47</v>
      </c>
      <c r="G12">
        <v>30</v>
      </c>
      <c r="H12">
        <v>60</v>
      </c>
      <c r="I12">
        <v>27</v>
      </c>
      <c r="J12">
        <v>14</v>
      </c>
      <c r="K12">
        <v>60</v>
      </c>
      <c r="L12">
        <v>54</v>
      </c>
      <c r="M12">
        <v>54</v>
      </c>
      <c r="N12">
        <v>12</v>
      </c>
      <c r="O12">
        <v>45</v>
      </c>
      <c r="P12">
        <v>1</v>
      </c>
      <c r="Q12">
        <v>20</v>
      </c>
      <c r="R12" t="s">
        <v>1675</v>
      </c>
      <c r="S12" t="s">
        <v>1679</v>
      </c>
      <c r="T12" t="s">
        <v>1668</v>
      </c>
      <c r="V12">
        <f t="shared" si="0"/>
        <v>0</v>
      </c>
      <c r="W12">
        <v>0</v>
      </c>
      <c r="X12">
        <v>0</v>
      </c>
      <c r="Y12">
        <v>0</v>
      </c>
      <c r="Z12">
        <v>0</v>
      </c>
    </row>
    <row r="13" spans="1:26">
      <c r="A13" s="1" t="s">
        <v>1688</v>
      </c>
      <c r="B13" t="s">
        <v>265</v>
      </c>
      <c r="C13" t="s">
        <v>1689</v>
      </c>
      <c r="D13" t="s">
        <v>1656</v>
      </c>
      <c r="E13" s="14">
        <v>65</v>
      </c>
      <c r="F13">
        <v>53</v>
      </c>
      <c r="G13">
        <v>42</v>
      </c>
      <c r="H13">
        <v>80</v>
      </c>
      <c r="I13">
        <v>33</v>
      </c>
      <c r="J13">
        <v>20</v>
      </c>
      <c r="K13">
        <v>80</v>
      </c>
      <c r="L13" s="17">
        <v>70</v>
      </c>
      <c r="M13">
        <v>70</v>
      </c>
      <c r="N13">
        <v>15</v>
      </c>
      <c r="O13">
        <v>45</v>
      </c>
      <c r="P13">
        <v>1</v>
      </c>
      <c r="Q13" s="17">
        <v>30</v>
      </c>
      <c r="R13" t="s">
        <v>1675</v>
      </c>
      <c r="S13" t="s">
        <v>1679</v>
      </c>
      <c r="T13" t="s">
        <v>1668</v>
      </c>
      <c r="V13">
        <f t="shared" si="0"/>
        <v>0</v>
      </c>
      <c r="W13">
        <v>0</v>
      </c>
      <c r="X13">
        <v>0</v>
      </c>
      <c r="Y13">
        <v>0</v>
      </c>
      <c r="Z13">
        <v>0</v>
      </c>
    </row>
    <row r="14" spans="1:26">
      <c r="A14" s="1" t="s">
        <v>1690</v>
      </c>
      <c r="B14" t="s">
        <v>265</v>
      </c>
      <c r="C14" t="s">
        <v>1691</v>
      </c>
      <c r="D14" t="s">
        <v>1656</v>
      </c>
      <c r="E14" s="14">
        <v>1</v>
      </c>
      <c r="F14">
        <v>22</v>
      </c>
      <c r="G14">
        <v>7</v>
      </c>
      <c r="H14">
        <v>16</v>
      </c>
      <c r="I14">
        <v>6</v>
      </c>
      <c r="J14">
        <v>7</v>
      </c>
      <c r="K14">
        <v>25</v>
      </c>
      <c r="L14" s="14">
        <v>15</v>
      </c>
      <c r="M14">
        <v>15</v>
      </c>
      <c r="N14">
        <v>3</v>
      </c>
      <c r="O14">
        <v>35</v>
      </c>
      <c r="P14">
        <v>1</v>
      </c>
      <c r="Q14">
        <v>1</v>
      </c>
      <c r="R14" t="s">
        <v>1675</v>
      </c>
      <c r="V14">
        <f t="shared" si="0"/>
        <v>0</v>
      </c>
      <c r="W14">
        <v>0</v>
      </c>
      <c r="X14">
        <v>0</v>
      </c>
      <c r="Y14">
        <v>0</v>
      </c>
      <c r="Z14">
        <v>0</v>
      </c>
    </row>
    <row r="15" spans="1:26">
      <c r="A15" s="1" t="s">
        <v>1692</v>
      </c>
      <c r="B15" t="s">
        <v>265</v>
      </c>
      <c r="C15" t="s">
        <v>1693</v>
      </c>
      <c r="D15" t="s">
        <v>1656</v>
      </c>
      <c r="E15" s="14">
        <v>17</v>
      </c>
      <c r="F15">
        <v>35</v>
      </c>
      <c r="G15">
        <v>20</v>
      </c>
      <c r="H15">
        <v>32</v>
      </c>
      <c r="I15">
        <v>14</v>
      </c>
      <c r="J15">
        <v>12</v>
      </c>
      <c r="K15">
        <v>35</v>
      </c>
      <c r="L15">
        <v>30</v>
      </c>
      <c r="M15">
        <v>30</v>
      </c>
      <c r="N15">
        <v>6</v>
      </c>
      <c r="O15">
        <v>40</v>
      </c>
      <c r="P15">
        <v>1</v>
      </c>
      <c r="Q15">
        <v>10</v>
      </c>
      <c r="R15" t="s">
        <v>1675</v>
      </c>
      <c r="S15" t="s">
        <v>1663</v>
      </c>
      <c r="V15">
        <f t="shared" si="0"/>
        <v>0</v>
      </c>
      <c r="W15">
        <v>0</v>
      </c>
      <c r="X15">
        <v>0</v>
      </c>
      <c r="Y15">
        <v>0</v>
      </c>
      <c r="Z15">
        <v>0</v>
      </c>
    </row>
    <row r="16" spans="1:26">
      <c r="A16" s="1" t="s">
        <v>1694</v>
      </c>
      <c r="B16" t="s">
        <v>265</v>
      </c>
      <c r="C16" t="s">
        <v>1695</v>
      </c>
      <c r="D16" t="s">
        <v>1656</v>
      </c>
      <c r="E16" s="14">
        <v>44</v>
      </c>
      <c r="F16">
        <v>43</v>
      </c>
      <c r="G16">
        <v>33</v>
      </c>
      <c r="H16">
        <v>60</v>
      </c>
      <c r="I16">
        <v>24</v>
      </c>
      <c r="J16">
        <v>15</v>
      </c>
      <c r="K16">
        <v>55</v>
      </c>
      <c r="L16" s="14">
        <v>52</v>
      </c>
      <c r="M16">
        <v>52</v>
      </c>
      <c r="N16">
        <v>10</v>
      </c>
      <c r="O16">
        <v>45</v>
      </c>
      <c r="P16">
        <v>1</v>
      </c>
      <c r="Q16">
        <v>20</v>
      </c>
      <c r="R16" t="s">
        <v>1675</v>
      </c>
      <c r="S16" t="s">
        <v>1679</v>
      </c>
      <c r="T16" t="s">
        <v>1668</v>
      </c>
      <c r="V16">
        <f t="shared" si="0"/>
        <v>0</v>
      </c>
      <c r="W16">
        <v>0</v>
      </c>
      <c r="X16">
        <v>0</v>
      </c>
      <c r="Y16">
        <v>0</v>
      </c>
      <c r="Z16">
        <v>0</v>
      </c>
    </row>
    <row r="17" spans="1:26">
      <c r="A17" s="1" t="s">
        <v>1696</v>
      </c>
      <c r="B17" t="s">
        <v>265</v>
      </c>
      <c r="C17" t="s">
        <v>1697</v>
      </c>
      <c r="D17" t="s">
        <v>1656</v>
      </c>
      <c r="E17" s="14">
        <v>67</v>
      </c>
      <c r="F17">
        <v>51</v>
      </c>
      <c r="G17">
        <v>42</v>
      </c>
      <c r="H17">
        <v>80</v>
      </c>
      <c r="I17">
        <v>30</v>
      </c>
      <c r="J17">
        <v>20</v>
      </c>
      <c r="K17">
        <v>78</v>
      </c>
      <c r="L17" s="14">
        <v>72</v>
      </c>
      <c r="M17">
        <v>72</v>
      </c>
      <c r="N17">
        <v>12</v>
      </c>
      <c r="O17">
        <v>45</v>
      </c>
      <c r="P17">
        <v>1</v>
      </c>
      <c r="Q17">
        <v>30</v>
      </c>
      <c r="R17" t="s">
        <v>1675</v>
      </c>
      <c r="S17" t="s">
        <v>1679</v>
      </c>
      <c r="T17" t="s">
        <v>1668</v>
      </c>
      <c r="V17">
        <f t="shared" si="0"/>
        <v>0</v>
      </c>
      <c r="W17">
        <v>0</v>
      </c>
      <c r="X17">
        <v>0</v>
      </c>
      <c r="Y17">
        <v>0</v>
      </c>
      <c r="Z17">
        <v>0</v>
      </c>
    </row>
    <row r="18" spans="1:26">
      <c r="A18" s="1" t="s">
        <v>1698</v>
      </c>
      <c r="B18" t="s">
        <v>29</v>
      </c>
      <c r="C18" t="s">
        <v>1699</v>
      </c>
      <c r="D18" t="s">
        <v>1656</v>
      </c>
      <c r="E18" s="14">
        <v>3</v>
      </c>
      <c r="F18">
        <v>85</v>
      </c>
      <c r="G18">
        <v>10</v>
      </c>
      <c r="H18">
        <v>0</v>
      </c>
      <c r="I18">
        <v>40</v>
      </c>
      <c r="J18">
        <v>30</v>
      </c>
      <c r="K18">
        <v>0</v>
      </c>
      <c r="L18" s="14">
        <v>18</v>
      </c>
      <c r="M18">
        <v>3</v>
      </c>
      <c r="N18">
        <v>40</v>
      </c>
      <c r="O18">
        <v>25</v>
      </c>
      <c r="P18">
        <v>1</v>
      </c>
      <c r="Q18">
        <v>1</v>
      </c>
      <c r="R18" t="s">
        <v>1700</v>
      </c>
      <c r="S18" t="s">
        <v>1701</v>
      </c>
      <c r="T18" t="s">
        <v>1702</v>
      </c>
      <c r="V18">
        <f t="shared" si="0"/>
        <v>81</v>
      </c>
      <c r="W18">
        <v>27</v>
      </c>
      <c r="X18">
        <v>27</v>
      </c>
      <c r="Y18">
        <v>27</v>
      </c>
      <c r="Z18">
        <v>0</v>
      </c>
    </row>
    <row r="19" spans="1:26">
      <c r="A19" s="1" t="s">
        <v>1703</v>
      </c>
      <c r="B19" t="s">
        <v>29</v>
      </c>
      <c r="C19" t="s">
        <v>1704</v>
      </c>
      <c r="D19" t="s">
        <v>1656</v>
      </c>
      <c r="E19" s="14">
        <v>22</v>
      </c>
      <c r="F19">
        <v>88</v>
      </c>
      <c r="G19">
        <v>20</v>
      </c>
      <c r="H19">
        <v>0</v>
      </c>
      <c r="I19">
        <v>55</v>
      </c>
      <c r="J19">
        <v>40</v>
      </c>
      <c r="K19">
        <v>0</v>
      </c>
      <c r="L19" s="14">
        <v>34</v>
      </c>
      <c r="M19">
        <v>12</v>
      </c>
      <c r="N19">
        <v>50</v>
      </c>
      <c r="O19">
        <v>30</v>
      </c>
      <c r="P19">
        <v>1</v>
      </c>
      <c r="Q19">
        <v>10</v>
      </c>
      <c r="R19" t="s">
        <v>1705</v>
      </c>
      <c r="S19" t="s">
        <v>1706</v>
      </c>
      <c r="T19" t="s">
        <v>1707</v>
      </c>
      <c r="V19">
        <f t="shared" si="0"/>
        <v>90</v>
      </c>
      <c r="W19">
        <v>30</v>
      </c>
      <c r="X19">
        <v>30</v>
      </c>
      <c r="Y19">
        <v>30</v>
      </c>
      <c r="Z19">
        <v>0</v>
      </c>
    </row>
    <row r="20" spans="1:26">
      <c r="A20" s="1" t="s">
        <v>1708</v>
      </c>
      <c r="B20" t="s">
        <v>29</v>
      </c>
      <c r="C20" t="s">
        <v>1709</v>
      </c>
      <c r="D20" t="s">
        <v>1656</v>
      </c>
      <c r="E20" s="14">
        <v>47</v>
      </c>
      <c r="F20">
        <v>96</v>
      </c>
      <c r="G20">
        <v>35</v>
      </c>
      <c r="H20">
        <v>0</v>
      </c>
      <c r="I20">
        <v>80</v>
      </c>
      <c r="J20">
        <v>50</v>
      </c>
      <c r="K20">
        <v>0</v>
      </c>
      <c r="L20" s="14">
        <v>55</v>
      </c>
      <c r="M20">
        <v>45</v>
      </c>
      <c r="N20">
        <v>50</v>
      </c>
      <c r="O20">
        <v>35</v>
      </c>
      <c r="P20">
        <v>1</v>
      </c>
      <c r="Q20">
        <v>20</v>
      </c>
      <c r="R20" t="s">
        <v>1705</v>
      </c>
      <c r="S20" t="s">
        <v>1706</v>
      </c>
      <c r="T20" t="s">
        <v>1707</v>
      </c>
      <c r="V20">
        <f t="shared" si="0"/>
        <v>96</v>
      </c>
      <c r="W20">
        <v>32</v>
      </c>
      <c r="X20">
        <v>32</v>
      </c>
      <c r="Y20">
        <v>32</v>
      </c>
      <c r="Z20">
        <v>0</v>
      </c>
    </row>
    <row r="21" spans="1:26">
      <c r="A21" s="1" t="s">
        <v>1710</v>
      </c>
      <c r="B21" t="s">
        <v>29</v>
      </c>
      <c r="C21" t="s">
        <v>1711</v>
      </c>
      <c r="D21" t="s">
        <v>1656</v>
      </c>
      <c r="E21" s="14">
        <v>71</v>
      </c>
      <c r="F21">
        <v>160</v>
      </c>
      <c r="G21">
        <v>50</v>
      </c>
      <c r="H21">
        <v>0</v>
      </c>
      <c r="I21">
        <v>120</v>
      </c>
      <c r="J21">
        <v>70</v>
      </c>
      <c r="K21">
        <v>0</v>
      </c>
      <c r="L21" s="14">
        <v>75</v>
      </c>
      <c r="M21">
        <v>50</v>
      </c>
      <c r="N21">
        <v>60</v>
      </c>
      <c r="O21">
        <v>35</v>
      </c>
      <c r="P21">
        <v>1</v>
      </c>
      <c r="Q21">
        <v>30</v>
      </c>
      <c r="R21" t="s">
        <v>1712</v>
      </c>
      <c r="S21" t="s">
        <v>1707</v>
      </c>
      <c r="T21" t="s">
        <v>1706</v>
      </c>
      <c r="V21">
        <f t="shared" si="0"/>
        <v>144</v>
      </c>
      <c r="W21">
        <v>36</v>
      </c>
      <c r="X21">
        <v>36</v>
      </c>
      <c r="Y21">
        <v>36</v>
      </c>
      <c r="Z21">
        <v>36</v>
      </c>
    </row>
    <row r="22" spans="1:26">
      <c r="A22" s="1" t="s">
        <v>1713</v>
      </c>
      <c r="B22" t="s">
        <v>131</v>
      </c>
      <c r="C22" t="s">
        <v>1714</v>
      </c>
      <c r="D22" t="s">
        <v>1656</v>
      </c>
      <c r="E22" s="14">
        <v>1</v>
      </c>
      <c r="F22">
        <v>39</v>
      </c>
      <c r="G22">
        <v>24</v>
      </c>
      <c r="H22">
        <v>28</v>
      </c>
      <c r="I22">
        <v>20</v>
      </c>
      <c r="J22">
        <v>12</v>
      </c>
      <c r="K22">
        <v>50</v>
      </c>
      <c r="L22" s="14">
        <v>15</v>
      </c>
      <c r="M22">
        <v>15</v>
      </c>
      <c r="N22">
        <v>6</v>
      </c>
      <c r="O22">
        <v>30</v>
      </c>
      <c r="P22">
        <v>2</v>
      </c>
      <c r="Q22">
        <v>5</v>
      </c>
      <c r="R22" t="s">
        <v>1715</v>
      </c>
      <c r="S22" t="s">
        <v>1676</v>
      </c>
      <c r="T22" t="s">
        <v>1716</v>
      </c>
      <c r="V22">
        <f t="shared" si="0"/>
        <v>6</v>
      </c>
      <c r="W22">
        <v>2</v>
      </c>
      <c r="X22">
        <v>2</v>
      </c>
      <c r="Y22">
        <v>2</v>
      </c>
      <c r="Z22">
        <v>0</v>
      </c>
    </row>
    <row r="23" spans="1:26">
      <c r="A23" s="1" t="s">
        <v>1717</v>
      </c>
      <c r="B23" t="s">
        <v>131</v>
      </c>
      <c r="C23" t="s">
        <v>1718</v>
      </c>
      <c r="D23" t="s">
        <v>1656</v>
      </c>
      <c r="E23" s="14">
        <v>21</v>
      </c>
      <c r="F23">
        <v>55</v>
      </c>
      <c r="G23">
        <v>36</v>
      </c>
      <c r="H23">
        <v>48</v>
      </c>
      <c r="I23">
        <v>36</v>
      </c>
      <c r="J23">
        <v>18</v>
      </c>
      <c r="K23">
        <v>50</v>
      </c>
      <c r="L23" s="14">
        <v>33</v>
      </c>
      <c r="M23">
        <v>28</v>
      </c>
      <c r="N23">
        <v>6</v>
      </c>
      <c r="O23">
        <v>33</v>
      </c>
      <c r="P23">
        <v>2</v>
      </c>
      <c r="Q23">
        <v>10</v>
      </c>
      <c r="R23" t="s">
        <v>1715</v>
      </c>
      <c r="S23" t="s">
        <v>1676</v>
      </c>
      <c r="T23" t="s">
        <v>1716</v>
      </c>
      <c r="V23">
        <f t="shared" si="0"/>
        <v>6</v>
      </c>
      <c r="W23">
        <v>2</v>
      </c>
      <c r="X23">
        <v>2</v>
      </c>
      <c r="Y23">
        <v>2</v>
      </c>
      <c r="Z23">
        <v>0</v>
      </c>
    </row>
    <row r="24" spans="1:26">
      <c r="A24" s="1" t="s">
        <v>1719</v>
      </c>
      <c r="B24" t="s">
        <v>131</v>
      </c>
      <c r="C24" t="s">
        <v>1720</v>
      </c>
      <c r="D24" t="s">
        <v>1656</v>
      </c>
      <c r="E24" s="14">
        <v>41</v>
      </c>
      <c r="F24">
        <v>56</v>
      </c>
      <c r="G24">
        <v>42</v>
      </c>
      <c r="H24">
        <v>65</v>
      </c>
      <c r="I24">
        <v>39</v>
      </c>
      <c r="J24">
        <v>24</v>
      </c>
      <c r="K24">
        <v>50</v>
      </c>
      <c r="L24" s="14">
        <v>50</v>
      </c>
      <c r="M24">
        <v>47</v>
      </c>
      <c r="N24">
        <v>6</v>
      </c>
      <c r="O24">
        <v>36</v>
      </c>
      <c r="P24">
        <v>2</v>
      </c>
      <c r="Q24">
        <v>20</v>
      </c>
      <c r="R24" t="s">
        <v>1715</v>
      </c>
      <c r="S24" t="s">
        <v>1676</v>
      </c>
      <c r="T24" t="s">
        <v>1716</v>
      </c>
      <c r="V24">
        <f t="shared" si="0"/>
        <v>6</v>
      </c>
      <c r="W24">
        <v>2</v>
      </c>
      <c r="X24">
        <v>2</v>
      </c>
      <c r="Y24">
        <v>2</v>
      </c>
      <c r="Z24">
        <v>0</v>
      </c>
    </row>
    <row r="25" spans="1:26">
      <c r="A25" s="1" t="s">
        <v>1721</v>
      </c>
      <c r="B25" t="s">
        <v>131</v>
      </c>
      <c r="C25" t="s">
        <v>1722</v>
      </c>
      <c r="D25" t="s">
        <v>1656</v>
      </c>
      <c r="E25" s="14">
        <v>1</v>
      </c>
      <c r="F25">
        <v>36</v>
      </c>
      <c r="G25">
        <v>16</v>
      </c>
      <c r="H25">
        <v>28</v>
      </c>
      <c r="I25">
        <v>18</v>
      </c>
      <c r="J25">
        <v>12</v>
      </c>
      <c r="K25">
        <v>40</v>
      </c>
      <c r="L25" s="14">
        <v>15</v>
      </c>
      <c r="M25">
        <v>15</v>
      </c>
      <c r="N25">
        <v>6</v>
      </c>
      <c r="O25">
        <v>30</v>
      </c>
      <c r="P25">
        <v>2</v>
      </c>
      <c r="Q25">
        <v>1</v>
      </c>
      <c r="R25" t="s">
        <v>1715</v>
      </c>
      <c r="S25" t="s">
        <v>1716</v>
      </c>
      <c r="V25">
        <f t="shared" si="0"/>
        <v>2</v>
      </c>
      <c r="W25">
        <v>1</v>
      </c>
      <c r="X25">
        <v>1</v>
      </c>
      <c r="Y25">
        <v>0</v>
      </c>
      <c r="Z25">
        <v>0</v>
      </c>
    </row>
    <row r="26" spans="1:26">
      <c r="A26" s="1" t="s">
        <v>1723</v>
      </c>
      <c r="B26" t="s">
        <v>131</v>
      </c>
      <c r="C26" t="s">
        <v>1724</v>
      </c>
      <c r="D26" t="s">
        <v>1656</v>
      </c>
      <c r="E26" s="14">
        <v>17</v>
      </c>
      <c r="F26">
        <v>52</v>
      </c>
      <c r="G26">
        <v>34</v>
      </c>
      <c r="H26">
        <v>48</v>
      </c>
      <c r="I26">
        <v>32</v>
      </c>
      <c r="J26">
        <v>13</v>
      </c>
      <c r="K26">
        <v>45</v>
      </c>
      <c r="L26" s="14">
        <v>30</v>
      </c>
      <c r="M26">
        <v>26</v>
      </c>
      <c r="N26">
        <v>6</v>
      </c>
      <c r="O26">
        <v>33</v>
      </c>
      <c r="P26">
        <v>2</v>
      </c>
      <c r="Q26">
        <v>10</v>
      </c>
      <c r="R26" t="s">
        <v>1715</v>
      </c>
      <c r="S26" t="s">
        <v>1716</v>
      </c>
      <c r="V26">
        <f t="shared" si="0"/>
        <v>2</v>
      </c>
      <c r="W26">
        <v>1</v>
      </c>
      <c r="X26">
        <v>1</v>
      </c>
      <c r="Y26">
        <v>0</v>
      </c>
      <c r="Z26">
        <v>0</v>
      </c>
    </row>
    <row r="27" spans="1:26">
      <c r="A27" s="1" t="s">
        <v>1725</v>
      </c>
      <c r="B27" t="s">
        <v>131</v>
      </c>
      <c r="C27" t="s">
        <v>1726</v>
      </c>
      <c r="D27" t="s">
        <v>1656</v>
      </c>
      <c r="E27" s="14">
        <v>47</v>
      </c>
      <c r="F27">
        <v>57</v>
      </c>
      <c r="G27">
        <v>48</v>
      </c>
      <c r="H27">
        <v>80</v>
      </c>
      <c r="I27">
        <v>39</v>
      </c>
      <c r="J27">
        <v>20</v>
      </c>
      <c r="K27">
        <v>80</v>
      </c>
      <c r="L27" s="14">
        <v>55</v>
      </c>
      <c r="M27">
        <v>46</v>
      </c>
      <c r="N27">
        <v>24</v>
      </c>
      <c r="O27">
        <v>36</v>
      </c>
      <c r="P27">
        <v>2</v>
      </c>
      <c r="Q27">
        <v>20</v>
      </c>
      <c r="R27" t="s">
        <v>1715</v>
      </c>
      <c r="S27" t="s">
        <v>1716</v>
      </c>
      <c r="T27" t="s">
        <v>1668</v>
      </c>
      <c r="U27" t="s">
        <v>1667</v>
      </c>
      <c r="V27">
        <f t="shared" si="0"/>
        <v>8</v>
      </c>
      <c r="W27">
        <v>2</v>
      </c>
      <c r="X27">
        <v>2</v>
      </c>
      <c r="Y27">
        <v>2</v>
      </c>
      <c r="Z27">
        <v>2</v>
      </c>
    </row>
    <row r="28" spans="1:26">
      <c r="A28" s="1" t="s">
        <v>1727</v>
      </c>
      <c r="B28" t="s">
        <v>131</v>
      </c>
      <c r="C28" t="s">
        <v>1728</v>
      </c>
      <c r="D28" t="s">
        <v>1656</v>
      </c>
      <c r="E28" s="14">
        <v>65</v>
      </c>
      <c r="F28">
        <v>62</v>
      </c>
      <c r="G28">
        <v>54</v>
      </c>
      <c r="H28">
        <v>90</v>
      </c>
      <c r="I28">
        <v>43</v>
      </c>
      <c r="J28">
        <v>27</v>
      </c>
      <c r="K28">
        <v>80</v>
      </c>
      <c r="L28" s="14">
        <v>70</v>
      </c>
      <c r="M28">
        <v>63</v>
      </c>
      <c r="N28">
        <v>40</v>
      </c>
      <c r="O28">
        <v>36</v>
      </c>
      <c r="P28">
        <v>2</v>
      </c>
      <c r="Q28">
        <v>30</v>
      </c>
      <c r="R28" t="s">
        <v>1715</v>
      </c>
      <c r="S28" t="s">
        <v>1716</v>
      </c>
      <c r="T28" t="s">
        <v>1668</v>
      </c>
      <c r="U28" t="s">
        <v>1667</v>
      </c>
      <c r="V28">
        <f t="shared" si="0"/>
        <v>8</v>
      </c>
      <c r="W28">
        <v>2</v>
      </c>
      <c r="X28">
        <v>2</v>
      </c>
      <c r="Y28">
        <v>2</v>
      </c>
      <c r="Z28">
        <v>2</v>
      </c>
    </row>
    <row r="29" spans="1:26">
      <c r="A29" s="1" t="s">
        <v>1729</v>
      </c>
      <c r="B29" t="s">
        <v>131</v>
      </c>
      <c r="C29" t="s">
        <v>1730</v>
      </c>
      <c r="D29" t="s">
        <v>1656</v>
      </c>
      <c r="E29" s="14">
        <v>2</v>
      </c>
      <c r="F29">
        <v>33</v>
      </c>
      <c r="G29">
        <v>14</v>
      </c>
      <c r="H29">
        <v>24</v>
      </c>
      <c r="I29">
        <v>15</v>
      </c>
      <c r="J29">
        <v>10</v>
      </c>
      <c r="K29">
        <v>30</v>
      </c>
      <c r="L29" s="14">
        <v>17</v>
      </c>
      <c r="M29">
        <v>15</v>
      </c>
      <c r="N29">
        <v>6</v>
      </c>
      <c r="O29">
        <v>30</v>
      </c>
      <c r="P29">
        <v>2</v>
      </c>
      <c r="Q29">
        <v>1</v>
      </c>
      <c r="R29" t="s">
        <v>1731</v>
      </c>
      <c r="S29" t="s">
        <v>1716</v>
      </c>
      <c r="V29">
        <f t="shared" si="0"/>
        <v>2</v>
      </c>
      <c r="W29">
        <v>1</v>
      </c>
      <c r="X29">
        <v>1</v>
      </c>
      <c r="Y29">
        <v>0</v>
      </c>
      <c r="Z29">
        <v>0</v>
      </c>
    </row>
    <row r="30" spans="1:26">
      <c r="A30" s="1" t="s">
        <v>1732</v>
      </c>
      <c r="B30" t="s">
        <v>131</v>
      </c>
      <c r="C30" t="s">
        <v>1733</v>
      </c>
      <c r="D30" t="s">
        <v>1656</v>
      </c>
      <c r="E30" s="14">
        <v>16</v>
      </c>
      <c r="F30">
        <v>48</v>
      </c>
      <c r="G30">
        <v>30</v>
      </c>
      <c r="H30">
        <v>40</v>
      </c>
      <c r="I30">
        <v>30</v>
      </c>
      <c r="J30">
        <v>20</v>
      </c>
      <c r="K30">
        <v>40</v>
      </c>
      <c r="L30" s="14">
        <v>29</v>
      </c>
      <c r="M30">
        <v>24</v>
      </c>
      <c r="N30">
        <v>6</v>
      </c>
      <c r="O30">
        <v>33</v>
      </c>
      <c r="P30">
        <v>2</v>
      </c>
      <c r="Q30">
        <v>10</v>
      </c>
      <c r="R30" t="s">
        <v>1731</v>
      </c>
      <c r="S30" t="s">
        <v>1716</v>
      </c>
      <c r="V30">
        <f t="shared" si="0"/>
        <v>2</v>
      </c>
      <c r="W30">
        <v>1</v>
      </c>
      <c r="X30">
        <v>1</v>
      </c>
      <c r="Y30">
        <v>0</v>
      </c>
      <c r="Z30">
        <v>0</v>
      </c>
    </row>
    <row r="31" spans="1:26">
      <c r="A31" s="1" t="s">
        <v>1734</v>
      </c>
      <c r="B31" t="s">
        <v>131</v>
      </c>
      <c r="C31" t="s">
        <v>1735</v>
      </c>
      <c r="D31" t="s">
        <v>1656</v>
      </c>
      <c r="E31" s="14">
        <v>33</v>
      </c>
      <c r="F31">
        <v>53</v>
      </c>
      <c r="G31">
        <v>42</v>
      </c>
      <c r="H31">
        <v>72</v>
      </c>
      <c r="I31">
        <v>36</v>
      </c>
      <c r="J31">
        <v>27</v>
      </c>
      <c r="K31">
        <v>70</v>
      </c>
      <c r="L31" s="14">
        <v>43</v>
      </c>
      <c r="M31">
        <v>44</v>
      </c>
      <c r="N31">
        <v>20</v>
      </c>
      <c r="O31">
        <v>36</v>
      </c>
      <c r="P31">
        <v>2</v>
      </c>
      <c r="Q31">
        <v>20</v>
      </c>
      <c r="R31" t="s">
        <v>1731</v>
      </c>
      <c r="S31" t="s">
        <v>1668</v>
      </c>
      <c r="T31" t="s">
        <v>1667</v>
      </c>
      <c r="V31">
        <f t="shared" si="0"/>
        <v>8</v>
      </c>
      <c r="W31">
        <v>2</v>
      </c>
      <c r="X31">
        <v>2</v>
      </c>
      <c r="Y31">
        <v>2</v>
      </c>
      <c r="Z31">
        <v>2</v>
      </c>
    </row>
    <row r="32" spans="1:26">
      <c r="A32" s="1" t="s">
        <v>1736</v>
      </c>
      <c r="B32" t="s">
        <v>131</v>
      </c>
      <c r="C32" t="s">
        <v>1737</v>
      </c>
      <c r="D32" t="s">
        <v>1656</v>
      </c>
      <c r="E32" s="14">
        <v>73</v>
      </c>
      <c r="F32">
        <v>59</v>
      </c>
      <c r="G32">
        <v>54</v>
      </c>
      <c r="H32">
        <v>90</v>
      </c>
      <c r="I32">
        <v>42</v>
      </c>
      <c r="J32">
        <v>34</v>
      </c>
      <c r="K32">
        <v>90</v>
      </c>
      <c r="L32" s="14">
        <v>77</v>
      </c>
      <c r="M32">
        <v>64</v>
      </c>
      <c r="N32">
        <v>34</v>
      </c>
      <c r="O32">
        <v>36</v>
      </c>
      <c r="P32">
        <v>2</v>
      </c>
      <c r="Q32">
        <v>30</v>
      </c>
      <c r="R32" t="s">
        <v>1731</v>
      </c>
      <c r="S32" t="s">
        <v>1668</v>
      </c>
      <c r="T32" t="s">
        <v>1667</v>
      </c>
      <c r="U32" t="s">
        <v>1679</v>
      </c>
      <c r="V32">
        <f t="shared" si="0"/>
        <v>8</v>
      </c>
      <c r="W32">
        <v>2</v>
      </c>
      <c r="X32">
        <v>2</v>
      </c>
      <c r="Y32">
        <v>2</v>
      </c>
      <c r="Z32">
        <v>2</v>
      </c>
    </row>
    <row r="33" spans="1:26">
      <c r="A33" s="1" t="s">
        <v>1738</v>
      </c>
      <c r="B33" t="s">
        <v>237</v>
      </c>
      <c r="C33" t="s">
        <v>1739</v>
      </c>
      <c r="D33" t="s">
        <v>1656</v>
      </c>
      <c r="E33" s="14">
        <v>4</v>
      </c>
      <c r="F33">
        <v>65</v>
      </c>
      <c r="G33">
        <v>5</v>
      </c>
      <c r="H33">
        <v>0</v>
      </c>
      <c r="I33">
        <v>25</v>
      </c>
      <c r="J33">
        <v>15</v>
      </c>
      <c r="K33">
        <v>0</v>
      </c>
      <c r="L33" s="14">
        <v>19</v>
      </c>
      <c r="M33">
        <v>3</v>
      </c>
      <c r="N33">
        <v>30</v>
      </c>
      <c r="O33">
        <v>25</v>
      </c>
      <c r="P33">
        <v>1</v>
      </c>
      <c r="Q33">
        <v>1</v>
      </c>
      <c r="R33" t="s">
        <v>1700</v>
      </c>
      <c r="S33" t="s">
        <v>1701</v>
      </c>
      <c r="T33" t="s">
        <v>1702</v>
      </c>
      <c r="V33">
        <f t="shared" si="0"/>
        <v>54</v>
      </c>
      <c r="W33">
        <v>18</v>
      </c>
      <c r="X33">
        <v>18</v>
      </c>
      <c r="Y33">
        <v>18</v>
      </c>
      <c r="Z33">
        <v>0</v>
      </c>
    </row>
    <row r="34" spans="1:26">
      <c r="A34" s="1" t="s">
        <v>1740</v>
      </c>
      <c r="B34" t="s">
        <v>237</v>
      </c>
      <c r="C34" t="s">
        <v>1741</v>
      </c>
      <c r="D34" t="s">
        <v>1656</v>
      </c>
      <c r="E34" s="14">
        <v>23</v>
      </c>
      <c r="F34">
        <v>70</v>
      </c>
      <c r="G34">
        <v>10</v>
      </c>
      <c r="H34">
        <v>0</v>
      </c>
      <c r="I34">
        <v>35</v>
      </c>
      <c r="J34">
        <v>15</v>
      </c>
      <c r="K34">
        <v>0</v>
      </c>
      <c r="L34" s="14">
        <v>35</v>
      </c>
      <c r="M34">
        <v>10</v>
      </c>
      <c r="N34">
        <v>30</v>
      </c>
      <c r="O34">
        <v>30</v>
      </c>
      <c r="P34">
        <v>1</v>
      </c>
      <c r="Q34">
        <v>10</v>
      </c>
      <c r="R34" t="s">
        <v>1705</v>
      </c>
      <c r="S34" t="s">
        <v>1701</v>
      </c>
      <c r="T34" t="s">
        <v>1702</v>
      </c>
      <c r="V34">
        <f t="shared" ref="V34:V65" si="1">SUM(W34:Z34)</f>
        <v>72</v>
      </c>
      <c r="W34">
        <v>24</v>
      </c>
      <c r="X34">
        <v>24</v>
      </c>
      <c r="Y34">
        <v>24</v>
      </c>
      <c r="Z34">
        <v>0</v>
      </c>
    </row>
    <row r="35" spans="1:26">
      <c r="A35" s="1" t="s">
        <v>1742</v>
      </c>
      <c r="B35" t="s">
        <v>237</v>
      </c>
      <c r="C35" t="s">
        <v>1743</v>
      </c>
      <c r="D35" t="s">
        <v>1656</v>
      </c>
      <c r="E35" s="14">
        <v>41</v>
      </c>
      <c r="F35">
        <v>84</v>
      </c>
      <c r="G35">
        <v>25</v>
      </c>
      <c r="H35">
        <v>0</v>
      </c>
      <c r="I35">
        <v>70</v>
      </c>
      <c r="J35">
        <v>36</v>
      </c>
      <c r="K35">
        <v>0</v>
      </c>
      <c r="L35" s="14">
        <v>50</v>
      </c>
      <c r="M35">
        <v>40</v>
      </c>
      <c r="N35">
        <v>40</v>
      </c>
      <c r="O35">
        <v>35</v>
      </c>
      <c r="P35">
        <v>1</v>
      </c>
      <c r="Q35">
        <v>30</v>
      </c>
      <c r="R35" t="s">
        <v>1705</v>
      </c>
      <c r="S35" t="s">
        <v>1707</v>
      </c>
      <c r="T35" t="s">
        <v>1707</v>
      </c>
      <c r="U35" t="s">
        <v>1706</v>
      </c>
      <c r="V35">
        <f t="shared" si="1"/>
        <v>88</v>
      </c>
      <c r="W35">
        <v>22</v>
      </c>
      <c r="X35">
        <v>22</v>
      </c>
      <c r="Y35">
        <v>22</v>
      </c>
      <c r="Z35">
        <v>22</v>
      </c>
    </row>
    <row r="36" spans="1:26">
      <c r="A36" s="1" t="s">
        <v>1744</v>
      </c>
      <c r="B36" t="s">
        <v>237</v>
      </c>
      <c r="C36" t="s">
        <v>1745</v>
      </c>
      <c r="D36" t="s">
        <v>1656</v>
      </c>
      <c r="E36" s="14">
        <v>64</v>
      </c>
      <c r="F36">
        <v>88</v>
      </c>
      <c r="G36">
        <v>35</v>
      </c>
      <c r="H36">
        <v>0</v>
      </c>
      <c r="I36">
        <v>75</v>
      </c>
      <c r="J36">
        <v>44</v>
      </c>
      <c r="K36">
        <v>0</v>
      </c>
      <c r="L36" s="14">
        <v>69</v>
      </c>
      <c r="M36">
        <v>60</v>
      </c>
      <c r="N36">
        <v>50</v>
      </c>
      <c r="O36">
        <v>40</v>
      </c>
      <c r="P36">
        <v>1</v>
      </c>
      <c r="Q36">
        <v>50</v>
      </c>
      <c r="R36" t="s">
        <v>1712</v>
      </c>
      <c r="S36" t="s">
        <v>1707</v>
      </c>
      <c r="T36" t="s">
        <v>1707</v>
      </c>
      <c r="U36" t="s">
        <v>1706</v>
      </c>
      <c r="V36">
        <f t="shared" si="1"/>
        <v>108</v>
      </c>
      <c r="W36">
        <v>27</v>
      </c>
      <c r="X36">
        <v>27</v>
      </c>
      <c r="Y36">
        <v>27</v>
      </c>
      <c r="Z36">
        <v>27</v>
      </c>
    </row>
    <row r="37" spans="1:26">
      <c r="A37" s="1" t="s">
        <v>1746</v>
      </c>
      <c r="B37" t="s">
        <v>84</v>
      </c>
      <c r="C37" t="s">
        <v>1747</v>
      </c>
      <c r="D37" t="s">
        <v>1656</v>
      </c>
      <c r="E37" s="14">
        <v>3</v>
      </c>
      <c r="F37">
        <v>58</v>
      </c>
      <c r="G37">
        <v>32</v>
      </c>
      <c r="H37">
        <v>32</v>
      </c>
      <c r="I37">
        <v>28</v>
      </c>
      <c r="J37">
        <v>16</v>
      </c>
      <c r="K37">
        <v>0</v>
      </c>
      <c r="L37" s="14">
        <v>18</v>
      </c>
      <c r="M37">
        <v>12</v>
      </c>
      <c r="N37">
        <v>10</v>
      </c>
      <c r="O37">
        <v>25</v>
      </c>
      <c r="P37">
        <v>2</v>
      </c>
      <c r="Q37">
        <v>1</v>
      </c>
      <c r="R37" t="s">
        <v>1748</v>
      </c>
      <c r="S37" t="s">
        <v>1676</v>
      </c>
      <c r="T37" t="s">
        <v>1716</v>
      </c>
      <c r="V37">
        <f t="shared" si="1"/>
        <v>9</v>
      </c>
      <c r="W37">
        <v>3</v>
      </c>
      <c r="X37">
        <v>3</v>
      </c>
      <c r="Y37">
        <v>3</v>
      </c>
      <c r="Z37">
        <v>0</v>
      </c>
    </row>
    <row r="38" spans="1:26">
      <c r="A38" s="1" t="s">
        <v>1749</v>
      </c>
      <c r="B38" t="s">
        <v>84</v>
      </c>
      <c r="C38" t="s">
        <v>1750</v>
      </c>
      <c r="D38" t="s">
        <v>1656</v>
      </c>
      <c r="E38" s="14">
        <v>21</v>
      </c>
      <c r="F38">
        <v>60</v>
      </c>
      <c r="G38">
        <v>58</v>
      </c>
      <c r="H38">
        <v>42</v>
      </c>
      <c r="I38">
        <v>60</v>
      </c>
      <c r="J38">
        <v>20</v>
      </c>
      <c r="K38">
        <v>0</v>
      </c>
      <c r="L38" s="14">
        <v>33</v>
      </c>
      <c r="M38">
        <v>20</v>
      </c>
      <c r="N38">
        <v>15</v>
      </c>
      <c r="O38">
        <v>30</v>
      </c>
      <c r="P38">
        <v>2</v>
      </c>
      <c r="Q38">
        <v>10</v>
      </c>
      <c r="R38" t="s">
        <v>1748</v>
      </c>
      <c r="S38" t="s">
        <v>1715</v>
      </c>
      <c r="T38" t="s">
        <v>1716</v>
      </c>
      <c r="U38" t="s">
        <v>1716</v>
      </c>
      <c r="V38">
        <f t="shared" si="1"/>
        <v>12</v>
      </c>
      <c r="W38">
        <v>3</v>
      </c>
      <c r="X38">
        <v>3</v>
      </c>
      <c r="Y38">
        <v>3</v>
      </c>
      <c r="Z38">
        <v>3</v>
      </c>
    </row>
    <row r="39" spans="1:26">
      <c r="A39" s="1" t="s">
        <v>1751</v>
      </c>
      <c r="B39" t="s">
        <v>84</v>
      </c>
      <c r="C39" t="s">
        <v>1752</v>
      </c>
      <c r="D39" t="s">
        <v>1656</v>
      </c>
      <c r="E39" s="14">
        <v>51</v>
      </c>
      <c r="F39">
        <v>76</v>
      </c>
      <c r="G39">
        <v>68</v>
      </c>
      <c r="H39">
        <v>48</v>
      </c>
      <c r="I39">
        <v>70</v>
      </c>
      <c r="J39">
        <v>30</v>
      </c>
      <c r="K39">
        <v>0</v>
      </c>
      <c r="L39" s="14">
        <v>58</v>
      </c>
      <c r="M39">
        <v>50</v>
      </c>
      <c r="N39">
        <v>20</v>
      </c>
      <c r="O39">
        <v>35</v>
      </c>
      <c r="P39">
        <v>2</v>
      </c>
      <c r="Q39">
        <v>20</v>
      </c>
      <c r="R39" t="s">
        <v>1748</v>
      </c>
      <c r="S39" t="s">
        <v>1715</v>
      </c>
      <c r="T39" t="s">
        <v>1679</v>
      </c>
      <c r="U39" t="s">
        <v>1716</v>
      </c>
      <c r="V39">
        <f t="shared" si="1"/>
        <v>16</v>
      </c>
      <c r="W39">
        <v>4</v>
      </c>
      <c r="X39">
        <v>4</v>
      </c>
      <c r="Y39">
        <v>4</v>
      </c>
      <c r="Z39">
        <v>4</v>
      </c>
    </row>
    <row r="40" spans="1:26">
      <c r="A40" s="1" t="s">
        <v>1753</v>
      </c>
      <c r="B40" t="s">
        <v>84</v>
      </c>
      <c r="C40" t="s">
        <v>1754</v>
      </c>
      <c r="D40" t="s">
        <v>1656</v>
      </c>
      <c r="E40" s="14">
        <v>84</v>
      </c>
      <c r="F40">
        <v>88</v>
      </c>
      <c r="G40">
        <v>88</v>
      </c>
      <c r="H40">
        <v>80</v>
      </c>
      <c r="I40">
        <v>80</v>
      </c>
      <c r="J40">
        <v>40</v>
      </c>
      <c r="K40">
        <v>0</v>
      </c>
      <c r="L40" s="14">
        <v>86</v>
      </c>
      <c r="M40">
        <v>57</v>
      </c>
      <c r="N40">
        <v>30</v>
      </c>
      <c r="O40">
        <v>35</v>
      </c>
      <c r="P40">
        <v>2</v>
      </c>
      <c r="Q40">
        <v>40</v>
      </c>
      <c r="R40" t="s">
        <v>1748</v>
      </c>
      <c r="S40" t="s">
        <v>1748</v>
      </c>
      <c r="T40" t="s">
        <v>1679</v>
      </c>
      <c r="U40" t="s">
        <v>1755</v>
      </c>
      <c r="V40">
        <f t="shared" si="1"/>
        <v>16</v>
      </c>
      <c r="W40">
        <v>4</v>
      </c>
      <c r="X40">
        <v>4</v>
      </c>
      <c r="Y40">
        <v>4</v>
      </c>
      <c r="Z40">
        <v>4</v>
      </c>
    </row>
    <row r="41" spans="1:26">
      <c r="A41" s="1" t="s">
        <v>1756</v>
      </c>
      <c r="B41" t="s">
        <v>37</v>
      </c>
      <c r="C41" t="s">
        <v>1757</v>
      </c>
      <c r="D41" t="s">
        <v>1656</v>
      </c>
      <c r="E41" s="14">
        <v>8</v>
      </c>
      <c r="F41">
        <v>84</v>
      </c>
      <c r="G41">
        <v>60</v>
      </c>
      <c r="H41">
        <v>0</v>
      </c>
      <c r="I41">
        <v>80</v>
      </c>
      <c r="J41">
        <v>30</v>
      </c>
      <c r="K41">
        <v>0</v>
      </c>
      <c r="L41" s="14">
        <v>22</v>
      </c>
      <c r="M41">
        <v>20</v>
      </c>
      <c r="N41">
        <v>25</v>
      </c>
      <c r="O41">
        <v>27</v>
      </c>
      <c r="P41">
        <v>3</v>
      </c>
      <c r="Q41">
        <v>10</v>
      </c>
      <c r="R41" t="s">
        <v>1758</v>
      </c>
      <c r="S41" t="s">
        <v>1758</v>
      </c>
      <c r="T41" t="s">
        <v>1759</v>
      </c>
      <c r="U41" t="s">
        <v>1716</v>
      </c>
      <c r="V41">
        <f t="shared" si="1"/>
        <v>16</v>
      </c>
      <c r="W41">
        <v>4</v>
      </c>
      <c r="X41">
        <v>4</v>
      </c>
      <c r="Y41">
        <v>4</v>
      </c>
      <c r="Z41">
        <v>4</v>
      </c>
    </row>
    <row r="42" spans="1:26">
      <c r="A42" s="1" t="s">
        <v>1760</v>
      </c>
      <c r="B42" t="s">
        <v>37</v>
      </c>
      <c r="C42" t="s">
        <v>1761</v>
      </c>
      <c r="D42" t="s">
        <v>1656</v>
      </c>
      <c r="E42" s="14">
        <v>33</v>
      </c>
      <c r="F42">
        <v>88</v>
      </c>
      <c r="G42">
        <v>75</v>
      </c>
      <c r="H42">
        <v>0</v>
      </c>
      <c r="I42">
        <v>88</v>
      </c>
      <c r="J42">
        <v>35</v>
      </c>
      <c r="K42">
        <v>0</v>
      </c>
      <c r="L42" s="14">
        <v>43</v>
      </c>
      <c r="M42">
        <v>40</v>
      </c>
      <c r="N42">
        <v>30</v>
      </c>
      <c r="O42">
        <v>30</v>
      </c>
      <c r="P42">
        <v>3</v>
      </c>
      <c r="Q42">
        <v>20</v>
      </c>
      <c r="R42" t="s">
        <v>1762</v>
      </c>
      <c r="S42" t="s">
        <v>1758</v>
      </c>
      <c r="T42" t="s">
        <v>1759</v>
      </c>
      <c r="V42">
        <f t="shared" si="1"/>
        <v>16</v>
      </c>
      <c r="W42">
        <v>4</v>
      </c>
      <c r="X42">
        <v>4</v>
      </c>
      <c r="Y42">
        <v>4</v>
      </c>
      <c r="Z42">
        <v>4</v>
      </c>
    </row>
    <row r="43" spans="1:26">
      <c r="A43" s="1" t="s">
        <v>1763</v>
      </c>
      <c r="B43" t="s">
        <v>37</v>
      </c>
      <c r="C43" t="s">
        <v>1764</v>
      </c>
      <c r="D43" t="s">
        <v>1656</v>
      </c>
      <c r="E43" s="14">
        <v>61</v>
      </c>
      <c r="F43">
        <v>90</v>
      </c>
      <c r="G43">
        <v>85</v>
      </c>
      <c r="H43">
        <v>0</v>
      </c>
      <c r="I43">
        <v>96</v>
      </c>
      <c r="J43">
        <v>45</v>
      </c>
      <c r="K43">
        <v>0</v>
      </c>
      <c r="L43" s="14">
        <v>67</v>
      </c>
      <c r="M43">
        <v>55</v>
      </c>
      <c r="N43">
        <v>35</v>
      </c>
      <c r="O43">
        <v>33</v>
      </c>
      <c r="P43">
        <v>3</v>
      </c>
      <c r="Q43">
        <v>30</v>
      </c>
      <c r="R43" t="s">
        <v>1762</v>
      </c>
      <c r="S43" t="s">
        <v>1762</v>
      </c>
      <c r="T43" t="s">
        <v>1716</v>
      </c>
      <c r="V43">
        <f t="shared" si="1"/>
        <v>16</v>
      </c>
      <c r="W43">
        <v>4</v>
      </c>
      <c r="X43">
        <v>4</v>
      </c>
      <c r="Y43">
        <v>4</v>
      </c>
      <c r="Z43">
        <v>4</v>
      </c>
    </row>
    <row r="44" spans="1:26">
      <c r="A44" s="1" t="s">
        <v>1765</v>
      </c>
      <c r="B44" t="s">
        <v>37</v>
      </c>
      <c r="C44" t="s">
        <v>1766</v>
      </c>
      <c r="D44" t="s">
        <v>1656</v>
      </c>
      <c r="E44" s="14">
        <v>77</v>
      </c>
      <c r="F44">
        <v>94</v>
      </c>
      <c r="G44">
        <v>90</v>
      </c>
      <c r="H44">
        <v>0</v>
      </c>
      <c r="I44">
        <v>104</v>
      </c>
      <c r="J44">
        <v>50</v>
      </c>
      <c r="K44">
        <v>0</v>
      </c>
      <c r="L44" s="14">
        <v>80</v>
      </c>
      <c r="M44">
        <v>65</v>
      </c>
      <c r="N44">
        <v>40</v>
      </c>
      <c r="O44">
        <v>36</v>
      </c>
      <c r="P44">
        <v>3</v>
      </c>
      <c r="Q44">
        <v>40</v>
      </c>
      <c r="R44" t="s">
        <v>1762</v>
      </c>
      <c r="S44" t="s">
        <v>1762</v>
      </c>
      <c r="T44" t="s">
        <v>1716</v>
      </c>
      <c r="V44">
        <f t="shared" si="1"/>
        <v>16</v>
      </c>
      <c r="W44">
        <v>4</v>
      </c>
      <c r="X44">
        <v>4</v>
      </c>
      <c r="Y44">
        <v>4</v>
      </c>
      <c r="Z44">
        <v>4</v>
      </c>
    </row>
    <row r="45" spans="1:26">
      <c r="A45" s="1" t="s">
        <v>1767</v>
      </c>
      <c r="B45" t="s">
        <v>37</v>
      </c>
      <c r="C45" t="s">
        <v>1768</v>
      </c>
      <c r="D45" t="s">
        <v>1656</v>
      </c>
      <c r="E45" s="14">
        <v>1</v>
      </c>
      <c r="F45">
        <v>90</v>
      </c>
      <c r="G45">
        <v>65</v>
      </c>
      <c r="H45">
        <v>0</v>
      </c>
      <c r="I45">
        <v>70</v>
      </c>
      <c r="J45">
        <v>40</v>
      </c>
      <c r="K45">
        <v>0</v>
      </c>
      <c r="L45" s="14">
        <v>15</v>
      </c>
      <c r="M45">
        <v>3</v>
      </c>
      <c r="N45">
        <v>20</v>
      </c>
      <c r="O45">
        <v>18</v>
      </c>
      <c r="P45">
        <v>3</v>
      </c>
      <c r="Q45">
        <v>5</v>
      </c>
      <c r="R45" t="s">
        <v>1762</v>
      </c>
      <c r="S45" t="s">
        <v>1759</v>
      </c>
      <c r="T45" t="s">
        <v>1716</v>
      </c>
      <c r="V45">
        <f t="shared" si="1"/>
        <v>9</v>
      </c>
      <c r="W45">
        <v>3</v>
      </c>
      <c r="X45">
        <v>3</v>
      </c>
      <c r="Y45">
        <v>3</v>
      </c>
      <c r="Z45">
        <v>0</v>
      </c>
    </row>
    <row r="46" spans="1:26">
      <c r="A46" s="1" t="s">
        <v>1769</v>
      </c>
      <c r="B46" t="s">
        <v>37</v>
      </c>
      <c r="C46" t="s">
        <v>1770</v>
      </c>
      <c r="D46" t="s">
        <v>1656</v>
      </c>
      <c r="E46" s="14">
        <v>21</v>
      </c>
      <c r="F46">
        <v>90</v>
      </c>
      <c r="G46">
        <v>85</v>
      </c>
      <c r="H46">
        <v>0</v>
      </c>
      <c r="I46">
        <v>85</v>
      </c>
      <c r="J46">
        <v>50</v>
      </c>
      <c r="K46">
        <v>0</v>
      </c>
      <c r="L46" s="14">
        <v>33</v>
      </c>
      <c r="M46">
        <v>16</v>
      </c>
      <c r="N46">
        <v>20</v>
      </c>
      <c r="O46">
        <v>21</v>
      </c>
      <c r="P46">
        <v>3</v>
      </c>
      <c r="Q46">
        <v>10</v>
      </c>
      <c r="R46" t="s">
        <v>1762</v>
      </c>
      <c r="S46" t="s">
        <v>1762</v>
      </c>
      <c r="T46" t="s">
        <v>1759</v>
      </c>
      <c r="V46">
        <f t="shared" si="1"/>
        <v>12</v>
      </c>
      <c r="W46">
        <v>3</v>
      </c>
      <c r="X46">
        <v>3</v>
      </c>
      <c r="Y46">
        <v>3</v>
      </c>
      <c r="Z46">
        <v>3</v>
      </c>
    </row>
    <row r="47" spans="1:26">
      <c r="A47" s="1" t="s">
        <v>1771</v>
      </c>
      <c r="B47" t="s">
        <v>37</v>
      </c>
      <c r="C47" t="s">
        <v>1772</v>
      </c>
      <c r="D47" t="s">
        <v>1656</v>
      </c>
      <c r="E47" s="14">
        <v>41</v>
      </c>
      <c r="F47">
        <v>98</v>
      </c>
      <c r="G47">
        <v>90</v>
      </c>
      <c r="H47">
        <v>0</v>
      </c>
      <c r="I47">
        <v>99</v>
      </c>
      <c r="J47">
        <v>60</v>
      </c>
      <c r="K47">
        <v>0</v>
      </c>
      <c r="L47" s="14">
        <v>50</v>
      </c>
      <c r="M47">
        <v>40</v>
      </c>
      <c r="N47">
        <v>30</v>
      </c>
      <c r="O47">
        <v>24</v>
      </c>
      <c r="P47">
        <v>3</v>
      </c>
      <c r="Q47">
        <v>20</v>
      </c>
      <c r="R47" t="s">
        <v>1762</v>
      </c>
      <c r="S47" t="s">
        <v>1762</v>
      </c>
      <c r="T47" t="s">
        <v>1716</v>
      </c>
      <c r="V47">
        <f t="shared" si="1"/>
        <v>20</v>
      </c>
      <c r="W47">
        <v>5</v>
      </c>
      <c r="X47">
        <v>5</v>
      </c>
      <c r="Y47">
        <v>5</v>
      </c>
      <c r="Z47">
        <v>5</v>
      </c>
    </row>
    <row r="48" spans="1:26">
      <c r="A48" s="1" t="s">
        <v>1773</v>
      </c>
      <c r="B48" t="s">
        <v>37</v>
      </c>
      <c r="C48" t="s">
        <v>1774</v>
      </c>
      <c r="D48" t="s">
        <v>1656</v>
      </c>
      <c r="E48" s="14">
        <v>98</v>
      </c>
      <c r="F48">
        <v>130</v>
      </c>
      <c r="G48">
        <v>110</v>
      </c>
      <c r="H48">
        <v>0</v>
      </c>
      <c r="I48">
        <v>110</v>
      </c>
      <c r="J48">
        <v>70</v>
      </c>
      <c r="K48">
        <v>0</v>
      </c>
      <c r="L48" s="14">
        <v>98</v>
      </c>
      <c r="M48">
        <v>43</v>
      </c>
      <c r="N48">
        <v>36</v>
      </c>
      <c r="O48">
        <v>24</v>
      </c>
      <c r="P48">
        <v>3</v>
      </c>
      <c r="Q48">
        <v>50</v>
      </c>
      <c r="R48" t="s">
        <v>1762</v>
      </c>
      <c r="S48" t="s">
        <v>1762</v>
      </c>
      <c r="T48" t="s">
        <v>1666</v>
      </c>
      <c r="U48" t="s">
        <v>1755</v>
      </c>
      <c r="V48">
        <f t="shared" si="1"/>
        <v>20</v>
      </c>
      <c r="W48">
        <v>5</v>
      </c>
      <c r="X48">
        <v>5</v>
      </c>
      <c r="Y48">
        <v>5</v>
      </c>
      <c r="Z48">
        <v>5</v>
      </c>
    </row>
    <row r="49" spans="1:26">
      <c r="A49" s="1" t="s">
        <v>1775</v>
      </c>
      <c r="B49" t="s">
        <v>1776</v>
      </c>
      <c r="C49" t="s">
        <v>1777</v>
      </c>
      <c r="D49" t="s">
        <v>1656</v>
      </c>
      <c r="E49" s="14">
        <v>101</v>
      </c>
      <c r="F49">
        <v>180</v>
      </c>
      <c r="G49">
        <v>90</v>
      </c>
      <c r="H49">
        <v>100</v>
      </c>
      <c r="I49">
        <v>110</v>
      </c>
      <c r="J49">
        <v>50</v>
      </c>
      <c r="K49">
        <v>90</v>
      </c>
      <c r="L49" s="14">
        <v>70</v>
      </c>
      <c r="M49">
        <v>45</v>
      </c>
      <c r="N49">
        <v>50</v>
      </c>
      <c r="O49">
        <v>30</v>
      </c>
      <c r="P49">
        <v>3</v>
      </c>
      <c r="Q49">
        <v>60</v>
      </c>
      <c r="R49" t="s">
        <v>1762</v>
      </c>
      <c r="S49" t="s">
        <v>1759</v>
      </c>
      <c r="T49" t="s">
        <v>1707</v>
      </c>
      <c r="U49" t="s">
        <v>1778</v>
      </c>
      <c r="V49">
        <f t="shared" si="1"/>
        <v>40</v>
      </c>
      <c r="W49">
        <v>0</v>
      </c>
      <c r="X49">
        <v>0</v>
      </c>
      <c r="Y49">
        <v>20</v>
      </c>
      <c r="Z49">
        <v>20</v>
      </c>
    </row>
    <row r="50" spans="1:26">
      <c r="A50" s="1" t="s">
        <v>1779</v>
      </c>
      <c r="B50" t="s">
        <v>1776</v>
      </c>
      <c r="C50" t="s">
        <v>1780</v>
      </c>
      <c r="D50" t="s">
        <v>1656</v>
      </c>
      <c r="E50" s="14">
        <v>148</v>
      </c>
      <c r="F50">
        <v>270</v>
      </c>
      <c r="G50">
        <v>130</v>
      </c>
      <c r="H50">
        <v>120</v>
      </c>
      <c r="I50">
        <v>130</v>
      </c>
      <c r="J50">
        <v>60</v>
      </c>
      <c r="K50">
        <v>100</v>
      </c>
      <c r="L50" s="14">
        <v>90</v>
      </c>
      <c r="M50">
        <v>50</v>
      </c>
      <c r="N50">
        <v>70</v>
      </c>
      <c r="O50">
        <v>33</v>
      </c>
      <c r="P50">
        <v>3</v>
      </c>
      <c r="Q50">
        <v>70</v>
      </c>
      <c r="R50" t="s">
        <v>1762</v>
      </c>
      <c r="S50" t="s">
        <v>1759</v>
      </c>
      <c r="T50" t="s">
        <v>1707</v>
      </c>
      <c r="U50" t="s">
        <v>1778</v>
      </c>
      <c r="V50">
        <f t="shared" si="1"/>
        <v>70</v>
      </c>
      <c r="W50">
        <v>0</v>
      </c>
      <c r="X50">
        <v>0</v>
      </c>
      <c r="Y50">
        <v>35</v>
      </c>
      <c r="Z50">
        <v>35</v>
      </c>
    </row>
    <row r="51" spans="1:26">
      <c r="A51" s="1" t="s">
        <v>1781</v>
      </c>
      <c r="B51" t="s">
        <v>1776</v>
      </c>
      <c r="C51" t="s">
        <v>1782</v>
      </c>
      <c r="D51" t="s">
        <v>1656</v>
      </c>
      <c r="E51" s="14">
        <v>196</v>
      </c>
      <c r="F51">
        <v>360</v>
      </c>
      <c r="G51">
        <v>150</v>
      </c>
      <c r="H51">
        <v>140</v>
      </c>
      <c r="I51">
        <v>150</v>
      </c>
      <c r="J51">
        <v>70</v>
      </c>
      <c r="K51">
        <v>110</v>
      </c>
      <c r="L51" s="14">
        <v>110</v>
      </c>
      <c r="M51">
        <v>55</v>
      </c>
      <c r="N51">
        <v>90</v>
      </c>
      <c r="O51">
        <v>36</v>
      </c>
      <c r="P51">
        <v>3</v>
      </c>
      <c r="Q51">
        <v>80</v>
      </c>
      <c r="R51" t="s">
        <v>1762</v>
      </c>
      <c r="S51" t="s">
        <v>1759</v>
      </c>
      <c r="T51" t="s">
        <v>1707</v>
      </c>
      <c r="U51" t="s">
        <v>1778</v>
      </c>
      <c r="V51">
        <f t="shared" si="1"/>
        <v>100</v>
      </c>
      <c r="W51">
        <v>0</v>
      </c>
      <c r="X51">
        <v>0</v>
      </c>
      <c r="Y51">
        <v>50</v>
      </c>
      <c r="Z51">
        <v>50</v>
      </c>
    </row>
    <row r="52" spans="1:26">
      <c r="A52" s="1" t="s">
        <v>1783</v>
      </c>
      <c r="B52" t="s">
        <v>87</v>
      </c>
      <c r="C52" t="s">
        <v>1784</v>
      </c>
      <c r="D52" t="s">
        <v>1656</v>
      </c>
      <c r="E52" s="14">
        <v>1</v>
      </c>
      <c r="F52">
        <v>19</v>
      </c>
      <c r="G52">
        <v>0</v>
      </c>
      <c r="H52">
        <v>42</v>
      </c>
      <c r="I52">
        <v>7</v>
      </c>
      <c r="J52">
        <v>0</v>
      </c>
      <c r="K52">
        <v>0</v>
      </c>
      <c r="L52" s="17">
        <v>15</v>
      </c>
      <c r="M52">
        <v>1</v>
      </c>
      <c r="N52">
        <v>6</v>
      </c>
      <c r="O52">
        <v>15</v>
      </c>
      <c r="P52">
        <v>1</v>
      </c>
      <c r="Q52" s="17">
        <v>1</v>
      </c>
      <c r="R52" t="s">
        <v>1676</v>
      </c>
      <c r="S52" t="s">
        <v>1676</v>
      </c>
      <c r="V52">
        <f t="shared" si="1"/>
        <v>0</v>
      </c>
      <c r="W52">
        <v>0</v>
      </c>
      <c r="X52">
        <v>0</v>
      </c>
      <c r="Y52">
        <v>0</v>
      </c>
      <c r="Z52">
        <v>0</v>
      </c>
    </row>
    <row r="53" spans="1:26">
      <c r="A53" s="1" t="s">
        <v>1785</v>
      </c>
      <c r="B53" t="s">
        <v>87</v>
      </c>
      <c r="C53" t="s">
        <v>1786</v>
      </c>
      <c r="D53" t="s">
        <v>1656</v>
      </c>
      <c r="E53" s="14">
        <v>17</v>
      </c>
      <c r="F53">
        <v>27</v>
      </c>
      <c r="G53">
        <v>0</v>
      </c>
      <c r="H53">
        <v>64</v>
      </c>
      <c r="I53">
        <v>21</v>
      </c>
      <c r="J53">
        <v>0</v>
      </c>
      <c r="K53">
        <v>0</v>
      </c>
      <c r="L53" s="17">
        <v>30</v>
      </c>
      <c r="M53">
        <v>5</v>
      </c>
      <c r="N53">
        <v>8</v>
      </c>
      <c r="O53">
        <v>20</v>
      </c>
      <c r="P53">
        <v>1</v>
      </c>
      <c r="Q53" s="17">
        <v>10</v>
      </c>
      <c r="R53" t="s">
        <v>1679</v>
      </c>
      <c r="S53" t="s">
        <v>1676</v>
      </c>
      <c r="T53" t="s">
        <v>1676</v>
      </c>
      <c r="V53">
        <f t="shared" si="1"/>
        <v>0</v>
      </c>
      <c r="W53">
        <v>0</v>
      </c>
      <c r="X53">
        <v>0</v>
      </c>
      <c r="Y53">
        <v>0</v>
      </c>
      <c r="Z53">
        <v>0</v>
      </c>
    </row>
    <row r="54" spans="1:26">
      <c r="A54" s="1" t="s">
        <v>1787</v>
      </c>
      <c r="B54" t="s">
        <v>87</v>
      </c>
      <c r="C54" t="s">
        <v>1788</v>
      </c>
      <c r="D54" t="s">
        <v>1656</v>
      </c>
      <c r="E54" s="14">
        <v>35</v>
      </c>
      <c r="F54">
        <v>37</v>
      </c>
      <c r="G54">
        <v>0</v>
      </c>
      <c r="H54">
        <v>86</v>
      </c>
      <c r="I54">
        <v>30</v>
      </c>
      <c r="J54">
        <v>0</v>
      </c>
      <c r="K54">
        <v>0</v>
      </c>
      <c r="L54" s="14">
        <v>45</v>
      </c>
      <c r="M54">
        <v>10</v>
      </c>
      <c r="N54">
        <v>10</v>
      </c>
      <c r="O54">
        <v>25</v>
      </c>
      <c r="P54">
        <v>1</v>
      </c>
      <c r="Q54">
        <v>20</v>
      </c>
      <c r="R54" t="s">
        <v>1679</v>
      </c>
      <c r="S54" t="s">
        <v>1679</v>
      </c>
      <c r="T54" t="s">
        <v>1676</v>
      </c>
      <c r="V54">
        <f t="shared" si="1"/>
        <v>0</v>
      </c>
      <c r="W54">
        <v>0</v>
      </c>
      <c r="X54">
        <v>0</v>
      </c>
      <c r="Y54">
        <v>0</v>
      </c>
      <c r="Z54">
        <v>0</v>
      </c>
    </row>
    <row r="55" spans="1:26">
      <c r="A55" s="1" t="s">
        <v>1789</v>
      </c>
      <c r="B55" t="s">
        <v>87</v>
      </c>
      <c r="C55" t="s">
        <v>1790</v>
      </c>
      <c r="D55" t="s">
        <v>1656</v>
      </c>
      <c r="E55" s="14">
        <v>53</v>
      </c>
      <c r="F55">
        <v>47</v>
      </c>
      <c r="G55">
        <v>0</v>
      </c>
      <c r="H55">
        <v>98</v>
      </c>
      <c r="I55">
        <v>39</v>
      </c>
      <c r="J55">
        <v>0</v>
      </c>
      <c r="K55">
        <v>0</v>
      </c>
      <c r="L55" s="14">
        <v>60</v>
      </c>
      <c r="M55">
        <v>15</v>
      </c>
      <c r="N55">
        <v>12</v>
      </c>
      <c r="O55">
        <v>25</v>
      </c>
      <c r="P55">
        <v>1</v>
      </c>
      <c r="Q55">
        <v>30</v>
      </c>
      <c r="R55" t="s">
        <v>1679</v>
      </c>
      <c r="S55" t="s">
        <v>1679</v>
      </c>
      <c r="V55">
        <f t="shared" si="1"/>
        <v>0</v>
      </c>
      <c r="W55">
        <v>0</v>
      </c>
      <c r="X55">
        <v>0</v>
      </c>
      <c r="Y55">
        <v>0</v>
      </c>
      <c r="Z55">
        <v>0</v>
      </c>
    </row>
    <row r="56" spans="1:26">
      <c r="A56" s="1" t="s">
        <v>1791</v>
      </c>
      <c r="B56" t="s">
        <v>87</v>
      </c>
      <c r="C56" t="s">
        <v>1792</v>
      </c>
      <c r="D56" t="s">
        <v>1656</v>
      </c>
      <c r="E56" s="14">
        <v>9</v>
      </c>
      <c r="F56">
        <v>33</v>
      </c>
      <c r="G56">
        <v>24</v>
      </c>
      <c r="H56">
        <v>70</v>
      </c>
      <c r="I56">
        <v>15</v>
      </c>
      <c r="J56">
        <v>0</v>
      </c>
      <c r="K56">
        <v>0</v>
      </c>
      <c r="L56" s="14">
        <v>23</v>
      </c>
      <c r="M56">
        <v>5</v>
      </c>
      <c r="N56">
        <v>10</v>
      </c>
      <c r="O56">
        <v>15</v>
      </c>
      <c r="P56">
        <v>1</v>
      </c>
      <c r="Q56">
        <v>15</v>
      </c>
      <c r="R56" t="s">
        <v>1679</v>
      </c>
      <c r="S56" t="s">
        <v>1793</v>
      </c>
      <c r="V56">
        <f t="shared" si="1"/>
        <v>0</v>
      </c>
      <c r="W56">
        <v>0</v>
      </c>
      <c r="X56">
        <v>0</v>
      </c>
      <c r="Y56">
        <v>0</v>
      </c>
      <c r="Z56">
        <v>0</v>
      </c>
    </row>
    <row r="57" spans="1:26">
      <c r="A57" s="1" t="s">
        <v>1794</v>
      </c>
      <c r="B57" t="s">
        <v>87</v>
      </c>
      <c r="C57" t="s">
        <v>1795</v>
      </c>
      <c r="D57" t="s">
        <v>1656</v>
      </c>
      <c r="E57" s="14">
        <v>36</v>
      </c>
      <c r="F57">
        <v>45</v>
      </c>
      <c r="G57">
        <v>30</v>
      </c>
      <c r="H57">
        <v>100</v>
      </c>
      <c r="I57">
        <v>30</v>
      </c>
      <c r="J57">
        <v>0</v>
      </c>
      <c r="K57">
        <v>0</v>
      </c>
      <c r="L57" s="14">
        <v>46</v>
      </c>
      <c r="M57">
        <v>10</v>
      </c>
      <c r="N57">
        <v>15</v>
      </c>
      <c r="O57">
        <v>20</v>
      </c>
      <c r="P57">
        <v>1</v>
      </c>
      <c r="Q57">
        <v>30</v>
      </c>
      <c r="R57" t="s">
        <v>1679</v>
      </c>
      <c r="S57" t="s">
        <v>1679</v>
      </c>
      <c r="T57" t="s">
        <v>1793</v>
      </c>
      <c r="V57">
        <f t="shared" si="1"/>
        <v>0</v>
      </c>
      <c r="W57">
        <v>0</v>
      </c>
      <c r="X57">
        <v>0</v>
      </c>
      <c r="Y57">
        <v>0</v>
      </c>
      <c r="Z57">
        <v>0</v>
      </c>
    </row>
    <row r="58" spans="1:26">
      <c r="A58" s="1" t="s">
        <v>1796</v>
      </c>
      <c r="B58" t="s">
        <v>87</v>
      </c>
      <c r="C58" t="s">
        <v>1797</v>
      </c>
      <c r="D58" t="s">
        <v>1656</v>
      </c>
      <c r="E58" s="14">
        <v>64</v>
      </c>
      <c r="F58">
        <v>50</v>
      </c>
      <c r="G58">
        <v>37</v>
      </c>
      <c r="H58">
        <v>130</v>
      </c>
      <c r="I58">
        <v>45</v>
      </c>
      <c r="J58">
        <v>0</v>
      </c>
      <c r="K58">
        <v>0</v>
      </c>
      <c r="L58" s="14">
        <v>69</v>
      </c>
      <c r="M58">
        <v>15</v>
      </c>
      <c r="N58">
        <v>20</v>
      </c>
      <c r="O58">
        <v>25</v>
      </c>
      <c r="P58">
        <v>1</v>
      </c>
      <c r="Q58">
        <v>45</v>
      </c>
      <c r="R58" t="s">
        <v>1679</v>
      </c>
      <c r="S58" t="s">
        <v>1679</v>
      </c>
      <c r="T58" t="s">
        <v>1793</v>
      </c>
      <c r="V58">
        <f t="shared" si="1"/>
        <v>0</v>
      </c>
      <c r="W58">
        <v>0</v>
      </c>
      <c r="X58">
        <v>0</v>
      </c>
      <c r="Y58">
        <v>0</v>
      </c>
      <c r="Z58">
        <v>0</v>
      </c>
    </row>
    <row r="59" spans="1:26">
      <c r="A59" s="1" t="s">
        <v>1798</v>
      </c>
      <c r="B59" t="s">
        <v>87</v>
      </c>
      <c r="C59" t="s">
        <v>1799</v>
      </c>
      <c r="D59" t="s">
        <v>1656</v>
      </c>
      <c r="E59" s="14">
        <v>14</v>
      </c>
      <c r="F59">
        <v>24</v>
      </c>
      <c r="G59">
        <v>0</v>
      </c>
      <c r="H59">
        <v>52</v>
      </c>
      <c r="I59">
        <v>9</v>
      </c>
      <c r="J59">
        <v>0</v>
      </c>
      <c r="K59">
        <v>0</v>
      </c>
      <c r="L59" s="14">
        <v>27</v>
      </c>
      <c r="M59">
        <v>1</v>
      </c>
      <c r="N59">
        <v>7</v>
      </c>
      <c r="O59">
        <v>15</v>
      </c>
      <c r="P59">
        <v>1</v>
      </c>
      <c r="Q59">
        <v>5</v>
      </c>
      <c r="R59" t="s">
        <v>1663</v>
      </c>
      <c r="S59" t="s">
        <v>1663</v>
      </c>
      <c r="V59">
        <f t="shared" si="1"/>
        <v>0</v>
      </c>
      <c r="W59">
        <v>0</v>
      </c>
      <c r="X59">
        <v>0</v>
      </c>
      <c r="Y59">
        <v>0</v>
      </c>
      <c r="Z59">
        <v>0</v>
      </c>
    </row>
    <row r="60" spans="1:26">
      <c r="A60" s="1" t="s">
        <v>1800</v>
      </c>
      <c r="B60" t="s">
        <v>87</v>
      </c>
      <c r="C60" t="s">
        <v>1801</v>
      </c>
      <c r="D60" t="s">
        <v>1656</v>
      </c>
      <c r="E60" s="14">
        <v>45</v>
      </c>
      <c r="F60">
        <v>34</v>
      </c>
      <c r="G60">
        <v>0</v>
      </c>
      <c r="H60">
        <v>74</v>
      </c>
      <c r="I60">
        <v>27</v>
      </c>
      <c r="J60">
        <v>0</v>
      </c>
      <c r="K60">
        <v>0</v>
      </c>
      <c r="L60" s="14">
        <v>53</v>
      </c>
      <c r="M60">
        <v>5</v>
      </c>
      <c r="N60">
        <v>9</v>
      </c>
      <c r="O60">
        <v>20</v>
      </c>
      <c r="P60">
        <v>1</v>
      </c>
      <c r="Q60">
        <v>10</v>
      </c>
      <c r="R60" t="s">
        <v>1679</v>
      </c>
      <c r="S60" t="s">
        <v>1663</v>
      </c>
      <c r="T60" t="s">
        <v>1663</v>
      </c>
      <c r="V60">
        <f t="shared" si="1"/>
        <v>0</v>
      </c>
      <c r="W60">
        <v>0</v>
      </c>
      <c r="X60">
        <v>0</v>
      </c>
      <c r="Y60">
        <v>0</v>
      </c>
      <c r="Z60">
        <v>0</v>
      </c>
    </row>
    <row r="61" spans="1:26">
      <c r="A61" s="1" t="s">
        <v>1802</v>
      </c>
      <c r="B61" t="s">
        <v>87</v>
      </c>
      <c r="C61" t="s">
        <v>1803</v>
      </c>
      <c r="D61" t="s">
        <v>1656</v>
      </c>
      <c r="E61" s="14">
        <v>64</v>
      </c>
      <c r="F61">
        <v>44</v>
      </c>
      <c r="G61">
        <v>0</v>
      </c>
      <c r="H61">
        <v>96</v>
      </c>
      <c r="I61">
        <v>36</v>
      </c>
      <c r="J61">
        <v>0</v>
      </c>
      <c r="K61">
        <v>0</v>
      </c>
      <c r="L61" s="14">
        <v>69</v>
      </c>
      <c r="M61">
        <v>10</v>
      </c>
      <c r="N61">
        <v>10</v>
      </c>
      <c r="O61">
        <v>25</v>
      </c>
      <c r="P61">
        <v>1</v>
      </c>
      <c r="Q61">
        <v>20</v>
      </c>
      <c r="R61" t="s">
        <v>1679</v>
      </c>
      <c r="S61" t="s">
        <v>1679</v>
      </c>
      <c r="T61" t="s">
        <v>1663</v>
      </c>
      <c r="V61">
        <f t="shared" si="1"/>
        <v>0</v>
      </c>
      <c r="W61">
        <v>0</v>
      </c>
      <c r="X61">
        <v>0</v>
      </c>
      <c r="Y61">
        <v>0</v>
      </c>
      <c r="Z61">
        <v>0</v>
      </c>
    </row>
    <row r="62" spans="1:26">
      <c r="A62" s="1" t="s">
        <v>1804</v>
      </c>
      <c r="B62" t="s">
        <v>87</v>
      </c>
      <c r="C62" t="s">
        <v>1805</v>
      </c>
      <c r="D62" t="s">
        <v>1656</v>
      </c>
      <c r="E62" s="14">
        <v>80</v>
      </c>
      <c r="F62">
        <v>54</v>
      </c>
      <c r="G62">
        <v>0</v>
      </c>
      <c r="H62">
        <v>118</v>
      </c>
      <c r="I62">
        <v>45</v>
      </c>
      <c r="J62">
        <v>0</v>
      </c>
      <c r="K62">
        <v>0</v>
      </c>
      <c r="L62" s="14">
        <v>83</v>
      </c>
      <c r="M62">
        <v>15</v>
      </c>
      <c r="N62">
        <v>11</v>
      </c>
      <c r="O62">
        <v>25</v>
      </c>
      <c r="P62">
        <v>1</v>
      </c>
      <c r="Q62">
        <v>30</v>
      </c>
      <c r="R62" t="s">
        <v>1679</v>
      </c>
      <c r="S62" t="s">
        <v>1679</v>
      </c>
      <c r="T62" t="s">
        <v>1679</v>
      </c>
      <c r="V62">
        <f t="shared" si="1"/>
        <v>0</v>
      </c>
      <c r="W62">
        <v>0</v>
      </c>
      <c r="X62">
        <v>0</v>
      </c>
      <c r="Y62">
        <v>0</v>
      </c>
      <c r="Z62">
        <v>0</v>
      </c>
    </row>
    <row r="63" spans="1:26">
      <c r="A63" s="1" t="s">
        <v>1806</v>
      </c>
      <c r="B63" t="s">
        <v>1807</v>
      </c>
      <c r="C63" t="s">
        <v>1808</v>
      </c>
      <c r="D63" t="s">
        <v>1656</v>
      </c>
      <c r="E63" s="14">
        <v>9</v>
      </c>
      <c r="F63">
        <v>48</v>
      </c>
      <c r="G63">
        <v>18</v>
      </c>
      <c r="H63">
        <v>48</v>
      </c>
      <c r="I63">
        <v>22</v>
      </c>
      <c r="J63">
        <v>10</v>
      </c>
      <c r="K63">
        <v>30</v>
      </c>
      <c r="L63" s="17">
        <v>27</v>
      </c>
      <c r="M63">
        <v>18</v>
      </c>
      <c r="N63">
        <v>4</v>
      </c>
      <c r="O63">
        <v>30</v>
      </c>
      <c r="P63">
        <v>2</v>
      </c>
      <c r="Q63" s="17">
        <v>1</v>
      </c>
      <c r="R63" t="s">
        <v>1731</v>
      </c>
      <c r="S63" t="s">
        <v>1676</v>
      </c>
      <c r="T63" t="s">
        <v>1676</v>
      </c>
      <c r="V63">
        <f t="shared" si="1"/>
        <v>6</v>
      </c>
      <c r="W63">
        <v>2</v>
      </c>
      <c r="X63">
        <v>2</v>
      </c>
      <c r="Y63">
        <v>2</v>
      </c>
      <c r="Z63">
        <v>0</v>
      </c>
    </row>
    <row r="64" spans="1:26">
      <c r="A64" s="1" t="s">
        <v>1809</v>
      </c>
      <c r="B64" t="s">
        <v>1807</v>
      </c>
      <c r="C64" t="s">
        <v>1810</v>
      </c>
      <c r="D64" t="s">
        <v>1656</v>
      </c>
      <c r="E64" s="14">
        <v>35</v>
      </c>
      <c r="F64">
        <v>50</v>
      </c>
      <c r="G64">
        <v>35</v>
      </c>
      <c r="H64">
        <v>72</v>
      </c>
      <c r="I64">
        <v>34</v>
      </c>
      <c r="J64">
        <v>15</v>
      </c>
      <c r="K64">
        <v>40</v>
      </c>
      <c r="L64" s="14">
        <v>45</v>
      </c>
      <c r="M64">
        <v>30</v>
      </c>
      <c r="N64">
        <v>10</v>
      </c>
      <c r="O64">
        <v>35</v>
      </c>
      <c r="P64">
        <v>2</v>
      </c>
      <c r="Q64">
        <v>10</v>
      </c>
      <c r="R64" t="s">
        <v>1715</v>
      </c>
      <c r="S64" t="s">
        <v>1663</v>
      </c>
      <c r="T64" t="s">
        <v>1663</v>
      </c>
      <c r="V64">
        <f t="shared" si="1"/>
        <v>6</v>
      </c>
      <c r="W64">
        <v>2</v>
      </c>
      <c r="X64">
        <v>2</v>
      </c>
      <c r="Y64">
        <v>2</v>
      </c>
      <c r="Z64">
        <v>0</v>
      </c>
    </row>
    <row r="65" spans="1:26">
      <c r="A65" s="1" t="s">
        <v>1811</v>
      </c>
      <c r="B65" t="s">
        <v>1807</v>
      </c>
      <c r="C65" t="s">
        <v>1812</v>
      </c>
      <c r="D65" t="s">
        <v>1656</v>
      </c>
      <c r="E65" s="14">
        <v>61</v>
      </c>
      <c r="F65">
        <v>70</v>
      </c>
      <c r="G65">
        <v>50</v>
      </c>
      <c r="H65">
        <v>120</v>
      </c>
      <c r="I65">
        <v>60</v>
      </c>
      <c r="J65">
        <v>20</v>
      </c>
      <c r="K65">
        <v>50</v>
      </c>
      <c r="L65" s="14">
        <v>67</v>
      </c>
      <c r="M65">
        <v>55</v>
      </c>
      <c r="N65">
        <v>15</v>
      </c>
      <c r="O65">
        <v>40</v>
      </c>
      <c r="P65">
        <v>2</v>
      </c>
      <c r="Q65">
        <v>30</v>
      </c>
      <c r="R65" t="s">
        <v>1715</v>
      </c>
      <c r="S65" t="s">
        <v>1679</v>
      </c>
      <c r="T65" t="s">
        <v>1679</v>
      </c>
      <c r="V65">
        <f t="shared" si="1"/>
        <v>6</v>
      </c>
      <c r="W65">
        <v>2</v>
      </c>
      <c r="X65">
        <v>2</v>
      </c>
      <c r="Y65">
        <v>2</v>
      </c>
      <c r="Z65">
        <v>0</v>
      </c>
    </row>
    <row r="66" spans="1:26">
      <c r="A66" s="1" t="s">
        <v>1813</v>
      </c>
      <c r="B66" t="s">
        <v>1807</v>
      </c>
      <c r="C66" t="s">
        <v>1814</v>
      </c>
      <c r="D66" t="s">
        <v>1656</v>
      </c>
      <c r="E66" s="14">
        <v>79</v>
      </c>
      <c r="F66">
        <v>80</v>
      </c>
      <c r="G66">
        <v>60</v>
      </c>
      <c r="H66">
        <v>140</v>
      </c>
      <c r="I66">
        <v>65</v>
      </c>
      <c r="J66">
        <v>25</v>
      </c>
      <c r="K66">
        <v>60</v>
      </c>
      <c r="L66" s="14">
        <v>82</v>
      </c>
      <c r="M66">
        <v>65</v>
      </c>
      <c r="N66">
        <v>20</v>
      </c>
      <c r="O66">
        <v>40</v>
      </c>
      <c r="P66">
        <v>2</v>
      </c>
      <c r="Q66">
        <v>40</v>
      </c>
      <c r="R66" t="s">
        <v>1715</v>
      </c>
      <c r="S66" t="s">
        <v>1679</v>
      </c>
      <c r="T66" t="s">
        <v>1679</v>
      </c>
      <c r="V66">
        <f t="shared" ref="V66:V97" si="2">SUM(W66:Z66)</f>
        <v>6</v>
      </c>
      <c r="W66">
        <v>2</v>
      </c>
      <c r="X66">
        <v>2</v>
      </c>
      <c r="Y66">
        <v>2</v>
      </c>
      <c r="Z66">
        <v>0</v>
      </c>
    </row>
    <row r="67" spans="1:26">
      <c r="A67" s="1" t="s">
        <v>1815</v>
      </c>
      <c r="B67" t="s">
        <v>51</v>
      </c>
      <c r="C67" t="s">
        <v>1816</v>
      </c>
      <c r="D67" t="s">
        <v>1656</v>
      </c>
      <c r="E67" s="14">
        <v>15</v>
      </c>
      <c r="F67">
        <v>58</v>
      </c>
      <c r="G67">
        <v>65</v>
      </c>
      <c r="H67">
        <v>0</v>
      </c>
      <c r="I67">
        <v>28</v>
      </c>
      <c r="J67">
        <v>16</v>
      </c>
      <c r="K67">
        <v>0</v>
      </c>
      <c r="L67" s="14">
        <v>28</v>
      </c>
      <c r="M67">
        <v>12</v>
      </c>
      <c r="N67">
        <v>10</v>
      </c>
      <c r="O67">
        <v>27</v>
      </c>
      <c r="P67">
        <v>3</v>
      </c>
      <c r="Q67">
        <v>1</v>
      </c>
      <c r="R67" t="s">
        <v>1762</v>
      </c>
      <c r="S67" t="s">
        <v>1759</v>
      </c>
      <c r="T67" t="s">
        <v>1716</v>
      </c>
      <c r="V67">
        <f t="shared" si="2"/>
        <v>9</v>
      </c>
      <c r="W67">
        <v>3</v>
      </c>
      <c r="X67">
        <v>3</v>
      </c>
      <c r="Y67">
        <v>3</v>
      </c>
      <c r="Z67">
        <v>0</v>
      </c>
    </row>
    <row r="68" spans="1:26">
      <c r="A68" s="1" t="s">
        <v>1817</v>
      </c>
      <c r="B68" t="s">
        <v>51</v>
      </c>
      <c r="C68" t="s">
        <v>1818</v>
      </c>
      <c r="D68" t="s">
        <v>1656</v>
      </c>
      <c r="E68" s="14">
        <v>32</v>
      </c>
      <c r="F68">
        <v>60</v>
      </c>
      <c r="G68">
        <v>85</v>
      </c>
      <c r="H68">
        <v>0</v>
      </c>
      <c r="I68">
        <v>60</v>
      </c>
      <c r="J68">
        <v>30</v>
      </c>
      <c r="K68">
        <v>0</v>
      </c>
      <c r="L68" s="14">
        <v>42</v>
      </c>
      <c r="M68">
        <v>20</v>
      </c>
      <c r="N68">
        <v>15</v>
      </c>
      <c r="O68">
        <v>30</v>
      </c>
      <c r="P68">
        <v>3</v>
      </c>
      <c r="Q68">
        <v>10</v>
      </c>
      <c r="R68" t="s">
        <v>1762</v>
      </c>
      <c r="S68" t="s">
        <v>1762</v>
      </c>
      <c r="T68" t="s">
        <v>1759</v>
      </c>
      <c r="V68">
        <f t="shared" si="2"/>
        <v>12</v>
      </c>
      <c r="W68">
        <v>3</v>
      </c>
      <c r="X68">
        <v>3</v>
      </c>
      <c r="Y68">
        <v>3</v>
      </c>
      <c r="Z68">
        <v>3</v>
      </c>
    </row>
    <row r="69" spans="1:26">
      <c r="A69" s="1" t="s">
        <v>1819</v>
      </c>
      <c r="B69" t="s">
        <v>51</v>
      </c>
      <c r="C69" t="s">
        <v>1820</v>
      </c>
      <c r="D69" t="s">
        <v>1656</v>
      </c>
      <c r="E69" s="14">
        <v>59</v>
      </c>
      <c r="F69">
        <v>76</v>
      </c>
      <c r="G69">
        <v>90</v>
      </c>
      <c r="H69">
        <v>0</v>
      </c>
      <c r="I69">
        <v>70</v>
      </c>
      <c r="J69">
        <v>40</v>
      </c>
      <c r="K69">
        <v>0</v>
      </c>
      <c r="L69" s="14">
        <v>65</v>
      </c>
      <c r="M69">
        <v>50</v>
      </c>
      <c r="N69">
        <v>20</v>
      </c>
      <c r="O69">
        <v>33</v>
      </c>
      <c r="P69">
        <v>3</v>
      </c>
      <c r="Q69">
        <v>20</v>
      </c>
      <c r="R69" t="s">
        <v>1762</v>
      </c>
      <c r="S69" t="s">
        <v>1762</v>
      </c>
      <c r="T69" t="s">
        <v>1716</v>
      </c>
      <c r="V69">
        <f t="shared" si="2"/>
        <v>16</v>
      </c>
      <c r="W69">
        <v>4</v>
      </c>
      <c r="X69">
        <v>4</v>
      </c>
      <c r="Y69">
        <v>4</v>
      </c>
      <c r="Z69">
        <v>4</v>
      </c>
    </row>
    <row r="70" spans="1:26">
      <c r="A70" s="1" t="s">
        <v>1821</v>
      </c>
      <c r="B70" t="s">
        <v>51</v>
      </c>
      <c r="C70" t="s">
        <v>1822</v>
      </c>
      <c r="D70" t="s">
        <v>1656</v>
      </c>
      <c r="E70" s="14">
        <v>85</v>
      </c>
      <c r="F70">
        <v>88</v>
      </c>
      <c r="G70">
        <v>110</v>
      </c>
      <c r="H70">
        <v>0</v>
      </c>
      <c r="I70">
        <v>80</v>
      </c>
      <c r="J70">
        <v>50</v>
      </c>
      <c r="K70">
        <v>0</v>
      </c>
      <c r="L70" s="14">
        <v>87</v>
      </c>
      <c r="M70">
        <v>57</v>
      </c>
      <c r="N70">
        <v>30</v>
      </c>
      <c r="O70">
        <v>33</v>
      </c>
      <c r="P70">
        <v>3</v>
      </c>
      <c r="Q70">
        <v>40</v>
      </c>
      <c r="R70" t="s">
        <v>1762</v>
      </c>
      <c r="S70" t="s">
        <v>1762</v>
      </c>
      <c r="T70" t="s">
        <v>1755</v>
      </c>
      <c r="V70">
        <f t="shared" si="2"/>
        <v>16</v>
      </c>
      <c r="W70">
        <v>4</v>
      </c>
      <c r="X70">
        <v>4</v>
      </c>
      <c r="Y70">
        <v>4</v>
      </c>
      <c r="Z70">
        <v>4</v>
      </c>
    </row>
    <row r="71" spans="1:26">
      <c r="A71" s="1" t="s">
        <v>1823</v>
      </c>
      <c r="B71" t="s">
        <v>97</v>
      </c>
      <c r="C71" t="s">
        <v>1824</v>
      </c>
      <c r="D71" t="s">
        <v>1656</v>
      </c>
      <c r="E71" s="14">
        <v>1</v>
      </c>
      <c r="F71">
        <v>15</v>
      </c>
      <c r="G71">
        <v>10</v>
      </c>
      <c r="H71">
        <v>0</v>
      </c>
      <c r="I71">
        <v>10</v>
      </c>
      <c r="J71">
        <v>10</v>
      </c>
      <c r="K71">
        <v>0</v>
      </c>
      <c r="L71" s="17">
        <v>15</v>
      </c>
      <c r="M71">
        <v>15</v>
      </c>
      <c r="N71">
        <v>5</v>
      </c>
      <c r="O71">
        <v>25</v>
      </c>
      <c r="P71">
        <v>1</v>
      </c>
      <c r="Q71" s="17">
        <v>1</v>
      </c>
      <c r="R71" t="s">
        <v>1660</v>
      </c>
      <c r="V71">
        <f t="shared" si="2"/>
        <v>0</v>
      </c>
      <c r="W71">
        <v>0</v>
      </c>
      <c r="X71">
        <v>0</v>
      </c>
      <c r="Y71">
        <v>0</v>
      </c>
      <c r="Z71">
        <v>0</v>
      </c>
    </row>
    <row r="72" spans="1:26">
      <c r="A72" s="1" t="s">
        <v>1825</v>
      </c>
      <c r="B72" t="s">
        <v>97</v>
      </c>
      <c r="C72" t="s">
        <v>1826</v>
      </c>
      <c r="D72" t="s">
        <v>1656</v>
      </c>
      <c r="E72" s="14">
        <v>20</v>
      </c>
      <c r="F72">
        <v>27</v>
      </c>
      <c r="G72">
        <v>20</v>
      </c>
      <c r="H72">
        <v>0</v>
      </c>
      <c r="I72">
        <v>20</v>
      </c>
      <c r="J72">
        <v>20</v>
      </c>
      <c r="K72">
        <v>0</v>
      </c>
      <c r="L72" s="14">
        <v>32</v>
      </c>
      <c r="M72">
        <v>32</v>
      </c>
      <c r="N72">
        <v>10</v>
      </c>
      <c r="O72">
        <v>30</v>
      </c>
      <c r="P72">
        <v>1</v>
      </c>
      <c r="Q72">
        <v>10</v>
      </c>
      <c r="R72" t="s">
        <v>1660</v>
      </c>
      <c r="V72">
        <f t="shared" si="2"/>
        <v>0</v>
      </c>
      <c r="W72">
        <v>0</v>
      </c>
      <c r="X72">
        <v>0</v>
      </c>
      <c r="Y72">
        <v>0</v>
      </c>
      <c r="Z72">
        <v>0</v>
      </c>
    </row>
    <row r="73" spans="1:26">
      <c r="A73" s="1" t="s">
        <v>1827</v>
      </c>
      <c r="B73" t="s">
        <v>97</v>
      </c>
      <c r="C73" t="s">
        <v>1828</v>
      </c>
      <c r="D73" t="s">
        <v>1656</v>
      </c>
      <c r="E73" s="14">
        <v>40</v>
      </c>
      <c r="F73">
        <v>39</v>
      </c>
      <c r="G73">
        <v>30</v>
      </c>
      <c r="H73">
        <v>0</v>
      </c>
      <c r="I73">
        <v>30</v>
      </c>
      <c r="J73">
        <v>30</v>
      </c>
      <c r="K73">
        <v>0</v>
      </c>
      <c r="L73" s="14">
        <v>49</v>
      </c>
      <c r="M73">
        <v>49</v>
      </c>
      <c r="N73">
        <v>15</v>
      </c>
      <c r="O73">
        <v>35</v>
      </c>
      <c r="P73">
        <v>1</v>
      </c>
      <c r="Q73">
        <v>20</v>
      </c>
      <c r="R73" t="s">
        <v>1675</v>
      </c>
      <c r="V73">
        <f t="shared" si="2"/>
        <v>0</v>
      </c>
      <c r="W73">
        <v>0</v>
      </c>
      <c r="X73">
        <v>0</v>
      </c>
      <c r="Y73">
        <v>0</v>
      </c>
      <c r="Z73">
        <v>0</v>
      </c>
    </row>
    <row r="74" spans="1:26">
      <c r="A74" s="1" t="s">
        <v>1829</v>
      </c>
      <c r="B74" t="s">
        <v>97</v>
      </c>
      <c r="C74" t="s">
        <v>1830</v>
      </c>
      <c r="D74" t="s">
        <v>1656</v>
      </c>
      <c r="E74" s="14">
        <v>66</v>
      </c>
      <c r="F74">
        <v>51</v>
      </c>
      <c r="G74">
        <v>40</v>
      </c>
      <c r="H74">
        <v>0</v>
      </c>
      <c r="I74">
        <v>40</v>
      </c>
      <c r="J74">
        <v>40</v>
      </c>
      <c r="K74">
        <v>0</v>
      </c>
      <c r="L74" s="17">
        <v>71</v>
      </c>
      <c r="M74">
        <v>71</v>
      </c>
      <c r="N74">
        <v>20</v>
      </c>
      <c r="O74">
        <v>35</v>
      </c>
      <c r="P74">
        <v>1</v>
      </c>
      <c r="Q74" s="17">
        <v>30</v>
      </c>
      <c r="R74" t="s">
        <v>1675</v>
      </c>
      <c r="V74">
        <f t="shared" si="2"/>
        <v>0</v>
      </c>
      <c r="W74">
        <v>0</v>
      </c>
      <c r="X74">
        <v>0</v>
      </c>
      <c r="Y74">
        <v>0</v>
      </c>
      <c r="Z74">
        <v>0</v>
      </c>
    </row>
    <row r="75" spans="1:26">
      <c r="A75" s="1" t="s">
        <v>1831</v>
      </c>
      <c r="B75" t="s">
        <v>265</v>
      </c>
      <c r="C75" t="s">
        <v>1832</v>
      </c>
      <c r="D75" t="s">
        <v>1656</v>
      </c>
      <c r="E75" s="14">
        <v>41</v>
      </c>
      <c r="F75">
        <v>27</v>
      </c>
      <c r="G75">
        <v>18</v>
      </c>
      <c r="H75">
        <v>33</v>
      </c>
      <c r="I75">
        <v>12</v>
      </c>
      <c r="J75">
        <v>10</v>
      </c>
      <c r="K75">
        <v>30</v>
      </c>
      <c r="L75" s="17">
        <v>32</v>
      </c>
      <c r="M75">
        <v>30</v>
      </c>
      <c r="N75">
        <v>8</v>
      </c>
      <c r="O75">
        <v>35</v>
      </c>
      <c r="P75">
        <v>1</v>
      </c>
      <c r="Q75" s="17">
        <v>20</v>
      </c>
      <c r="R75" t="s">
        <v>1675</v>
      </c>
      <c r="S75" t="s">
        <v>1676</v>
      </c>
      <c r="V75">
        <f t="shared" si="2"/>
        <v>0</v>
      </c>
      <c r="W75">
        <v>0</v>
      </c>
      <c r="X75">
        <v>0</v>
      </c>
      <c r="Y75">
        <v>0</v>
      </c>
      <c r="Z75">
        <v>0</v>
      </c>
    </row>
    <row r="76" spans="1:26">
      <c r="A76" s="1" t="s">
        <v>1833</v>
      </c>
      <c r="B76" t="s">
        <v>265</v>
      </c>
      <c r="C76" t="s">
        <v>1834</v>
      </c>
      <c r="D76" t="s">
        <v>1656</v>
      </c>
      <c r="E76" s="14">
        <v>59</v>
      </c>
      <c r="F76">
        <v>35</v>
      </c>
      <c r="G76">
        <v>26</v>
      </c>
      <c r="H76">
        <v>48</v>
      </c>
      <c r="I76">
        <v>24</v>
      </c>
      <c r="J76">
        <v>20</v>
      </c>
      <c r="K76">
        <v>60</v>
      </c>
      <c r="L76" s="14">
        <v>65</v>
      </c>
      <c r="M76">
        <v>60</v>
      </c>
      <c r="N76">
        <v>16</v>
      </c>
      <c r="O76">
        <v>35</v>
      </c>
      <c r="P76">
        <v>1</v>
      </c>
      <c r="Q76">
        <v>30</v>
      </c>
      <c r="R76" t="s">
        <v>1675</v>
      </c>
      <c r="S76" t="s">
        <v>1679</v>
      </c>
      <c r="T76" t="s">
        <v>1668</v>
      </c>
      <c r="V76">
        <f t="shared" si="2"/>
        <v>0</v>
      </c>
      <c r="W76">
        <v>0</v>
      </c>
      <c r="X76">
        <v>0</v>
      </c>
      <c r="Y76">
        <v>0</v>
      </c>
      <c r="Z76">
        <v>0</v>
      </c>
    </row>
    <row r="77" spans="1:26">
      <c r="A77" s="1" t="s">
        <v>1835</v>
      </c>
      <c r="B77" t="s">
        <v>265</v>
      </c>
      <c r="C77" t="s">
        <v>1836</v>
      </c>
      <c r="D77" t="s">
        <v>1656</v>
      </c>
      <c r="E77" s="14">
        <v>77</v>
      </c>
      <c r="F77">
        <v>43</v>
      </c>
      <c r="G77">
        <v>34</v>
      </c>
      <c r="H77">
        <v>72</v>
      </c>
      <c r="I77">
        <v>36</v>
      </c>
      <c r="J77">
        <v>30</v>
      </c>
      <c r="K77">
        <v>90</v>
      </c>
      <c r="L77" s="14">
        <v>80</v>
      </c>
      <c r="M77">
        <v>75</v>
      </c>
      <c r="N77">
        <v>25</v>
      </c>
      <c r="O77">
        <v>35</v>
      </c>
      <c r="P77">
        <v>2</v>
      </c>
      <c r="Q77">
        <v>40</v>
      </c>
      <c r="R77" t="s">
        <v>1731</v>
      </c>
      <c r="S77" t="s">
        <v>1837</v>
      </c>
      <c r="T77" t="s">
        <v>1657</v>
      </c>
      <c r="U77" t="s">
        <v>1838</v>
      </c>
      <c r="V77">
        <f t="shared" si="2"/>
        <v>0</v>
      </c>
      <c r="W77">
        <v>0</v>
      </c>
      <c r="X77">
        <v>0</v>
      </c>
      <c r="Y77">
        <v>0</v>
      </c>
      <c r="Z77">
        <v>0</v>
      </c>
    </row>
    <row r="78" spans="1:26">
      <c r="A78" s="1" t="s">
        <v>1839</v>
      </c>
      <c r="B78" t="s">
        <v>265</v>
      </c>
      <c r="C78" t="s">
        <v>1840</v>
      </c>
      <c r="D78" t="s">
        <v>1656</v>
      </c>
      <c r="E78" s="14">
        <v>89</v>
      </c>
      <c r="F78">
        <v>52</v>
      </c>
      <c r="G78">
        <v>42</v>
      </c>
      <c r="H78">
        <v>83</v>
      </c>
      <c r="I78">
        <v>48</v>
      </c>
      <c r="J78">
        <v>40</v>
      </c>
      <c r="K78">
        <v>100</v>
      </c>
      <c r="L78" s="14">
        <v>90</v>
      </c>
      <c r="M78">
        <v>82</v>
      </c>
      <c r="N78">
        <v>30</v>
      </c>
      <c r="O78">
        <v>35</v>
      </c>
      <c r="P78">
        <v>2</v>
      </c>
      <c r="Q78">
        <v>50</v>
      </c>
      <c r="R78" t="s">
        <v>1731</v>
      </c>
      <c r="S78" t="s">
        <v>1837</v>
      </c>
      <c r="T78" t="s">
        <v>1841</v>
      </c>
      <c r="U78" t="s">
        <v>1838</v>
      </c>
      <c r="V78">
        <f t="shared" si="2"/>
        <v>0</v>
      </c>
      <c r="W78">
        <v>0</v>
      </c>
      <c r="X78">
        <v>0</v>
      </c>
      <c r="Y78">
        <v>0</v>
      </c>
      <c r="Z78">
        <v>0</v>
      </c>
    </row>
    <row r="79" spans="1:26">
      <c r="A79" s="1" t="s">
        <v>1842</v>
      </c>
      <c r="B79" t="s">
        <v>87</v>
      </c>
      <c r="C79" t="s">
        <v>1843</v>
      </c>
      <c r="D79" t="s">
        <v>1656</v>
      </c>
      <c r="E79" s="14">
        <v>42</v>
      </c>
      <c r="F79">
        <v>34</v>
      </c>
      <c r="G79">
        <v>0</v>
      </c>
      <c r="H79">
        <v>76</v>
      </c>
      <c r="I79">
        <v>30</v>
      </c>
      <c r="J79">
        <v>0</v>
      </c>
      <c r="K79">
        <v>0</v>
      </c>
      <c r="L79" s="14">
        <v>51</v>
      </c>
      <c r="M79">
        <v>10</v>
      </c>
      <c r="N79">
        <v>10</v>
      </c>
      <c r="O79">
        <v>18</v>
      </c>
      <c r="P79">
        <v>1</v>
      </c>
      <c r="Q79">
        <v>20</v>
      </c>
      <c r="R79" t="s">
        <v>1663</v>
      </c>
      <c r="S79" t="s">
        <v>1663</v>
      </c>
      <c r="T79" t="s">
        <v>1663</v>
      </c>
      <c r="V79">
        <f t="shared" si="2"/>
        <v>0</v>
      </c>
      <c r="W79">
        <v>0</v>
      </c>
      <c r="X79">
        <v>0</v>
      </c>
      <c r="Y79">
        <v>0</v>
      </c>
      <c r="Z79">
        <v>0</v>
      </c>
    </row>
    <row r="80" spans="1:26">
      <c r="A80" s="1" t="s">
        <v>1844</v>
      </c>
      <c r="B80" t="s">
        <v>87</v>
      </c>
      <c r="C80" t="s">
        <v>1845</v>
      </c>
      <c r="D80" t="s">
        <v>1656</v>
      </c>
      <c r="E80" s="14">
        <v>61</v>
      </c>
      <c r="F80">
        <v>40</v>
      </c>
      <c r="G80">
        <v>0</v>
      </c>
      <c r="H80">
        <v>91</v>
      </c>
      <c r="I80">
        <v>34</v>
      </c>
      <c r="J80">
        <v>0</v>
      </c>
      <c r="K80">
        <v>0</v>
      </c>
      <c r="L80" s="14">
        <v>67</v>
      </c>
      <c r="M80">
        <v>10</v>
      </c>
      <c r="N80">
        <v>10</v>
      </c>
      <c r="O80">
        <v>20</v>
      </c>
      <c r="P80">
        <v>1</v>
      </c>
      <c r="Q80">
        <v>30</v>
      </c>
      <c r="R80" t="s">
        <v>1679</v>
      </c>
      <c r="S80" t="s">
        <v>1663</v>
      </c>
      <c r="T80" t="s">
        <v>1663</v>
      </c>
      <c r="V80">
        <f t="shared" si="2"/>
        <v>0</v>
      </c>
      <c r="W80">
        <v>0</v>
      </c>
      <c r="X80">
        <v>0</v>
      </c>
      <c r="Y80">
        <v>0</v>
      </c>
      <c r="Z80">
        <v>0</v>
      </c>
    </row>
    <row r="81" spans="1:26">
      <c r="A81" s="1" t="s">
        <v>1846</v>
      </c>
      <c r="B81" t="s">
        <v>87</v>
      </c>
      <c r="C81" t="s">
        <v>1847</v>
      </c>
      <c r="D81" t="s">
        <v>1656</v>
      </c>
      <c r="E81" s="14">
        <v>75</v>
      </c>
      <c r="F81">
        <v>48</v>
      </c>
      <c r="G81">
        <v>0</v>
      </c>
      <c r="H81">
        <v>112</v>
      </c>
      <c r="I81">
        <v>40</v>
      </c>
      <c r="J81">
        <v>0</v>
      </c>
      <c r="K81">
        <v>0</v>
      </c>
      <c r="L81" s="14">
        <v>78</v>
      </c>
      <c r="M81">
        <v>10</v>
      </c>
      <c r="N81">
        <v>12</v>
      </c>
      <c r="O81">
        <v>22</v>
      </c>
      <c r="P81">
        <v>1</v>
      </c>
      <c r="Q81">
        <v>40</v>
      </c>
      <c r="R81" t="s">
        <v>1679</v>
      </c>
      <c r="S81" t="s">
        <v>1679</v>
      </c>
      <c r="T81" t="s">
        <v>1663</v>
      </c>
      <c r="V81">
        <f t="shared" si="2"/>
        <v>0</v>
      </c>
      <c r="W81">
        <v>0</v>
      </c>
      <c r="X81">
        <v>0</v>
      </c>
      <c r="Y81">
        <v>0</v>
      </c>
      <c r="Z81">
        <v>0</v>
      </c>
    </row>
    <row r="82" spans="1:26">
      <c r="A82" s="1" t="s">
        <v>1848</v>
      </c>
      <c r="B82" t="s">
        <v>87</v>
      </c>
      <c r="C82" t="s">
        <v>1849</v>
      </c>
      <c r="D82" t="s">
        <v>1656</v>
      </c>
      <c r="E82" s="14">
        <v>89</v>
      </c>
      <c r="F82">
        <v>56</v>
      </c>
      <c r="G82">
        <v>0</v>
      </c>
      <c r="H82">
        <v>135</v>
      </c>
      <c r="I82">
        <v>46</v>
      </c>
      <c r="J82">
        <v>0</v>
      </c>
      <c r="K82">
        <v>0</v>
      </c>
      <c r="L82" s="14">
        <v>90</v>
      </c>
      <c r="M82">
        <v>10</v>
      </c>
      <c r="N82">
        <v>15</v>
      </c>
      <c r="O82">
        <v>25</v>
      </c>
      <c r="P82">
        <v>1</v>
      </c>
      <c r="Q82">
        <v>50</v>
      </c>
      <c r="R82" t="s">
        <v>1679</v>
      </c>
      <c r="S82" t="s">
        <v>1679</v>
      </c>
      <c r="T82" t="s">
        <v>1679</v>
      </c>
      <c r="V82">
        <f t="shared" si="2"/>
        <v>0</v>
      </c>
      <c r="W82">
        <v>0</v>
      </c>
      <c r="X82">
        <v>0</v>
      </c>
      <c r="Y82">
        <v>0</v>
      </c>
      <c r="Z82">
        <v>0</v>
      </c>
    </row>
    <row r="83" spans="1:26">
      <c r="A83" s="1" t="s">
        <v>1850</v>
      </c>
      <c r="B83" t="s">
        <v>29</v>
      </c>
      <c r="C83" t="s">
        <v>1851</v>
      </c>
      <c r="D83" t="s">
        <v>1656</v>
      </c>
      <c r="E83" s="14">
        <v>20</v>
      </c>
      <c r="F83">
        <v>88</v>
      </c>
      <c r="G83">
        <v>32</v>
      </c>
      <c r="H83">
        <v>0</v>
      </c>
      <c r="I83">
        <v>66</v>
      </c>
      <c r="J83">
        <v>30</v>
      </c>
      <c r="K83">
        <v>0</v>
      </c>
      <c r="L83" s="17">
        <v>43</v>
      </c>
      <c r="M83">
        <v>40</v>
      </c>
      <c r="N83">
        <v>40</v>
      </c>
      <c r="O83">
        <v>32</v>
      </c>
      <c r="P83">
        <v>1</v>
      </c>
      <c r="Q83" s="17">
        <v>20</v>
      </c>
      <c r="R83" t="s">
        <v>1705</v>
      </c>
      <c r="S83" t="s">
        <v>1701</v>
      </c>
      <c r="T83" t="s">
        <v>1701</v>
      </c>
      <c r="V83">
        <f t="shared" si="2"/>
        <v>81</v>
      </c>
      <c r="W83">
        <v>27</v>
      </c>
      <c r="X83">
        <v>27</v>
      </c>
      <c r="Y83">
        <v>27</v>
      </c>
      <c r="Z83">
        <v>0</v>
      </c>
    </row>
    <row r="84" spans="1:26">
      <c r="A84" s="1" t="s">
        <v>1852</v>
      </c>
      <c r="B84" t="s">
        <v>29</v>
      </c>
      <c r="C84" t="s">
        <v>1853</v>
      </c>
      <c r="D84" t="s">
        <v>1656</v>
      </c>
      <c r="E84" s="14">
        <v>36</v>
      </c>
      <c r="F84">
        <v>111</v>
      </c>
      <c r="G84">
        <v>38</v>
      </c>
      <c r="H84">
        <v>0</v>
      </c>
      <c r="I84">
        <v>84</v>
      </c>
      <c r="J84">
        <v>50</v>
      </c>
      <c r="K84">
        <v>0</v>
      </c>
      <c r="L84" s="17">
        <v>55</v>
      </c>
      <c r="M84">
        <v>45</v>
      </c>
      <c r="N84">
        <v>50</v>
      </c>
      <c r="O84">
        <v>32</v>
      </c>
      <c r="P84">
        <v>1</v>
      </c>
      <c r="Q84" s="17">
        <v>30</v>
      </c>
      <c r="R84" t="s">
        <v>1705</v>
      </c>
      <c r="S84" t="s">
        <v>1707</v>
      </c>
      <c r="T84" t="s">
        <v>1701</v>
      </c>
      <c r="V84">
        <f t="shared" si="2"/>
        <v>90</v>
      </c>
      <c r="W84">
        <v>30</v>
      </c>
      <c r="X84">
        <v>30</v>
      </c>
      <c r="Y84">
        <v>30</v>
      </c>
      <c r="Z84">
        <v>0</v>
      </c>
    </row>
    <row r="85" spans="1:26">
      <c r="A85" s="1" t="s">
        <v>1854</v>
      </c>
      <c r="B85" t="s">
        <v>29</v>
      </c>
      <c r="C85" t="s">
        <v>1855</v>
      </c>
      <c r="D85" t="s">
        <v>1656</v>
      </c>
      <c r="E85" s="14">
        <v>61</v>
      </c>
      <c r="F85">
        <v>136</v>
      </c>
      <c r="G85">
        <v>44</v>
      </c>
      <c r="H85">
        <v>0</v>
      </c>
      <c r="I85">
        <v>100</v>
      </c>
      <c r="J85">
        <v>65</v>
      </c>
      <c r="K85">
        <v>0</v>
      </c>
      <c r="L85" s="14">
        <v>67</v>
      </c>
      <c r="M85">
        <v>50</v>
      </c>
      <c r="N85">
        <v>55</v>
      </c>
      <c r="O85">
        <v>32</v>
      </c>
      <c r="P85">
        <v>1</v>
      </c>
      <c r="Q85">
        <v>40</v>
      </c>
      <c r="R85" t="s">
        <v>1705</v>
      </c>
      <c r="S85" t="s">
        <v>1705</v>
      </c>
      <c r="T85" t="s">
        <v>1707</v>
      </c>
      <c r="U85" t="s">
        <v>1707</v>
      </c>
      <c r="V85">
        <f t="shared" si="2"/>
        <v>96</v>
      </c>
      <c r="W85">
        <v>32</v>
      </c>
      <c r="X85">
        <v>32</v>
      </c>
      <c r="Y85">
        <v>32</v>
      </c>
      <c r="Z85">
        <v>0</v>
      </c>
    </row>
    <row r="86" spans="1:26">
      <c r="A86" s="1" t="s">
        <v>1856</v>
      </c>
      <c r="B86" t="s">
        <v>29</v>
      </c>
      <c r="C86" t="s">
        <v>1857</v>
      </c>
      <c r="D86" t="s">
        <v>1656</v>
      </c>
      <c r="E86" s="14">
        <v>76</v>
      </c>
      <c r="F86">
        <v>166</v>
      </c>
      <c r="G86">
        <v>52</v>
      </c>
      <c r="H86">
        <v>0</v>
      </c>
      <c r="I86">
        <v>120</v>
      </c>
      <c r="J86">
        <v>80</v>
      </c>
      <c r="K86">
        <v>0</v>
      </c>
      <c r="L86" s="14">
        <v>79</v>
      </c>
      <c r="M86">
        <v>55</v>
      </c>
      <c r="N86">
        <v>60</v>
      </c>
      <c r="O86">
        <v>32</v>
      </c>
      <c r="P86">
        <v>1</v>
      </c>
      <c r="Q86">
        <v>50</v>
      </c>
      <c r="R86" t="s">
        <v>1712</v>
      </c>
      <c r="S86" t="s">
        <v>1705</v>
      </c>
      <c r="T86" t="s">
        <v>1707</v>
      </c>
      <c r="U86" t="s">
        <v>1707</v>
      </c>
      <c r="V86">
        <f t="shared" si="2"/>
        <v>144</v>
      </c>
      <c r="W86">
        <v>36</v>
      </c>
      <c r="X86">
        <v>36</v>
      </c>
      <c r="Y86">
        <v>36</v>
      </c>
      <c r="Z86">
        <v>36</v>
      </c>
    </row>
    <row r="87" spans="1:26">
      <c r="A87" s="1" t="s">
        <v>1858</v>
      </c>
      <c r="B87" t="s">
        <v>37</v>
      </c>
      <c r="C87" t="s">
        <v>1859</v>
      </c>
      <c r="D87" t="s">
        <v>1656</v>
      </c>
      <c r="E87" s="14">
        <v>42</v>
      </c>
      <c r="F87">
        <v>75</v>
      </c>
      <c r="G87">
        <v>71</v>
      </c>
      <c r="H87">
        <v>0</v>
      </c>
      <c r="I87">
        <v>80</v>
      </c>
      <c r="J87">
        <v>40</v>
      </c>
      <c r="K87">
        <v>0</v>
      </c>
      <c r="L87" s="14">
        <v>51</v>
      </c>
      <c r="M87">
        <v>45</v>
      </c>
      <c r="N87">
        <v>30</v>
      </c>
      <c r="O87">
        <v>30</v>
      </c>
      <c r="P87">
        <v>3</v>
      </c>
      <c r="Q87">
        <v>20</v>
      </c>
      <c r="R87" t="s">
        <v>1762</v>
      </c>
      <c r="S87" t="s">
        <v>1758</v>
      </c>
      <c r="T87" t="s">
        <v>1759</v>
      </c>
      <c r="V87">
        <f t="shared" si="2"/>
        <v>9</v>
      </c>
      <c r="W87">
        <v>3</v>
      </c>
      <c r="X87">
        <v>3</v>
      </c>
      <c r="Y87">
        <v>3</v>
      </c>
      <c r="Z87">
        <v>0</v>
      </c>
    </row>
    <row r="88" spans="1:26">
      <c r="A88" s="1" t="s">
        <v>1860</v>
      </c>
      <c r="B88" t="s">
        <v>37</v>
      </c>
      <c r="C88" t="s">
        <v>1861</v>
      </c>
      <c r="D88" t="s">
        <v>1656</v>
      </c>
      <c r="E88" s="14">
        <v>59</v>
      </c>
      <c r="F88">
        <v>88</v>
      </c>
      <c r="G88">
        <v>82</v>
      </c>
      <c r="H88">
        <v>0</v>
      </c>
      <c r="I88">
        <v>95</v>
      </c>
      <c r="J88">
        <v>50</v>
      </c>
      <c r="K88">
        <v>0</v>
      </c>
      <c r="L88" s="14">
        <v>65</v>
      </c>
      <c r="M88">
        <v>55</v>
      </c>
      <c r="N88">
        <v>35</v>
      </c>
      <c r="O88">
        <v>33</v>
      </c>
      <c r="P88">
        <v>3</v>
      </c>
      <c r="Q88">
        <v>30</v>
      </c>
      <c r="R88" t="s">
        <v>1762</v>
      </c>
      <c r="S88" t="s">
        <v>1758</v>
      </c>
      <c r="T88" t="s">
        <v>1759</v>
      </c>
      <c r="V88">
        <f t="shared" si="2"/>
        <v>9</v>
      </c>
      <c r="W88">
        <v>3</v>
      </c>
      <c r="X88">
        <v>3</v>
      </c>
      <c r="Y88">
        <v>3</v>
      </c>
      <c r="Z88">
        <v>0</v>
      </c>
    </row>
    <row r="89" spans="1:26">
      <c r="A89" s="1" t="s">
        <v>1862</v>
      </c>
      <c r="B89" t="s">
        <v>37</v>
      </c>
      <c r="C89" t="s">
        <v>1863</v>
      </c>
      <c r="D89" t="s">
        <v>1656</v>
      </c>
      <c r="E89" s="14">
        <v>77</v>
      </c>
      <c r="F89">
        <v>100</v>
      </c>
      <c r="G89">
        <v>93</v>
      </c>
      <c r="H89">
        <v>0</v>
      </c>
      <c r="I89">
        <v>105</v>
      </c>
      <c r="J89">
        <v>55</v>
      </c>
      <c r="K89">
        <v>0</v>
      </c>
      <c r="L89" s="14">
        <v>80</v>
      </c>
      <c r="M89">
        <v>65</v>
      </c>
      <c r="N89">
        <v>40</v>
      </c>
      <c r="O89">
        <v>36</v>
      </c>
      <c r="P89">
        <v>3</v>
      </c>
      <c r="Q89">
        <v>40</v>
      </c>
      <c r="R89" t="s">
        <v>1762</v>
      </c>
      <c r="S89" t="s">
        <v>1762</v>
      </c>
      <c r="T89" t="s">
        <v>1716</v>
      </c>
      <c r="V89">
        <f t="shared" si="2"/>
        <v>12</v>
      </c>
      <c r="W89">
        <v>3</v>
      </c>
      <c r="X89">
        <v>3</v>
      </c>
      <c r="Y89">
        <v>3</v>
      </c>
      <c r="Z89">
        <v>3</v>
      </c>
    </row>
    <row r="90" spans="1:26">
      <c r="A90" s="1" t="s">
        <v>1864</v>
      </c>
      <c r="B90" t="s">
        <v>37</v>
      </c>
      <c r="C90" t="s">
        <v>1865</v>
      </c>
      <c r="D90" t="s">
        <v>1656</v>
      </c>
      <c r="E90" s="14">
        <v>92</v>
      </c>
      <c r="F90">
        <v>125</v>
      </c>
      <c r="G90">
        <v>110</v>
      </c>
      <c r="H90">
        <v>0</v>
      </c>
      <c r="I90">
        <v>116</v>
      </c>
      <c r="J90">
        <v>66</v>
      </c>
      <c r="K90">
        <v>0</v>
      </c>
      <c r="L90" s="14">
        <v>93</v>
      </c>
      <c r="M90">
        <v>75</v>
      </c>
      <c r="N90">
        <v>45</v>
      </c>
      <c r="O90">
        <v>40</v>
      </c>
      <c r="P90">
        <v>3</v>
      </c>
      <c r="Q90">
        <v>50</v>
      </c>
      <c r="R90" t="s">
        <v>1762</v>
      </c>
      <c r="S90" t="s">
        <v>1762</v>
      </c>
      <c r="T90" t="s">
        <v>1716</v>
      </c>
      <c r="V90">
        <f t="shared" si="2"/>
        <v>20</v>
      </c>
      <c r="W90">
        <v>5</v>
      </c>
      <c r="X90">
        <v>5</v>
      </c>
      <c r="Y90">
        <v>5</v>
      </c>
      <c r="Z90">
        <v>5</v>
      </c>
    </row>
    <row r="91" spans="1:26">
      <c r="A91" s="1" t="s">
        <v>1866</v>
      </c>
      <c r="B91" t="s">
        <v>84</v>
      </c>
      <c r="C91" t="s">
        <v>1867</v>
      </c>
      <c r="D91" t="s">
        <v>1656</v>
      </c>
      <c r="E91" s="14">
        <v>41</v>
      </c>
      <c r="F91">
        <v>71</v>
      </c>
      <c r="G91">
        <v>58</v>
      </c>
      <c r="H91">
        <v>37</v>
      </c>
      <c r="I91">
        <v>65</v>
      </c>
      <c r="J91">
        <v>20</v>
      </c>
      <c r="K91">
        <v>0</v>
      </c>
      <c r="L91" s="14">
        <v>50</v>
      </c>
      <c r="M91">
        <v>40</v>
      </c>
      <c r="N91">
        <v>15</v>
      </c>
      <c r="O91">
        <v>30</v>
      </c>
      <c r="P91">
        <v>2</v>
      </c>
      <c r="Q91">
        <v>20</v>
      </c>
      <c r="R91" t="s">
        <v>1748</v>
      </c>
      <c r="S91" t="s">
        <v>1715</v>
      </c>
      <c r="T91" t="s">
        <v>1663</v>
      </c>
      <c r="U91" t="s">
        <v>1716</v>
      </c>
      <c r="V91">
        <f t="shared" si="2"/>
        <v>9</v>
      </c>
      <c r="W91">
        <v>3</v>
      </c>
      <c r="X91">
        <v>3</v>
      </c>
      <c r="Y91">
        <v>3</v>
      </c>
      <c r="Z91">
        <v>0</v>
      </c>
    </row>
    <row r="92" spans="1:26">
      <c r="A92" s="1" t="s">
        <v>1868</v>
      </c>
      <c r="B92" t="s">
        <v>84</v>
      </c>
      <c r="C92" t="s">
        <v>1869</v>
      </c>
      <c r="D92" t="s">
        <v>1656</v>
      </c>
      <c r="E92" s="14">
        <v>54</v>
      </c>
      <c r="F92">
        <v>77</v>
      </c>
      <c r="G92">
        <v>69</v>
      </c>
      <c r="H92">
        <v>50</v>
      </c>
      <c r="I92">
        <v>72</v>
      </c>
      <c r="J92">
        <v>28</v>
      </c>
      <c r="K92">
        <v>0</v>
      </c>
      <c r="L92" s="14">
        <v>61</v>
      </c>
      <c r="M92">
        <v>50</v>
      </c>
      <c r="N92">
        <v>20</v>
      </c>
      <c r="O92">
        <v>30</v>
      </c>
      <c r="P92">
        <v>2</v>
      </c>
      <c r="Q92">
        <v>30</v>
      </c>
      <c r="R92" t="s">
        <v>1748</v>
      </c>
      <c r="S92" t="s">
        <v>1715</v>
      </c>
      <c r="T92" t="s">
        <v>1663</v>
      </c>
      <c r="U92" t="s">
        <v>1716</v>
      </c>
      <c r="V92">
        <f t="shared" si="2"/>
        <v>9</v>
      </c>
      <c r="W92">
        <v>3</v>
      </c>
      <c r="X92">
        <v>3</v>
      </c>
      <c r="Y92">
        <v>3</v>
      </c>
      <c r="Z92">
        <v>0</v>
      </c>
    </row>
    <row r="93" spans="1:26">
      <c r="A93" s="1" t="s">
        <v>1870</v>
      </c>
      <c r="B93" t="s">
        <v>84</v>
      </c>
      <c r="C93" t="s">
        <v>1871</v>
      </c>
      <c r="D93" t="s">
        <v>1656</v>
      </c>
      <c r="E93" s="14">
        <v>72</v>
      </c>
      <c r="F93">
        <v>82</v>
      </c>
      <c r="G93">
        <v>77</v>
      </c>
      <c r="H93">
        <v>66</v>
      </c>
      <c r="I93">
        <v>78</v>
      </c>
      <c r="J93">
        <v>38</v>
      </c>
      <c r="K93">
        <v>0</v>
      </c>
      <c r="L93" s="14">
        <v>76</v>
      </c>
      <c r="M93">
        <v>55</v>
      </c>
      <c r="N93">
        <v>25</v>
      </c>
      <c r="O93">
        <v>35</v>
      </c>
      <c r="P93">
        <v>2</v>
      </c>
      <c r="Q93">
        <v>40</v>
      </c>
      <c r="R93" t="s">
        <v>1748</v>
      </c>
      <c r="S93" t="s">
        <v>1715</v>
      </c>
      <c r="T93" t="s">
        <v>1663</v>
      </c>
      <c r="U93" t="s">
        <v>1716</v>
      </c>
      <c r="V93">
        <f t="shared" si="2"/>
        <v>12</v>
      </c>
      <c r="W93">
        <v>3</v>
      </c>
      <c r="X93">
        <v>3</v>
      </c>
      <c r="Y93">
        <v>3</v>
      </c>
      <c r="Z93">
        <v>3</v>
      </c>
    </row>
    <row r="94" spans="1:26">
      <c r="A94" s="1" t="s">
        <v>1872</v>
      </c>
      <c r="B94" t="s">
        <v>84</v>
      </c>
      <c r="C94" t="s">
        <v>1873</v>
      </c>
      <c r="D94" t="s">
        <v>1656</v>
      </c>
      <c r="E94" s="14">
        <v>86</v>
      </c>
      <c r="F94">
        <v>90</v>
      </c>
      <c r="G94">
        <v>89</v>
      </c>
      <c r="H94">
        <v>87</v>
      </c>
      <c r="I94">
        <v>85</v>
      </c>
      <c r="J94">
        <v>48</v>
      </c>
      <c r="K94">
        <v>0</v>
      </c>
      <c r="L94" s="14">
        <v>88</v>
      </c>
      <c r="M94">
        <v>60</v>
      </c>
      <c r="N94">
        <v>30</v>
      </c>
      <c r="O94">
        <v>35</v>
      </c>
      <c r="P94">
        <v>2</v>
      </c>
      <c r="Q94">
        <v>50</v>
      </c>
      <c r="R94" t="s">
        <v>1748</v>
      </c>
      <c r="S94" t="s">
        <v>1715</v>
      </c>
      <c r="T94" t="s">
        <v>1679</v>
      </c>
      <c r="U94" t="s">
        <v>1716</v>
      </c>
      <c r="V94">
        <f t="shared" si="2"/>
        <v>16</v>
      </c>
      <c r="W94">
        <v>4</v>
      </c>
      <c r="X94">
        <v>4</v>
      </c>
      <c r="Y94">
        <v>4</v>
      </c>
      <c r="Z94">
        <v>4</v>
      </c>
    </row>
    <row r="95" spans="1:26">
      <c r="A95" s="1" t="s">
        <v>1874</v>
      </c>
      <c r="B95" t="s">
        <v>131</v>
      </c>
      <c r="C95" t="s">
        <v>1875</v>
      </c>
      <c r="D95" t="s">
        <v>1656</v>
      </c>
      <c r="E95" s="14">
        <v>42</v>
      </c>
      <c r="F95">
        <v>52</v>
      </c>
      <c r="G95">
        <v>45</v>
      </c>
      <c r="H95">
        <v>78</v>
      </c>
      <c r="I95">
        <v>35</v>
      </c>
      <c r="J95">
        <v>20</v>
      </c>
      <c r="K95">
        <v>60</v>
      </c>
      <c r="L95" s="14">
        <v>51</v>
      </c>
      <c r="M95">
        <v>45</v>
      </c>
      <c r="N95">
        <v>36</v>
      </c>
      <c r="O95">
        <v>30</v>
      </c>
      <c r="P95">
        <v>2</v>
      </c>
      <c r="Q95">
        <v>20</v>
      </c>
      <c r="R95" t="s">
        <v>1731</v>
      </c>
      <c r="S95" t="s">
        <v>1668</v>
      </c>
      <c r="T95" t="s">
        <v>1716</v>
      </c>
      <c r="V95">
        <f t="shared" si="2"/>
        <v>2</v>
      </c>
      <c r="W95">
        <v>1</v>
      </c>
      <c r="X95">
        <v>1</v>
      </c>
      <c r="Y95">
        <v>0</v>
      </c>
      <c r="Z95">
        <v>0</v>
      </c>
    </row>
    <row r="96" spans="1:26">
      <c r="A96" s="1" t="s">
        <v>1876</v>
      </c>
      <c r="B96" t="s">
        <v>131</v>
      </c>
      <c r="C96" t="s">
        <v>1877</v>
      </c>
      <c r="D96" t="s">
        <v>1656</v>
      </c>
      <c r="E96" s="14">
        <v>63</v>
      </c>
      <c r="F96">
        <v>58</v>
      </c>
      <c r="G96">
        <v>52</v>
      </c>
      <c r="H96">
        <v>85</v>
      </c>
      <c r="I96">
        <v>41</v>
      </c>
      <c r="J96">
        <v>32</v>
      </c>
      <c r="K96">
        <v>75</v>
      </c>
      <c r="L96" s="14">
        <v>68</v>
      </c>
      <c r="M96">
        <v>50</v>
      </c>
      <c r="N96">
        <v>44</v>
      </c>
      <c r="O96">
        <v>30</v>
      </c>
      <c r="P96">
        <v>2</v>
      </c>
      <c r="Q96">
        <v>30</v>
      </c>
      <c r="R96" t="s">
        <v>1731</v>
      </c>
      <c r="S96" t="s">
        <v>1668</v>
      </c>
      <c r="T96" t="s">
        <v>1716</v>
      </c>
      <c r="V96">
        <f t="shared" si="2"/>
        <v>2</v>
      </c>
      <c r="W96">
        <v>1</v>
      </c>
      <c r="X96">
        <v>1</v>
      </c>
      <c r="Y96">
        <v>0</v>
      </c>
      <c r="Z96">
        <v>0</v>
      </c>
    </row>
    <row r="97" spans="1:26">
      <c r="A97" s="1" t="s">
        <v>1878</v>
      </c>
      <c r="B97" t="s">
        <v>131</v>
      </c>
      <c r="C97" t="s">
        <v>1879</v>
      </c>
      <c r="D97" t="s">
        <v>1656</v>
      </c>
      <c r="E97" s="14">
        <v>73</v>
      </c>
      <c r="F97">
        <v>64</v>
      </c>
      <c r="G97">
        <v>58</v>
      </c>
      <c r="H97">
        <v>90</v>
      </c>
      <c r="I97">
        <v>47</v>
      </c>
      <c r="J97">
        <v>37</v>
      </c>
      <c r="K97">
        <v>90</v>
      </c>
      <c r="L97" s="14">
        <v>77</v>
      </c>
      <c r="M97">
        <v>55</v>
      </c>
      <c r="N97">
        <v>52</v>
      </c>
      <c r="O97">
        <v>36</v>
      </c>
      <c r="P97">
        <v>2</v>
      </c>
      <c r="Q97">
        <v>40</v>
      </c>
      <c r="R97" t="s">
        <v>1731</v>
      </c>
      <c r="S97" t="s">
        <v>1838</v>
      </c>
      <c r="T97" t="s">
        <v>1667</v>
      </c>
      <c r="U97" t="s">
        <v>1663</v>
      </c>
      <c r="V97">
        <f t="shared" si="2"/>
        <v>8</v>
      </c>
      <c r="W97">
        <v>2</v>
      </c>
      <c r="X97">
        <v>2</v>
      </c>
      <c r="Y97">
        <v>2</v>
      </c>
      <c r="Z97">
        <v>2</v>
      </c>
    </row>
    <row r="98" spans="1:26">
      <c r="A98" s="1" t="s">
        <v>1880</v>
      </c>
      <c r="B98" t="s">
        <v>131</v>
      </c>
      <c r="C98" t="s">
        <v>1881</v>
      </c>
      <c r="D98" t="s">
        <v>1656</v>
      </c>
      <c r="E98" s="14">
        <v>85</v>
      </c>
      <c r="F98">
        <v>72</v>
      </c>
      <c r="G98">
        <v>66</v>
      </c>
      <c r="H98">
        <v>96</v>
      </c>
      <c r="I98">
        <v>55</v>
      </c>
      <c r="J98">
        <v>42</v>
      </c>
      <c r="K98">
        <v>105</v>
      </c>
      <c r="L98" s="14">
        <v>87</v>
      </c>
      <c r="M98">
        <v>60</v>
      </c>
      <c r="N98">
        <v>62</v>
      </c>
      <c r="O98">
        <v>36</v>
      </c>
      <c r="P98">
        <v>2</v>
      </c>
      <c r="Q98">
        <v>50</v>
      </c>
      <c r="R98" t="s">
        <v>1731</v>
      </c>
      <c r="S98" t="s">
        <v>1838</v>
      </c>
      <c r="T98" t="s">
        <v>1672</v>
      </c>
      <c r="U98" t="s">
        <v>1679</v>
      </c>
      <c r="V98">
        <f t="shared" ref="V98" si="3">SUM(W98:Z98)</f>
        <v>8</v>
      </c>
      <c r="W98">
        <v>2</v>
      </c>
      <c r="X98">
        <v>2</v>
      </c>
      <c r="Y98">
        <v>2</v>
      </c>
      <c r="Z98">
        <v>2</v>
      </c>
    </row>
    <row r="99" spans="1:30">
      <c r="A99" s="1" t="s">
        <v>1882</v>
      </c>
      <c r="B99" t="s">
        <v>1883</v>
      </c>
      <c r="C99" t="s">
        <v>1884</v>
      </c>
      <c r="D99" t="s">
        <v>1656</v>
      </c>
      <c r="E99">
        <v>100</v>
      </c>
      <c r="F99">
        <v>999</v>
      </c>
      <c r="G99">
        <v>200</v>
      </c>
      <c r="H99">
        <v>100</v>
      </c>
      <c r="I99">
        <v>150</v>
      </c>
      <c r="J99">
        <v>100</v>
      </c>
      <c r="K99">
        <v>100</v>
      </c>
      <c r="L99" s="17">
        <v>172</v>
      </c>
      <c r="M99">
        <v>120</v>
      </c>
      <c r="N99">
        <v>1004</v>
      </c>
      <c r="O99">
        <v>45</v>
      </c>
      <c r="P99">
        <v>4</v>
      </c>
      <c r="Q99" s="17">
        <v>80</v>
      </c>
      <c r="R99" t="s">
        <v>1762</v>
      </c>
      <c r="S99" t="s">
        <v>1885</v>
      </c>
      <c r="T99" t="s">
        <v>1778</v>
      </c>
      <c r="U99" t="s">
        <v>1886</v>
      </c>
      <c r="V99">
        <f>SUM($W99:$Z99)</f>
        <v>400</v>
      </c>
      <c r="W99">
        <v>100</v>
      </c>
      <c r="X99">
        <v>100</v>
      </c>
      <c r="Y99">
        <v>100</v>
      </c>
      <c r="Z99">
        <v>100</v>
      </c>
      <c r="AA99" s="1"/>
      <c r="AD99" t="s">
        <v>1887</v>
      </c>
    </row>
    <row r="100" spans="1:30">
      <c r="A100" s="1" t="s">
        <v>1888</v>
      </c>
      <c r="B100" t="s">
        <v>1883</v>
      </c>
      <c r="C100" t="s">
        <v>1889</v>
      </c>
      <c r="D100" t="s">
        <v>1656</v>
      </c>
      <c r="E100">
        <v>100</v>
      </c>
      <c r="F100">
        <v>999</v>
      </c>
      <c r="G100">
        <v>200</v>
      </c>
      <c r="H100">
        <v>100</v>
      </c>
      <c r="I100">
        <v>150</v>
      </c>
      <c r="J100">
        <v>100</v>
      </c>
      <c r="K100">
        <v>100</v>
      </c>
      <c r="L100" s="17">
        <v>172</v>
      </c>
      <c r="M100">
        <v>120</v>
      </c>
      <c r="N100">
        <v>1004</v>
      </c>
      <c r="O100">
        <v>45</v>
      </c>
      <c r="P100">
        <v>4</v>
      </c>
      <c r="Q100" s="17">
        <v>80</v>
      </c>
      <c r="R100" t="s">
        <v>1762</v>
      </c>
      <c r="S100" t="s">
        <v>1885</v>
      </c>
      <c r="T100" t="s">
        <v>1778</v>
      </c>
      <c r="U100" t="s">
        <v>1886</v>
      </c>
      <c r="V100">
        <f>SUM($W100:$Z100)</f>
        <v>400</v>
      </c>
      <c r="W100">
        <v>100</v>
      </c>
      <c r="X100">
        <v>100</v>
      </c>
      <c r="Y100">
        <v>100</v>
      </c>
      <c r="Z100">
        <v>100</v>
      </c>
      <c r="AA100" s="1"/>
      <c r="AD100" t="s">
        <v>1887</v>
      </c>
    </row>
    <row r="101" spans="1:30">
      <c r="A101" s="1" t="s">
        <v>1890</v>
      </c>
      <c r="B101" t="s">
        <v>1883</v>
      </c>
      <c r="C101" t="s">
        <v>1891</v>
      </c>
      <c r="D101" t="s">
        <v>1656</v>
      </c>
      <c r="E101">
        <v>100</v>
      </c>
      <c r="F101">
        <v>999</v>
      </c>
      <c r="G101">
        <v>200</v>
      </c>
      <c r="H101">
        <v>100</v>
      </c>
      <c r="I101">
        <v>150</v>
      </c>
      <c r="J101">
        <v>100</v>
      </c>
      <c r="K101">
        <v>100</v>
      </c>
      <c r="L101" s="17">
        <v>172</v>
      </c>
      <c r="M101">
        <v>120</v>
      </c>
      <c r="N101">
        <v>1004</v>
      </c>
      <c r="O101">
        <v>45</v>
      </c>
      <c r="P101">
        <v>4</v>
      </c>
      <c r="Q101" s="17">
        <v>80</v>
      </c>
      <c r="R101" t="s">
        <v>1762</v>
      </c>
      <c r="S101" t="s">
        <v>1885</v>
      </c>
      <c r="T101" t="s">
        <v>1778</v>
      </c>
      <c r="U101" t="s">
        <v>1886</v>
      </c>
      <c r="V101">
        <f>SUM($W101:$Z101)</f>
        <v>400</v>
      </c>
      <c r="W101">
        <v>100</v>
      </c>
      <c r="X101">
        <v>100</v>
      </c>
      <c r="Y101">
        <v>100</v>
      </c>
      <c r="Z101">
        <v>100</v>
      </c>
      <c r="AA101" s="1"/>
      <c r="AD101" t="s">
        <v>1887</v>
      </c>
    </row>
    <row r="102" spans="1:26">
      <c r="A102" s="1" t="s">
        <v>1892</v>
      </c>
      <c r="B102" t="s">
        <v>105</v>
      </c>
      <c r="C102" t="s">
        <v>1893</v>
      </c>
      <c r="D102" t="s">
        <v>1656</v>
      </c>
      <c r="E102" s="14">
        <v>40</v>
      </c>
      <c r="F102">
        <v>28</v>
      </c>
      <c r="G102">
        <v>20</v>
      </c>
      <c r="H102">
        <v>38</v>
      </c>
      <c r="I102">
        <v>26</v>
      </c>
      <c r="J102">
        <v>10</v>
      </c>
      <c r="K102">
        <v>30</v>
      </c>
      <c r="L102" s="14">
        <v>60</v>
      </c>
      <c r="M102">
        <v>42</v>
      </c>
      <c r="N102">
        <v>20</v>
      </c>
      <c r="O102">
        <v>35</v>
      </c>
      <c r="P102">
        <v>1</v>
      </c>
      <c r="Q102">
        <v>20</v>
      </c>
      <c r="R102" t="s">
        <v>1894</v>
      </c>
      <c r="S102" t="s">
        <v>1895</v>
      </c>
      <c r="T102" t="s">
        <v>1895</v>
      </c>
      <c r="V102" s="17">
        <f t="shared" ref="V102:V137" si="4">SUM(W102:Z102)</f>
        <v>24</v>
      </c>
      <c r="W102" s="17">
        <v>8</v>
      </c>
      <c r="X102" s="17">
        <v>8</v>
      </c>
      <c r="Y102" s="17">
        <v>8</v>
      </c>
      <c r="Z102">
        <v>0</v>
      </c>
    </row>
    <row r="103" spans="1:26">
      <c r="A103" s="1" t="s">
        <v>1896</v>
      </c>
      <c r="B103" t="s">
        <v>105</v>
      </c>
      <c r="C103" t="s">
        <v>1897</v>
      </c>
      <c r="D103" t="s">
        <v>1656</v>
      </c>
      <c r="E103" s="14">
        <v>60</v>
      </c>
      <c r="F103">
        <v>37</v>
      </c>
      <c r="G103">
        <v>31</v>
      </c>
      <c r="H103">
        <v>46</v>
      </c>
      <c r="I103">
        <v>36</v>
      </c>
      <c r="J103">
        <v>20</v>
      </c>
      <c r="K103">
        <v>60</v>
      </c>
      <c r="L103" s="14">
        <v>70</v>
      </c>
      <c r="M103">
        <v>50</v>
      </c>
      <c r="N103">
        <v>30</v>
      </c>
      <c r="O103">
        <v>35</v>
      </c>
      <c r="P103">
        <v>1</v>
      </c>
      <c r="Q103">
        <v>30</v>
      </c>
      <c r="R103" t="s">
        <v>1894</v>
      </c>
      <c r="S103" t="s">
        <v>1895</v>
      </c>
      <c r="T103" t="s">
        <v>1895</v>
      </c>
      <c r="V103" s="17">
        <f t="shared" si="4"/>
        <v>24</v>
      </c>
      <c r="W103" s="17">
        <v>8</v>
      </c>
      <c r="X103" s="17">
        <v>8</v>
      </c>
      <c r="Y103" s="17">
        <v>8</v>
      </c>
      <c r="Z103">
        <v>0</v>
      </c>
    </row>
    <row r="104" spans="1:26">
      <c r="A104" s="1" t="s">
        <v>1898</v>
      </c>
      <c r="B104" t="s">
        <v>105</v>
      </c>
      <c r="C104" t="s">
        <v>1899</v>
      </c>
      <c r="D104" t="s">
        <v>1656</v>
      </c>
      <c r="E104" s="14">
        <v>75</v>
      </c>
      <c r="F104">
        <v>48</v>
      </c>
      <c r="G104">
        <v>39</v>
      </c>
      <c r="H104">
        <v>69</v>
      </c>
      <c r="I104">
        <v>47</v>
      </c>
      <c r="J104">
        <v>30</v>
      </c>
      <c r="K104">
        <v>90</v>
      </c>
      <c r="L104" s="14">
        <v>80</v>
      </c>
      <c r="M104">
        <v>70</v>
      </c>
      <c r="N104">
        <v>35</v>
      </c>
      <c r="O104">
        <v>35</v>
      </c>
      <c r="P104">
        <v>1</v>
      </c>
      <c r="Q104">
        <v>40</v>
      </c>
      <c r="R104" t="s">
        <v>1894</v>
      </c>
      <c r="S104" t="s">
        <v>1895</v>
      </c>
      <c r="T104" t="s">
        <v>1895</v>
      </c>
      <c r="V104" s="17">
        <f t="shared" si="4"/>
        <v>24</v>
      </c>
      <c r="W104" s="17">
        <v>8</v>
      </c>
      <c r="X104" s="17">
        <v>8</v>
      </c>
      <c r="Y104" s="17">
        <v>8</v>
      </c>
      <c r="Z104">
        <v>0</v>
      </c>
    </row>
    <row r="105" spans="1:26">
      <c r="A105" s="1" t="s">
        <v>1900</v>
      </c>
      <c r="B105" t="s">
        <v>105</v>
      </c>
      <c r="C105" t="s">
        <v>1901</v>
      </c>
      <c r="D105" t="s">
        <v>1656</v>
      </c>
      <c r="E105" s="14">
        <v>85</v>
      </c>
      <c r="F105">
        <v>58</v>
      </c>
      <c r="G105">
        <v>48</v>
      </c>
      <c r="H105">
        <v>90</v>
      </c>
      <c r="I105">
        <v>58</v>
      </c>
      <c r="J105">
        <v>50</v>
      </c>
      <c r="K105">
        <v>100</v>
      </c>
      <c r="L105" s="17">
        <v>90</v>
      </c>
      <c r="M105">
        <v>90</v>
      </c>
      <c r="N105">
        <v>40</v>
      </c>
      <c r="O105">
        <v>35</v>
      </c>
      <c r="P105">
        <v>1</v>
      </c>
      <c r="Q105" s="17">
        <v>50</v>
      </c>
      <c r="R105" t="s">
        <v>1894</v>
      </c>
      <c r="S105" t="s">
        <v>1895</v>
      </c>
      <c r="T105" t="s">
        <v>1895</v>
      </c>
      <c r="V105" s="17">
        <f t="shared" si="4"/>
        <v>24</v>
      </c>
      <c r="W105" s="17">
        <v>8</v>
      </c>
      <c r="X105" s="17">
        <v>8</v>
      </c>
      <c r="Y105" s="17">
        <v>8</v>
      </c>
      <c r="Z105">
        <v>0</v>
      </c>
    </row>
    <row r="106" s="14" customFormat="1" spans="1:30">
      <c r="A106" s="18" t="s">
        <v>1902</v>
      </c>
      <c r="B106" s="14" t="s">
        <v>97</v>
      </c>
      <c r="C106" s="14" t="s">
        <v>1903</v>
      </c>
      <c r="D106" s="14" t="s">
        <v>1656</v>
      </c>
      <c r="E106" s="14">
        <v>1</v>
      </c>
      <c r="F106" s="14">
        <v>10</v>
      </c>
      <c r="G106" s="14">
        <v>20</v>
      </c>
      <c r="H106" s="14">
        <v>0</v>
      </c>
      <c r="I106" s="14">
        <v>10</v>
      </c>
      <c r="J106" s="14">
        <v>20</v>
      </c>
      <c r="K106" s="14">
        <v>0</v>
      </c>
      <c r="L106" s="17">
        <v>1</v>
      </c>
      <c r="M106" s="14">
        <v>50</v>
      </c>
      <c r="N106" s="14">
        <v>15</v>
      </c>
      <c r="O106" s="14">
        <v>15</v>
      </c>
      <c r="P106" s="14">
        <v>1</v>
      </c>
      <c r="Q106" s="17">
        <v>1</v>
      </c>
      <c r="V106" s="14">
        <f t="shared" si="4"/>
        <v>0</v>
      </c>
      <c r="W106" s="14">
        <v>0</v>
      </c>
      <c r="X106" s="14">
        <v>0</v>
      </c>
      <c r="Y106" s="14">
        <v>0</v>
      </c>
      <c r="Z106" s="14">
        <v>0</v>
      </c>
      <c r="AD106" s="14" t="s">
        <v>1904</v>
      </c>
    </row>
    <row r="107" s="14" customFormat="1" spans="1:30">
      <c r="A107" s="18" t="s">
        <v>1905</v>
      </c>
      <c r="B107" s="14" t="s">
        <v>97</v>
      </c>
      <c r="C107" s="14" t="s">
        <v>1906</v>
      </c>
      <c r="D107" s="14" t="s">
        <v>1656</v>
      </c>
      <c r="E107" s="14">
        <v>1</v>
      </c>
      <c r="F107" s="14">
        <v>50</v>
      </c>
      <c r="G107" s="14">
        <v>1</v>
      </c>
      <c r="H107" s="14">
        <v>0</v>
      </c>
      <c r="I107" s="14">
        <v>1</v>
      </c>
      <c r="J107" s="14">
        <v>1</v>
      </c>
      <c r="K107" s="14">
        <v>0</v>
      </c>
      <c r="L107" s="14">
        <v>1</v>
      </c>
      <c r="M107" s="14">
        <v>1</v>
      </c>
      <c r="N107" s="14">
        <v>1</v>
      </c>
      <c r="O107" s="14">
        <v>15</v>
      </c>
      <c r="P107" s="14">
        <v>1</v>
      </c>
      <c r="Q107" s="14">
        <v>50</v>
      </c>
      <c r="V107" s="14">
        <f t="shared" si="4"/>
        <v>0</v>
      </c>
      <c r="W107" s="14">
        <v>0</v>
      </c>
      <c r="X107" s="14">
        <v>0</v>
      </c>
      <c r="Y107" s="14">
        <v>0</v>
      </c>
      <c r="Z107" s="14">
        <v>0</v>
      </c>
      <c r="AD107" s="14" t="s">
        <v>1907</v>
      </c>
    </row>
    <row r="108" s="14" customFormat="1" spans="1:30">
      <c r="A108" s="18" t="s">
        <v>1908</v>
      </c>
      <c r="B108" s="14" t="s">
        <v>1776</v>
      </c>
      <c r="C108" s="14" t="s">
        <v>1909</v>
      </c>
      <c r="D108" s="14" t="s">
        <v>1656</v>
      </c>
      <c r="E108" s="14">
        <v>101</v>
      </c>
      <c r="F108" s="14">
        <v>200</v>
      </c>
      <c r="G108" s="14">
        <v>130</v>
      </c>
      <c r="H108" s="14">
        <v>100</v>
      </c>
      <c r="I108" s="14">
        <v>130</v>
      </c>
      <c r="J108" s="14">
        <v>80</v>
      </c>
      <c r="K108" s="14">
        <v>90</v>
      </c>
      <c r="L108" s="14">
        <v>100</v>
      </c>
      <c r="M108" s="14">
        <v>45</v>
      </c>
      <c r="N108" s="14">
        <v>50</v>
      </c>
      <c r="O108" s="14">
        <v>30</v>
      </c>
      <c r="P108" s="14">
        <v>3</v>
      </c>
      <c r="Q108" s="14">
        <v>60</v>
      </c>
      <c r="R108" s="14" t="s">
        <v>1762</v>
      </c>
      <c r="S108" s="14" t="s">
        <v>1759</v>
      </c>
      <c r="T108" s="14" t="s">
        <v>1679</v>
      </c>
      <c r="U108" s="14" t="s">
        <v>1778</v>
      </c>
      <c r="V108" s="14">
        <f t="shared" si="4"/>
        <v>140</v>
      </c>
      <c r="W108" s="14">
        <v>0</v>
      </c>
      <c r="X108" s="14">
        <v>0</v>
      </c>
      <c r="Y108" s="14">
        <v>0</v>
      </c>
      <c r="Z108" s="14">
        <v>140</v>
      </c>
      <c r="AD108" s="14" t="s">
        <v>1910</v>
      </c>
    </row>
    <row r="109" s="14" customFormat="1" spans="1:30">
      <c r="A109" s="18" t="s">
        <v>1911</v>
      </c>
      <c r="B109" s="14" t="s">
        <v>51</v>
      </c>
      <c r="C109" s="14" t="s">
        <v>1912</v>
      </c>
      <c r="D109" s="14" t="s">
        <v>1656</v>
      </c>
      <c r="E109" s="14">
        <v>101</v>
      </c>
      <c r="F109" s="14">
        <v>119</v>
      </c>
      <c r="G109" s="14">
        <v>130</v>
      </c>
      <c r="H109" s="14">
        <v>0</v>
      </c>
      <c r="I109" s="14">
        <v>80</v>
      </c>
      <c r="J109" s="14">
        <v>58</v>
      </c>
      <c r="K109" s="14">
        <v>0</v>
      </c>
      <c r="L109" s="14">
        <v>100</v>
      </c>
      <c r="M109" s="14">
        <v>57</v>
      </c>
      <c r="N109" s="14">
        <v>30</v>
      </c>
      <c r="O109" s="14">
        <v>33</v>
      </c>
      <c r="P109" s="14">
        <v>3</v>
      </c>
      <c r="Q109" s="14">
        <v>40</v>
      </c>
      <c r="R109" s="14" t="s">
        <v>1762</v>
      </c>
      <c r="S109" s="14" t="s">
        <v>1762</v>
      </c>
      <c r="T109" s="14" t="s">
        <v>1666</v>
      </c>
      <c r="U109" s="14" t="s">
        <v>1755</v>
      </c>
      <c r="V109" s="14">
        <f t="shared" si="4"/>
        <v>16</v>
      </c>
      <c r="W109" s="14">
        <v>4</v>
      </c>
      <c r="X109" s="14">
        <v>4</v>
      </c>
      <c r="Y109" s="14">
        <v>4</v>
      </c>
      <c r="Z109" s="14">
        <v>4</v>
      </c>
      <c r="AD109" s="14" t="s">
        <v>1910</v>
      </c>
    </row>
    <row r="110" s="14" customFormat="1" spans="1:30">
      <c r="A110" s="18" t="s">
        <v>1913</v>
      </c>
      <c r="B110" s="14" t="s">
        <v>51</v>
      </c>
      <c r="C110" s="14" t="s">
        <v>1914</v>
      </c>
      <c r="D110" s="14" t="s">
        <v>1656</v>
      </c>
      <c r="E110" s="14">
        <v>101</v>
      </c>
      <c r="F110" s="14">
        <v>99</v>
      </c>
      <c r="G110" s="14">
        <v>110</v>
      </c>
      <c r="H110" s="14">
        <v>0</v>
      </c>
      <c r="I110" s="14">
        <v>80</v>
      </c>
      <c r="J110" s="14">
        <v>58</v>
      </c>
      <c r="K110" s="14">
        <v>0</v>
      </c>
      <c r="L110" s="14">
        <v>100</v>
      </c>
      <c r="M110" s="14">
        <v>57</v>
      </c>
      <c r="N110" s="14">
        <v>30</v>
      </c>
      <c r="O110" s="14">
        <v>33</v>
      </c>
      <c r="P110" s="14">
        <v>3</v>
      </c>
      <c r="Q110" s="14">
        <v>40</v>
      </c>
      <c r="R110" s="14" t="s">
        <v>1762</v>
      </c>
      <c r="S110" s="14" t="s">
        <v>1762</v>
      </c>
      <c r="T110" s="14" t="s">
        <v>1666</v>
      </c>
      <c r="U110" s="14" t="s">
        <v>1755</v>
      </c>
      <c r="V110" s="14">
        <f t="shared" si="4"/>
        <v>16</v>
      </c>
      <c r="W110" s="14">
        <v>4</v>
      </c>
      <c r="X110" s="14">
        <v>4</v>
      </c>
      <c r="Y110" s="14">
        <v>4</v>
      </c>
      <c r="Z110" s="14">
        <v>4</v>
      </c>
      <c r="AD110" s="14" t="s">
        <v>1910</v>
      </c>
    </row>
    <row r="111" s="14" customFormat="1" spans="1:30">
      <c r="A111" s="18" t="s">
        <v>1915</v>
      </c>
      <c r="B111" s="14" t="s">
        <v>131</v>
      </c>
      <c r="C111" s="14" t="s">
        <v>1916</v>
      </c>
      <c r="D111" s="14" t="s">
        <v>1656</v>
      </c>
      <c r="E111" s="14">
        <v>101</v>
      </c>
      <c r="F111" s="14">
        <v>88</v>
      </c>
      <c r="G111" s="14">
        <v>95</v>
      </c>
      <c r="H111" s="14">
        <v>120</v>
      </c>
      <c r="I111" s="14">
        <v>80</v>
      </c>
      <c r="J111" s="14">
        <v>150</v>
      </c>
      <c r="K111" s="14">
        <v>105</v>
      </c>
      <c r="L111" s="14">
        <v>100</v>
      </c>
      <c r="M111" s="14">
        <v>60</v>
      </c>
      <c r="N111" s="14">
        <v>62</v>
      </c>
      <c r="O111" s="14">
        <v>35</v>
      </c>
      <c r="P111" s="14">
        <v>2</v>
      </c>
      <c r="Q111" s="14">
        <v>50</v>
      </c>
      <c r="R111" s="14" t="s">
        <v>1715</v>
      </c>
      <c r="S111" s="14" t="s">
        <v>1715</v>
      </c>
      <c r="T111" s="14" t="s">
        <v>1672</v>
      </c>
      <c r="U111" s="14" t="s">
        <v>1679</v>
      </c>
      <c r="V111" s="14">
        <f t="shared" si="4"/>
        <v>8</v>
      </c>
      <c r="W111" s="14">
        <v>2</v>
      </c>
      <c r="X111" s="14">
        <v>2</v>
      </c>
      <c r="Y111" s="14">
        <v>2</v>
      </c>
      <c r="Z111" s="14">
        <v>2</v>
      </c>
      <c r="AD111" s="14" t="s">
        <v>1910</v>
      </c>
    </row>
    <row r="112" s="14" customFormat="1" spans="1:30">
      <c r="A112" s="18" t="s">
        <v>1917</v>
      </c>
      <c r="B112" s="14" t="s">
        <v>131</v>
      </c>
      <c r="C112" s="14" t="s">
        <v>1918</v>
      </c>
      <c r="D112" s="14" t="s">
        <v>1656</v>
      </c>
      <c r="E112" s="14">
        <v>101</v>
      </c>
      <c r="F112" s="14">
        <v>95</v>
      </c>
      <c r="G112" s="14">
        <v>85</v>
      </c>
      <c r="H112" s="14">
        <v>120</v>
      </c>
      <c r="I112" s="14">
        <v>80</v>
      </c>
      <c r="J112" s="14">
        <v>150</v>
      </c>
      <c r="K112" s="14">
        <v>105</v>
      </c>
      <c r="L112" s="14">
        <v>100</v>
      </c>
      <c r="M112" s="14">
        <v>70</v>
      </c>
      <c r="N112" s="14">
        <v>62</v>
      </c>
      <c r="O112" s="14">
        <v>35</v>
      </c>
      <c r="P112" s="14">
        <v>2</v>
      </c>
      <c r="Q112" s="14">
        <v>50</v>
      </c>
      <c r="R112" s="14" t="s">
        <v>1715</v>
      </c>
      <c r="S112" s="14" t="s">
        <v>1715</v>
      </c>
      <c r="T112" s="14" t="s">
        <v>1672</v>
      </c>
      <c r="U112" s="14" t="s">
        <v>1679</v>
      </c>
      <c r="V112" s="14">
        <f t="shared" si="4"/>
        <v>8</v>
      </c>
      <c r="W112" s="14">
        <v>2</v>
      </c>
      <c r="X112" s="14">
        <v>2</v>
      </c>
      <c r="Y112" s="14">
        <v>2</v>
      </c>
      <c r="Z112" s="14">
        <v>2</v>
      </c>
      <c r="AD112" s="14" t="s">
        <v>1910</v>
      </c>
    </row>
    <row r="113" s="14" customFormat="1" spans="1:30">
      <c r="A113" s="18" t="s">
        <v>1919</v>
      </c>
      <c r="B113" s="14" t="s">
        <v>131</v>
      </c>
      <c r="C113" s="14" t="s">
        <v>1920</v>
      </c>
      <c r="D113" s="14" t="s">
        <v>1656</v>
      </c>
      <c r="E113" s="14">
        <v>101</v>
      </c>
      <c r="F113" s="14">
        <v>88</v>
      </c>
      <c r="G113" s="14">
        <v>75</v>
      </c>
      <c r="H113" s="14">
        <v>120</v>
      </c>
      <c r="I113" s="14">
        <v>80</v>
      </c>
      <c r="J113" s="14">
        <v>150</v>
      </c>
      <c r="K113" s="14">
        <v>105</v>
      </c>
      <c r="L113" s="14">
        <v>100</v>
      </c>
      <c r="M113" s="14">
        <v>80</v>
      </c>
      <c r="N113" s="14">
        <v>62</v>
      </c>
      <c r="O113" s="14">
        <v>35</v>
      </c>
      <c r="P113" s="14">
        <v>2</v>
      </c>
      <c r="Q113" s="14">
        <v>50</v>
      </c>
      <c r="R113" s="14" t="s">
        <v>1715</v>
      </c>
      <c r="S113" s="14" t="s">
        <v>1715</v>
      </c>
      <c r="T113" s="14" t="s">
        <v>1672</v>
      </c>
      <c r="U113" s="14" t="s">
        <v>1679</v>
      </c>
      <c r="V113" s="14">
        <f t="shared" si="4"/>
        <v>8</v>
      </c>
      <c r="W113" s="14">
        <v>2</v>
      </c>
      <c r="X113" s="14">
        <v>2</v>
      </c>
      <c r="Y113" s="14">
        <v>2</v>
      </c>
      <c r="Z113" s="14">
        <v>2</v>
      </c>
      <c r="AD113" s="14" t="s">
        <v>1910</v>
      </c>
    </row>
    <row r="114" spans="1:26">
      <c r="A114" s="1" t="s">
        <v>1921</v>
      </c>
      <c r="B114" t="s">
        <v>92</v>
      </c>
      <c r="C114" t="s">
        <v>1922</v>
      </c>
      <c r="D114" t="s">
        <v>1656</v>
      </c>
      <c r="E114" s="14">
        <v>40</v>
      </c>
      <c r="F114">
        <v>28</v>
      </c>
      <c r="G114">
        <v>20</v>
      </c>
      <c r="H114">
        <v>38</v>
      </c>
      <c r="I114">
        <v>26</v>
      </c>
      <c r="J114">
        <v>10</v>
      </c>
      <c r="K114">
        <v>0</v>
      </c>
      <c r="L114" s="14">
        <v>60</v>
      </c>
      <c r="M114">
        <v>42</v>
      </c>
      <c r="N114">
        <v>20</v>
      </c>
      <c r="O114">
        <v>35</v>
      </c>
      <c r="P114">
        <v>1</v>
      </c>
      <c r="Q114">
        <v>20</v>
      </c>
      <c r="R114" t="s">
        <v>1923</v>
      </c>
      <c r="S114" t="s">
        <v>1924</v>
      </c>
      <c r="T114" t="s">
        <v>1924</v>
      </c>
      <c r="V114" s="17">
        <f t="shared" si="4"/>
        <v>24</v>
      </c>
      <c r="W114" s="17">
        <v>8</v>
      </c>
      <c r="X114" s="17">
        <v>8</v>
      </c>
      <c r="Y114" s="17">
        <v>8</v>
      </c>
      <c r="Z114">
        <v>0</v>
      </c>
    </row>
    <row r="115" spans="1:26">
      <c r="A115" s="1" t="s">
        <v>1925</v>
      </c>
      <c r="B115" t="s">
        <v>92</v>
      </c>
      <c r="C115" t="s">
        <v>1926</v>
      </c>
      <c r="D115" t="s">
        <v>1656</v>
      </c>
      <c r="E115" s="14">
        <v>60</v>
      </c>
      <c r="F115">
        <v>37</v>
      </c>
      <c r="G115">
        <v>31</v>
      </c>
      <c r="H115">
        <v>46</v>
      </c>
      <c r="I115">
        <v>36</v>
      </c>
      <c r="J115">
        <v>20</v>
      </c>
      <c r="K115">
        <v>0</v>
      </c>
      <c r="L115" s="14">
        <v>70</v>
      </c>
      <c r="M115">
        <v>50</v>
      </c>
      <c r="N115">
        <v>30</v>
      </c>
      <c r="O115">
        <v>35</v>
      </c>
      <c r="P115">
        <v>1</v>
      </c>
      <c r="Q115">
        <v>30</v>
      </c>
      <c r="R115" t="s">
        <v>1923</v>
      </c>
      <c r="S115" t="s">
        <v>1924</v>
      </c>
      <c r="T115" t="s">
        <v>1924</v>
      </c>
      <c r="V115" s="17">
        <f t="shared" si="4"/>
        <v>24</v>
      </c>
      <c r="W115" s="17">
        <v>8</v>
      </c>
      <c r="X115" s="17">
        <v>8</v>
      </c>
      <c r="Y115" s="17">
        <v>8</v>
      </c>
      <c r="Z115">
        <v>0</v>
      </c>
    </row>
    <row r="116" spans="1:26">
      <c r="A116" s="1" t="s">
        <v>1927</v>
      </c>
      <c r="B116" t="s">
        <v>92</v>
      </c>
      <c r="C116" t="s">
        <v>1928</v>
      </c>
      <c r="D116" t="s">
        <v>1656</v>
      </c>
      <c r="E116" s="14">
        <v>75</v>
      </c>
      <c r="F116">
        <v>48</v>
      </c>
      <c r="G116">
        <v>39</v>
      </c>
      <c r="H116">
        <v>69</v>
      </c>
      <c r="I116">
        <v>47</v>
      </c>
      <c r="J116">
        <v>30</v>
      </c>
      <c r="K116">
        <v>0</v>
      </c>
      <c r="L116" s="14">
        <v>80</v>
      </c>
      <c r="M116">
        <v>70</v>
      </c>
      <c r="N116">
        <v>35</v>
      </c>
      <c r="O116">
        <v>35</v>
      </c>
      <c r="P116">
        <v>1</v>
      </c>
      <c r="Q116">
        <v>40</v>
      </c>
      <c r="R116" t="s">
        <v>1923</v>
      </c>
      <c r="S116" t="s">
        <v>1924</v>
      </c>
      <c r="T116" t="s">
        <v>1924</v>
      </c>
      <c r="V116" s="17">
        <f t="shared" si="4"/>
        <v>24</v>
      </c>
      <c r="W116" s="17">
        <v>8</v>
      </c>
      <c r="X116" s="17">
        <v>8</v>
      </c>
      <c r="Y116" s="17">
        <v>8</v>
      </c>
      <c r="Z116">
        <v>0</v>
      </c>
    </row>
    <row r="117" spans="1:26">
      <c r="A117" s="1" t="s">
        <v>1929</v>
      </c>
      <c r="B117" t="s">
        <v>92</v>
      </c>
      <c r="C117" t="s">
        <v>1930</v>
      </c>
      <c r="D117" t="s">
        <v>1656</v>
      </c>
      <c r="E117" s="14">
        <v>85</v>
      </c>
      <c r="F117">
        <v>58</v>
      </c>
      <c r="G117">
        <v>48</v>
      </c>
      <c r="H117">
        <v>90</v>
      </c>
      <c r="I117">
        <v>58</v>
      </c>
      <c r="J117">
        <v>50</v>
      </c>
      <c r="K117">
        <v>0</v>
      </c>
      <c r="L117" s="14">
        <v>90</v>
      </c>
      <c r="M117">
        <v>90</v>
      </c>
      <c r="N117">
        <v>40</v>
      </c>
      <c r="O117">
        <v>35</v>
      </c>
      <c r="P117">
        <v>1</v>
      </c>
      <c r="Q117">
        <v>50</v>
      </c>
      <c r="R117" t="s">
        <v>1923</v>
      </c>
      <c r="S117" t="s">
        <v>1924</v>
      </c>
      <c r="T117" t="s">
        <v>1924</v>
      </c>
      <c r="V117" s="17">
        <f t="shared" si="4"/>
        <v>24</v>
      </c>
      <c r="W117" s="17">
        <v>8</v>
      </c>
      <c r="X117" s="17">
        <v>8</v>
      </c>
      <c r="Y117" s="17">
        <v>8</v>
      </c>
      <c r="Z117">
        <v>0</v>
      </c>
    </row>
    <row r="118" spans="1:26">
      <c r="A118" s="1" t="s">
        <v>1931</v>
      </c>
      <c r="B118" t="s">
        <v>420</v>
      </c>
      <c r="C118" t="s">
        <v>1932</v>
      </c>
      <c r="D118" t="s">
        <v>1656</v>
      </c>
      <c r="E118" s="14">
        <v>60</v>
      </c>
      <c r="F118">
        <v>60</v>
      </c>
      <c r="G118">
        <v>85</v>
      </c>
      <c r="H118">
        <v>0</v>
      </c>
      <c r="I118">
        <v>60</v>
      </c>
      <c r="J118">
        <v>30</v>
      </c>
      <c r="K118">
        <v>0</v>
      </c>
      <c r="L118" s="14">
        <v>42</v>
      </c>
      <c r="M118">
        <v>20</v>
      </c>
      <c r="N118">
        <v>15</v>
      </c>
      <c r="O118">
        <v>30</v>
      </c>
      <c r="P118">
        <v>3</v>
      </c>
      <c r="Q118">
        <v>10</v>
      </c>
      <c r="R118" t="s">
        <v>1933</v>
      </c>
      <c r="S118" t="s">
        <v>1934</v>
      </c>
      <c r="T118" t="s">
        <v>1934</v>
      </c>
      <c r="U118" t="s">
        <v>1762</v>
      </c>
      <c r="V118">
        <f t="shared" si="4"/>
        <v>12</v>
      </c>
      <c r="W118">
        <v>3</v>
      </c>
      <c r="X118">
        <v>3</v>
      </c>
      <c r="Y118">
        <v>3</v>
      </c>
      <c r="Z118">
        <v>3</v>
      </c>
    </row>
    <row r="119" spans="1:26">
      <c r="A119" s="1" t="s">
        <v>1935</v>
      </c>
      <c r="B119" t="s">
        <v>420</v>
      </c>
      <c r="C119" t="s">
        <v>1936</v>
      </c>
      <c r="D119" t="s">
        <v>1656</v>
      </c>
      <c r="E119" s="14">
        <v>75</v>
      </c>
      <c r="F119">
        <v>76</v>
      </c>
      <c r="G119">
        <v>90</v>
      </c>
      <c r="H119">
        <v>0</v>
      </c>
      <c r="I119">
        <v>70</v>
      </c>
      <c r="J119">
        <v>40</v>
      </c>
      <c r="K119">
        <v>0</v>
      </c>
      <c r="L119" s="14">
        <v>65</v>
      </c>
      <c r="M119">
        <v>50</v>
      </c>
      <c r="N119">
        <v>20</v>
      </c>
      <c r="O119">
        <v>33</v>
      </c>
      <c r="P119">
        <v>3</v>
      </c>
      <c r="Q119">
        <v>20</v>
      </c>
      <c r="R119" t="s">
        <v>1933</v>
      </c>
      <c r="S119" t="s">
        <v>1934</v>
      </c>
      <c r="T119" t="s">
        <v>1934</v>
      </c>
      <c r="U119" t="s">
        <v>1762</v>
      </c>
      <c r="V119">
        <f t="shared" si="4"/>
        <v>12</v>
      </c>
      <c r="W119">
        <v>3</v>
      </c>
      <c r="X119">
        <v>3</v>
      </c>
      <c r="Y119">
        <v>3</v>
      </c>
      <c r="Z119">
        <v>3</v>
      </c>
    </row>
    <row r="120" spans="1:26">
      <c r="A120" s="1" t="s">
        <v>1937</v>
      </c>
      <c r="B120" t="s">
        <v>420</v>
      </c>
      <c r="C120" t="s">
        <v>1938</v>
      </c>
      <c r="D120" t="s">
        <v>1656</v>
      </c>
      <c r="E120" s="14">
        <v>90</v>
      </c>
      <c r="F120">
        <v>88</v>
      </c>
      <c r="G120">
        <v>110</v>
      </c>
      <c r="H120">
        <v>0</v>
      </c>
      <c r="I120">
        <v>80</v>
      </c>
      <c r="J120">
        <v>50</v>
      </c>
      <c r="K120">
        <v>0</v>
      </c>
      <c r="L120" s="14">
        <v>87</v>
      </c>
      <c r="M120">
        <v>57</v>
      </c>
      <c r="N120">
        <v>30</v>
      </c>
      <c r="O120">
        <v>33</v>
      </c>
      <c r="P120">
        <v>3</v>
      </c>
      <c r="Q120">
        <v>40</v>
      </c>
      <c r="R120" t="s">
        <v>1933</v>
      </c>
      <c r="S120" t="s">
        <v>1934</v>
      </c>
      <c r="T120" t="s">
        <v>1934</v>
      </c>
      <c r="U120" t="s">
        <v>1762</v>
      </c>
      <c r="V120">
        <f t="shared" si="4"/>
        <v>12</v>
      </c>
      <c r="W120">
        <v>3</v>
      </c>
      <c r="X120">
        <v>3</v>
      </c>
      <c r="Y120">
        <v>3</v>
      </c>
      <c r="Z120">
        <v>3</v>
      </c>
    </row>
    <row r="121" spans="1:26">
      <c r="A121" s="1" t="s">
        <v>1939</v>
      </c>
      <c r="B121" t="s">
        <v>350</v>
      </c>
      <c r="C121" t="s">
        <v>1940</v>
      </c>
      <c r="D121" t="s">
        <v>1656</v>
      </c>
      <c r="E121" s="14">
        <v>40</v>
      </c>
      <c r="F121">
        <v>75</v>
      </c>
      <c r="G121">
        <v>71</v>
      </c>
      <c r="H121">
        <v>0</v>
      </c>
      <c r="I121">
        <v>80</v>
      </c>
      <c r="J121">
        <v>40</v>
      </c>
      <c r="K121">
        <v>0</v>
      </c>
      <c r="L121" s="17">
        <v>60</v>
      </c>
      <c r="M121">
        <v>45</v>
      </c>
      <c r="N121">
        <v>30</v>
      </c>
      <c r="O121">
        <v>30</v>
      </c>
      <c r="P121">
        <v>3</v>
      </c>
      <c r="Q121" s="17">
        <v>10</v>
      </c>
      <c r="R121" t="s">
        <v>1941</v>
      </c>
      <c r="S121" t="s">
        <v>1942</v>
      </c>
      <c r="T121" t="s">
        <v>1942</v>
      </c>
      <c r="U121" t="s">
        <v>1762</v>
      </c>
      <c r="V121">
        <f t="shared" si="4"/>
        <v>12</v>
      </c>
      <c r="W121">
        <v>3</v>
      </c>
      <c r="X121">
        <v>3</v>
      </c>
      <c r="Y121">
        <v>3</v>
      </c>
      <c r="Z121">
        <v>3</v>
      </c>
    </row>
    <row r="122" spans="1:26">
      <c r="A122" s="1" t="s">
        <v>1943</v>
      </c>
      <c r="B122" t="s">
        <v>350</v>
      </c>
      <c r="C122" t="s">
        <v>1944</v>
      </c>
      <c r="D122" t="s">
        <v>1656</v>
      </c>
      <c r="E122" s="14">
        <v>60</v>
      </c>
      <c r="F122">
        <v>88</v>
      </c>
      <c r="G122">
        <v>82</v>
      </c>
      <c r="H122">
        <v>0</v>
      </c>
      <c r="I122">
        <v>95</v>
      </c>
      <c r="J122">
        <v>50</v>
      </c>
      <c r="K122">
        <v>0</v>
      </c>
      <c r="L122" s="17">
        <v>70</v>
      </c>
      <c r="M122">
        <v>55</v>
      </c>
      <c r="N122">
        <v>35</v>
      </c>
      <c r="O122">
        <v>33</v>
      </c>
      <c r="P122">
        <v>3</v>
      </c>
      <c r="Q122" s="17">
        <v>20</v>
      </c>
      <c r="R122" t="s">
        <v>1941</v>
      </c>
      <c r="S122" t="s">
        <v>1942</v>
      </c>
      <c r="T122" t="s">
        <v>1942</v>
      </c>
      <c r="U122" t="s">
        <v>1762</v>
      </c>
      <c r="V122">
        <f t="shared" si="4"/>
        <v>12</v>
      </c>
      <c r="W122">
        <v>3</v>
      </c>
      <c r="X122">
        <v>3</v>
      </c>
      <c r="Y122">
        <v>3</v>
      </c>
      <c r="Z122">
        <v>3</v>
      </c>
    </row>
    <row r="123" spans="1:26">
      <c r="A123" s="1" t="s">
        <v>1945</v>
      </c>
      <c r="B123" t="s">
        <v>350</v>
      </c>
      <c r="C123" t="s">
        <v>1946</v>
      </c>
      <c r="D123" t="s">
        <v>1656</v>
      </c>
      <c r="E123" s="14">
        <v>75</v>
      </c>
      <c r="F123">
        <v>100</v>
      </c>
      <c r="G123">
        <v>93</v>
      </c>
      <c r="H123">
        <v>0</v>
      </c>
      <c r="I123">
        <v>105</v>
      </c>
      <c r="J123">
        <v>55</v>
      </c>
      <c r="K123">
        <v>0</v>
      </c>
      <c r="L123" s="14">
        <v>80</v>
      </c>
      <c r="M123">
        <v>65</v>
      </c>
      <c r="N123">
        <v>40</v>
      </c>
      <c r="O123">
        <v>36</v>
      </c>
      <c r="P123">
        <v>3</v>
      </c>
      <c r="Q123">
        <v>40</v>
      </c>
      <c r="R123" t="s">
        <v>1941</v>
      </c>
      <c r="S123" t="s">
        <v>1942</v>
      </c>
      <c r="T123" t="s">
        <v>1942</v>
      </c>
      <c r="U123" t="s">
        <v>1762</v>
      </c>
      <c r="V123">
        <f t="shared" si="4"/>
        <v>12</v>
      </c>
      <c r="W123">
        <v>3</v>
      </c>
      <c r="X123">
        <v>3</v>
      </c>
      <c r="Y123">
        <v>3</v>
      </c>
      <c r="Z123">
        <v>3</v>
      </c>
    </row>
    <row r="124" spans="1:26">
      <c r="A124" s="1" t="s">
        <v>1947</v>
      </c>
      <c r="B124" t="s">
        <v>350</v>
      </c>
      <c r="C124" t="s">
        <v>1948</v>
      </c>
      <c r="D124" t="s">
        <v>1656</v>
      </c>
      <c r="E124" s="14">
        <v>90</v>
      </c>
      <c r="F124">
        <v>125</v>
      </c>
      <c r="G124">
        <v>110</v>
      </c>
      <c r="H124">
        <v>0</v>
      </c>
      <c r="I124">
        <v>116</v>
      </c>
      <c r="J124">
        <v>66</v>
      </c>
      <c r="K124">
        <v>0</v>
      </c>
      <c r="L124" s="17">
        <v>90</v>
      </c>
      <c r="M124">
        <v>75</v>
      </c>
      <c r="N124">
        <v>45</v>
      </c>
      <c r="O124">
        <v>40</v>
      </c>
      <c r="P124">
        <v>3</v>
      </c>
      <c r="Q124" s="17">
        <v>50</v>
      </c>
      <c r="R124" t="s">
        <v>1941</v>
      </c>
      <c r="S124" t="s">
        <v>1942</v>
      </c>
      <c r="T124" t="s">
        <v>1942</v>
      </c>
      <c r="U124" t="s">
        <v>1762</v>
      </c>
      <c r="V124">
        <f t="shared" si="4"/>
        <v>12</v>
      </c>
      <c r="W124">
        <v>3</v>
      </c>
      <c r="X124">
        <v>3</v>
      </c>
      <c r="Y124">
        <v>3</v>
      </c>
      <c r="Z124">
        <v>3</v>
      </c>
    </row>
    <row r="125" spans="1:30">
      <c r="A125" s="1" t="s">
        <v>1949</v>
      </c>
      <c r="B125" t="s">
        <v>1950</v>
      </c>
      <c r="C125" t="s">
        <v>1951</v>
      </c>
      <c r="D125" t="s">
        <v>1656</v>
      </c>
      <c r="E125" s="14">
        <v>100</v>
      </c>
      <c r="F125">
        <v>444</v>
      </c>
      <c r="G125">
        <v>150</v>
      </c>
      <c r="H125">
        <v>0</v>
      </c>
      <c r="I125">
        <v>150</v>
      </c>
      <c r="J125">
        <v>150</v>
      </c>
      <c r="K125">
        <v>0</v>
      </c>
      <c r="L125" s="14">
        <v>80</v>
      </c>
      <c r="M125">
        <v>10</v>
      </c>
      <c r="N125">
        <v>60</v>
      </c>
      <c r="O125">
        <v>1</v>
      </c>
      <c r="P125">
        <v>3</v>
      </c>
      <c r="Q125" s="14">
        <v>25</v>
      </c>
      <c r="R125" t="s">
        <v>1707</v>
      </c>
      <c r="S125" t="s">
        <v>1707</v>
      </c>
      <c r="T125" t="s">
        <v>1707</v>
      </c>
      <c r="U125" t="s">
        <v>1885</v>
      </c>
      <c r="V125">
        <f t="shared" si="4"/>
        <v>60</v>
      </c>
      <c r="W125">
        <v>15</v>
      </c>
      <c r="X125">
        <v>15</v>
      </c>
      <c r="Y125">
        <v>15</v>
      </c>
      <c r="Z125">
        <v>15</v>
      </c>
      <c r="AD125" t="s">
        <v>1952</v>
      </c>
    </row>
    <row r="126" spans="1:30">
      <c r="A126" s="1" t="s">
        <v>1953</v>
      </c>
      <c r="B126" t="s">
        <v>37</v>
      </c>
      <c r="C126" t="s">
        <v>1954</v>
      </c>
      <c r="D126" t="s">
        <v>1656</v>
      </c>
      <c r="E126" s="14">
        <v>100</v>
      </c>
      <c r="F126">
        <v>233</v>
      </c>
      <c r="G126">
        <v>1</v>
      </c>
      <c r="H126">
        <v>0</v>
      </c>
      <c r="I126">
        <v>100</v>
      </c>
      <c r="J126">
        <v>1</v>
      </c>
      <c r="K126">
        <v>0</v>
      </c>
      <c r="L126" s="14">
        <v>1</v>
      </c>
      <c r="M126">
        <v>1</v>
      </c>
      <c r="N126">
        <v>20</v>
      </c>
      <c r="O126">
        <v>20</v>
      </c>
      <c r="P126">
        <v>3</v>
      </c>
      <c r="Q126" s="14">
        <v>40</v>
      </c>
      <c r="V126">
        <f t="shared" si="4"/>
        <v>0</v>
      </c>
      <c r="W126">
        <v>0</v>
      </c>
      <c r="X126">
        <v>0</v>
      </c>
      <c r="Y126">
        <v>0</v>
      </c>
      <c r="Z126">
        <v>0</v>
      </c>
      <c r="AD126" t="s">
        <v>1955</v>
      </c>
    </row>
    <row r="127" spans="1:30">
      <c r="A127" s="1" t="s">
        <v>1956</v>
      </c>
      <c r="B127" t="s">
        <v>1807</v>
      </c>
      <c r="C127" t="s">
        <v>1957</v>
      </c>
      <c r="D127" t="s">
        <v>1656</v>
      </c>
      <c r="E127" s="14">
        <v>100</v>
      </c>
      <c r="F127">
        <v>88</v>
      </c>
      <c r="G127">
        <v>100</v>
      </c>
      <c r="H127">
        <v>1</v>
      </c>
      <c r="I127">
        <v>50</v>
      </c>
      <c r="J127">
        <v>30</v>
      </c>
      <c r="K127">
        <v>0</v>
      </c>
      <c r="L127" s="14">
        <v>1</v>
      </c>
      <c r="M127">
        <v>50</v>
      </c>
      <c r="N127">
        <v>30</v>
      </c>
      <c r="O127">
        <v>20</v>
      </c>
      <c r="P127">
        <v>1</v>
      </c>
      <c r="Q127" s="14">
        <v>10</v>
      </c>
      <c r="V127">
        <f t="shared" si="4"/>
        <v>0</v>
      </c>
      <c r="W127">
        <v>0</v>
      </c>
      <c r="X127">
        <v>0</v>
      </c>
      <c r="Y127">
        <v>0</v>
      </c>
      <c r="Z127">
        <v>0</v>
      </c>
      <c r="AD127" t="s">
        <v>1958</v>
      </c>
    </row>
    <row r="128" spans="1:26">
      <c r="A128" s="18" t="s">
        <v>1959</v>
      </c>
      <c r="B128" t="s">
        <v>37</v>
      </c>
      <c r="C128" t="s">
        <v>142</v>
      </c>
      <c r="D128" t="s">
        <v>1656</v>
      </c>
      <c r="E128" s="14">
        <v>100</v>
      </c>
      <c r="F128">
        <v>286</v>
      </c>
      <c r="G128">
        <v>171</v>
      </c>
      <c r="H128">
        <v>0</v>
      </c>
      <c r="I128">
        <v>205</v>
      </c>
      <c r="J128">
        <v>60</v>
      </c>
      <c r="K128">
        <v>0</v>
      </c>
      <c r="L128" s="17">
        <v>95</v>
      </c>
      <c r="M128">
        <v>60</v>
      </c>
      <c r="N128">
        <v>56</v>
      </c>
      <c r="O128">
        <v>28</v>
      </c>
      <c r="P128">
        <v>4</v>
      </c>
      <c r="Q128">
        <v>0</v>
      </c>
      <c r="R128" t="s">
        <v>1960</v>
      </c>
      <c r="S128" t="s">
        <v>1961</v>
      </c>
      <c r="T128" t="s">
        <v>1762</v>
      </c>
      <c r="U128" t="s">
        <v>1962</v>
      </c>
      <c r="V128">
        <f t="shared" si="4"/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8" t="s">
        <v>1963</v>
      </c>
      <c r="B129" t="s">
        <v>1950</v>
      </c>
      <c r="C129" t="s">
        <v>1964</v>
      </c>
      <c r="D129" t="s">
        <v>1656</v>
      </c>
      <c r="E129" s="14">
        <v>100</v>
      </c>
      <c r="F129">
        <v>666</v>
      </c>
      <c r="G129">
        <v>150</v>
      </c>
      <c r="H129">
        <v>0</v>
      </c>
      <c r="I129">
        <v>0</v>
      </c>
      <c r="J129">
        <v>100</v>
      </c>
      <c r="K129">
        <v>0</v>
      </c>
      <c r="L129" s="17">
        <v>87</v>
      </c>
      <c r="M129">
        <v>4</v>
      </c>
      <c r="N129">
        <v>63</v>
      </c>
      <c r="O129">
        <v>1</v>
      </c>
      <c r="P129">
        <v>4</v>
      </c>
      <c r="Q129">
        <v>0</v>
      </c>
      <c r="R129" t="s">
        <v>1762</v>
      </c>
      <c r="S129" t="s">
        <v>1762</v>
      </c>
      <c r="T129" t="s">
        <v>1707</v>
      </c>
      <c r="U129" t="s">
        <v>1965</v>
      </c>
      <c r="V129">
        <f t="shared" si="4"/>
        <v>120</v>
      </c>
      <c r="W129">
        <v>30</v>
      </c>
      <c r="X129">
        <v>30</v>
      </c>
      <c r="Y129">
        <v>30</v>
      </c>
      <c r="Z129">
        <v>30</v>
      </c>
    </row>
    <row r="130" spans="1:26">
      <c r="A130" s="18" t="s">
        <v>1966</v>
      </c>
      <c r="B130" t="s">
        <v>84</v>
      </c>
      <c r="C130" t="s">
        <v>1967</v>
      </c>
      <c r="D130" t="s">
        <v>1656</v>
      </c>
      <c r="E130" s="14">
        <v>20</v>
      </c>
      <c r="F130">
        <v>152</v>
      </c>
      <c r="G130">
        <v>36</v>
      </c>
      <c r="H130">
        <v>20</v>
      </c>
      <c r="I130">
        <v>33</v>
      </c>
      <c r="J130">
        <v>22</v>
      </c>
      <c r="K130">
        <v>0</v>
      </c>
      <c r="L130" s="17">
        <v>46</v>
      </c>
      <c r="M130">
        <v>30</v>
      </c>
      <c r="N130">
        <v>14</v>
      </c>
      <c r="O130">
        <v>33</v>
      </c>
      <c r="P130">
        <v>2</v>
      </c>
      <c r="Q130">
        <v>0</v>
      </c>
      <c r="R130" t="s">
        <v>1748</v>
      </c>
      <c r="S130" t="s">
        <v>1715</v>
      </c>
      <c r="V130">
        <f t="shared" si="4"/>
        <v>12</v>
      </c>
      <c r="W130">
        <v>3</v>
      </c>
      <c r="X130">
        <v>3</v>
      </c>
      <c r="Y130">
        <v>3</v>
      </c>
      <c r="Z130">
        <v>3</v>
      </c>
    </row>
    <row r="131" spans="1:26">
      <c r="A131" s="18" t="s">
        <v>1968</v>
      </c>
      <c r="B131" t="s">
        <v>51</v>
      </c>
      <c r="C131" t="s">
        <v>1969</v>
      </c>
      <c r="D131" t="s">
        <v>1656</v>
      </c>
      <c r="E131" s="14">
        <v>25</v>
      </c>
      <c r="F131">
        <v>102</v>
      </c>
      <c r="G131">
        <v>65</v>
      </c>
      <c r="H131">
        <v>0</v>
      </c>
      <c r="I131">
        <v>37</v>
      </c>
      <c r="J131">
        <v>36</v>
      </c>
      <c r="K131">
        <v>0</v>
      </c>
      <c r="L131" s="17">
        <v>52</v>
      </c>
      <c r="M131">
        <v>37</v>
      </c>
      <c r="N131">
        <v>25</v>
      </c>
      <c r="O131">
        <v>32</v>
      </c>
      <c r="P131">
        <v>3</v>
      </c>
      <c r="Q131">
        <v>0</v>
      </c>
      <c r="R131" t="s">
        <v>1762</v>
      </c>
      <c r="S131" t="s">
        <v>1762</v>
      </c>
      <c r="V131">
        <f t="shared" si="4"/>
        <v>12</v>
      </c>
      <c r="W131">
        <v>3</v>
      </c>
      <c r="X131">
        <v>3</v>
      </c>
      <c r="Y131">
        <v>3</v>
      </c>
      <c r="Z131">
        <v>3</v>
      </c>
    </row>
    <row r="132" spans="1:30">
      <c r="A132" s="19" t="s">
        <v>1970</v>
      </c>
      <c r="B132" t="s">
        <v>37</v>
      </c>
      <c r="C132" t="s">
        <v>1971</v>
      </c>
      <c r="D132" t="s">
        <v>1656</v>
      </c>
      <c r="E132" s="14">
        <v>110</v>
      </c>
      <c r="F132">
        <v>520</v>
      </c>
      <c r="G132">
        <v>165</v>
      </c>
      <c r="H132">
        <v>0</v>
      </c>
      <c r="I132">
        <v>160</v>
      </c>
      <c r="J132">
        <v>70</v>
      </c>
      <c r="K132">
        <v>0</v>
      </c>
      <c r="L132" s="17">
        <v>92</v>
      </c>
      <c r="M132">
        <v>58</v>
      </c>
      <c r="N132">
        <v>44</v>
      </c>
      <c r="O132">
        <v>28</v>
      </c>
      <c r="P132">
        <v>4</v>
      </c>
      <c r="Q132">
        <v>0</v>
      </c>
      <c r="R132" t="s">
        <v>1960</v>
      </c>
      <c r="S132" t="s">
        <v>1961</v>
      </c>
      <c r="T132" t="s">
        <v>1762</v>
      </c>
      <c r="U132" t="s">
        <v>1962</v>
      </c>
      <c r="V132">
        <f t="shared" si="4"/>
        <v>0</v>
      </c>
      <c r="W132">
        <v>0</v>
      </c>
      <c r="X132">
        <v>0</v>
      </c>
      <c r="Y132">
        <v>0</v>
      </c>
      <c r="Z132">
        <v>0</v>
      </c>
      <c r="AD132" t="s">
        <v>1972</v>
      </c>
    </row>
    <row r="133" spans="1:30">
      <c r="A133" s="19" t="s">
        <v>1973</v>
      </c>
      <c r="B133" t="s">
        <v>37</v>
      </c>
      <c r="C133" t="s">
        <v>1974</v>
      </c>
      <c r="D133" t="s">
        <v>1656</v>
      </c>
      <c r="E133" s="14">
        <v>110</v>
      </c>
      <c r="F133">
        <v>288</v>
      </c>
      <c r="G133">
        <v>177</v>
      </c>
      <c r="H133">
        <v>0</v>
      </c>
      <c r="I133">
        <v>160</v>
      </c>
      <c r="J133">
        <v>100</v>
      </c>
      <c r="K133">
        <v>0</v>
      </c>
      <c r="L133" s="17">
        <v>92</v>
      </c>
      <c r="M133">
        <v>75</v>
      </c>
      <c r="N133">
        <v>44</v>
      </c>
      <c r="O133">
        <v>30</v>
      </c>
      <c r="P133">
        <v>4</v>
      </c>
      <c r="Q133">
        <v>0</v>
      </c>
      <c r="R133" t="s">
        <v>1960</v>
      </c>
      <c r="S133" t="s">
        <v>1961</v>
      </c>
      <c r="T133" t="s">
        <v>1762</v>
      </c>
      <c r="U133" t="s">
        <v>1962</v>
      </c>
      <c r="V133">
        <f t="shared" si="4"/>
        <v>0</v>
      </c>
      <c r="W133">
        <v>0</v>
      </c>
      <c r="X133">
        <v>0</v>
      </c>
      <c r="Y133">
        <v>0</v>
      </c>
      <c r="Z133">
        <v>0</v>
      </c>
      <c r="AD133" t="s">
        <v>1972</v>
      </c>
    </row>
    <row r="134" spans="1:30">
      <c r="A134" s="19" t="s">
        <v>1975</v>
      </c>
      <c r="B134" t="s">
        <v>1950</v>
      </c>
      <c r="C134" t="s">
        <v>1976</v>
      </c>
      <c r="D134" t="s">
        <v>1656</v>
      </c>
      <c r="E134" s="14">
        <v>110</v>
      </c>
      <c r="F134">
        <v>666</v>
      </c>
      <c r="G134">
        <v>20</v>
      </c>
      <c r="H134">
        <v>0</v>
      </c>
      <c r="I134">
        <v>160</v>
      </c>
      <c r="J134">
        <v>100</v>
      </c>
      <c r="K134">
        <v>0</v>
      </c>
      <c r="L134" s="17">
        <v>92</v>
      </c>
      <c r="M134">
        <v>0</v>
      </c>
      <c r="N134">
        <v>65</v>
      </c>
      <c r="O134">
        <v>1</v>
      </c>
      <c r="P134">
        <v>4</v>
      </c>
      <c r="Q134">
        <v>0</v>
      </c>
      <c r="R134" t="s">
        <v>1885</v>
      </c>
      <c r="S134" t="s">
        <v>1977</v>
      </c>
      <c r="T134" t="s">
        <v>1977</v>
      </c>
      <c r="U134" t="s">
        <v>1977</v>
      </c>
      <c r="V134">
        <f t="shared" si="4"/>
        <v>120</v>
      </c>
      <c r="W134">
        <v>30</v>
      </c>
      <c r="X134">
        <v>30</v>
      </c>
      <c r="Y134">
        <v>30</v>
      </c>
      <c r="Z134">
        <v>30</v>
      </c>
      <c r="AD134" t="s">
        <v>1972</v>
      </c>
    </row>
    <row r="135" spans="1:30">
      <c r="A135" s="19" t="s">
        <v>1978</v>
      </c>
      <c r="B135" t="s">
        <v>37</v>
      </c>
      <c r="C135" t="s">
        <v>1979</v>
      </c>
      <c r="D135" t="s">
        <v>1656</v>
      </c>
      <c r="E135" s="14">
        <v>110</v>
      </c>
      <c r="F135">
        <v>233</v>
      </c>
      <c r="G135">
        <v>180</v>
      </c>
      <c r="H135">
        <v>0</v>
      </c>
      <c r="I135">
        <v>160</v>
      </c>
      <c r="J135">
        <v>70</v>
      </c>
      <c r="K135">
        <v>0</v>
      </c>
      <c r="L135" s="17">
        <v>92</v>
      </c>
      <c r="M135">
        <v>78</v>
      </c>
      <c r="N135">
        <v>44</v>
      </c>
      <c r="O135">
        <v>28</v>
      </c>
      <c r="P135">
        <v>4</v>
      </c>
      <c r="Q135">
        <v>0</v>
      </c>
      <c r="R135" t="s">
        <v>1960</v>
      </c>
      <c r="S135" t="s">
        <v>1961</v>
      </c>
      <c r="T135" t="s">
        <v>1762</v>
      </c>
      <c r="U135" t="s">
        <v>1962</v>
      </c>
      <c r="V135">
        <f t="shared" si="4"/>
        <v>0</v>
      </c>
      <c r="W135">
        <v>0</v>
      </c>
      <c r="X135">
        <v>0</v>
      </c>
      <c r="Y135">
        <v>0</v>
      </c>
      <c r="Z135">
        <v>0</v>
      </c>
      <c r="AD135" t="s">
        <v>1972</v>
      </c>
    </row>
    <row r="136" spans="1:30">
      <c r="A136" s="19" t="s">
        <v>1980</v>
      </c>
      <c r="B136" t="s">
        <v>51</v>
      </c>
      <c r="C136" t="s">
        <v>1912</v>
      </c>
      <c r="D136" t="s">
        <v>1656</v>
      </c>
      <c r="E136" s="14">
        <v>110</v>
      </c>
      <c r="F136">
        <v>196</v>
      </c>
      <c r="G136">
        <v>130</v>
      </c>
      <c r="H136">
        <v>0</v>
      </c>
      <c r="I136">
        <v>160</v>
      </c>
      <c r="J136">
        <v>70</v>
      </c>
      <c r="K136">
        <v>0</v>
      </c>
      <c r="L136" s="17">
        <v>92</v>
      </c>
      <c r="M136">
        <v>48</v>
      </c>
      <c r="N136">
        <v>38</v>
      </c>
      <c r="O136">
        <v>32</v>
      </c>
      <c r="P136">
        <v>4</v>
      </c>
      <c r="Q136">
        <v>0</v>
      </c>
      <c r="R136" t="s">
        <v>1981</v>
      </c>
      <c r="S136" t="s">
        <v>1981</v>
      </c>
      <c r="T136" t="s">
        <v>1982</v>
      </c>
      <c r="U136" t="s">
        <v>1983</v>
      </c>
      <c r="V136">
        <f t="shared" si="4"/>
        <v>0</v>
      </c>
      <c r="W136">
        <v>0</v>
      </c>
      <c r="X136">
        <v>0</v>
      </c>
      <c r="Y136">
        <v>0</v>
      </c>
      <c r="Z136">
        <v>0</v>
      </c>
      <c r="AD136" t="s">
        <v>1972</v>
      </c>
    </row>
    <row r="137" spans="1:30">
      <c r="A137" s="19" t="s">
        <v>1984</v>
      </c>
      <c r="B137" t="s">
        <v>51</v>
      </c>
      <c r="C137" t="s">
        <v>1985</v>
      </c>
      <c r="D137" t="s">
        <v>1656</v>
      </c>
      <c r="E137" s="14">
        <v>110</v>
      </c>
      <c r="F137">
        <v>196</v>
      </c>
      <c r="G137">
        <v>110</v>
      </c>
      <c r="H137">
        <v>0</v>
      </c>
      <c r="I137">
        <v>160</v>
      </c>
      <c r="J137">
        <v>70</v>
      </c>
      <c r="K137">
        <v>0</v>
      </c>
      <c r="L137" s="17">
        <v>92</v>
      </c>
      <c r="M137">
        <v>66</v>
      </c>
      <c r="N137">
        <v>38</v>
      </c>
      <c r="O137">
        <v>32</v>
      </c>
      <c r="P137">
        <v>4</v>
      </c>
      <c r="Q137">
        <v>0</v>
      </c>
      <c r="R137" t="s">
        <v>1981</v>
      </c>
      <c r="S137" t="s">
        <v>1981</v>
      </c>
      <c r="T137" t="s">
        <v>1982</v>
      </c>
      <c r="U137" t="s">
        <v>1983</v>
      </c>
      <c r="V137">
        <f t="shared" si="4"/>
        <v>0</v>
      </c>
      <c r="W137">
        <v>0</v>
      </c>
      <c r="X137">
        <v>0</v>
      </c>
      <c r="Y137">
        <v>0</v>
      </c>
      <c r="Z137">
        <v>0</v>
      </c>
      <c r="AD137" t="s">
        <v>1972</v>
      </c>
    </row>
    <row r="138" spans="1:30">
      <c r="A138" s="18" t="s">
        <v>1986</v>
      </c>
      <c r="B138" t="s">
        <v>51</v>
      </c>
      <c r="C138" t="s">
        <v>1985</v>
      </c>
      <c r="D138" t="s">
        <v>1656</v>
      </c>
      <c r="E138">
        <v>100</v>
      </c>
      <c r="F138">
        <v>2333</v>
      </c>
      <c r="G138">
        <v>145</v>
      </c>
      <c r="H138">
        <v>0</v>
      </c>
      <c r="I138">
        <v>105</v>
      </c>
      <c r="J138">
        <v>69</v>
      </c>
      <c r="K138">
        <v>0</v>
      </c>
      <c r="L138" s="17">
        <v>91</v>
      </c>
      <c r="M138">
        <v>2</v>
      </c>
      <c r="N138">
        <v>17</v>
      </c>
      <c r="O138">
        <v>19</v>
      </c>
      <c r="P138">
        <v>4</v>
      </c>
      <c r="Q138">
        <v>0</v>
      </c>
      <c r="R138" t="s">
        <v>1981</v>
      </c>
      <c r="S138" t="s">
        <v>1981</v>
      </c>
      <c r="T138" t="s">
        <v>1982</v>
      </c>
      <c r="U138" t="s">
        <v>1983</v>
      </c>
      <c r="V138">
        <f t="shared" ref="V138:V169" si="5">SUM($W138:$Z138)</f>
        <v>16</v>
      </c>
      <c r="W138">
        <v>4</v>
      </c>
      <c r="X138">
        <v>4</v>
      </c>
      <c r="Y138">
        <v>4</v>
      </c>
      <c r="Z138">
        <v>4</v>
      </c>
      <c r="AD138" t="s">
        <v>1987</v>
      </c>
    </row>
    <row r="139" spans="1:30">
      <c r="A139" s="18" t="s">
        <v>1988</v>
      </c>
      <c r="B139" t="s">
        <v>51</v>
      </c>
      <c r="C139" t="s">
        <v>1989</v>
      </c>
      <c r="D139" t="s">
        <v>1656</v>
      </c>
      <c r="E139">
        <v>69</v>
      </c>
      <c r="F139">
        <v>1000</v>
      </c>
      <c r="G139">
        <v>96</v>
      </c>
      <c r="H139">
        <v>0</v>
      </c>
      <c r="I139">
        <v>47</v>
      </c>
      <c r="J139">
        <v>52</v>
      </c>
      <c r="K139">
        <v>0</v>
      </c>
      <c r="L139" s="17">
        <v>75</v>
      </c>
      <c r="M139">
        <v>54</v>
      </c>
      <c r="N139">
        <v>33</v>
      </c>
      <c r="O139">
        <v>22</v>
      </c>
      <c r="P139">
        <v>3</v>
      </c>
      <c r="Q139">
        <v>0</v>
      </c>
      <c r="R139" t="s">
        <v>1762</v>
      </c>
      <c r="S139" t="s">
        <v>1762</v>
      </c>
      <c r="T139" t="s">
        <v>1755</v>
      </c>
      <c r="U139" t="s">
        <v>1666</v>
      </c>
      <c r="V139">
        <f t="shared" si="5"/>
        <v>12</v>
      </c>
      <c r="W139">
        <v>3</v>
      </c>
      <c r="X139">
        <v>3</v>
      </c>
      <c r="Y139">
        <v>3</v>
      </c>
      <c r="Z139">
        <v>3</v>
      </c>
      <c r="AD139" t="s">
        <v>1987</v>
      </c>
    </row>
    <row r="140" spans="1:30">
      <c r="A140" s="18" t="s">
        <v>1990</v>
      </c>
      <c r="B140" t="s">
        <v>51</v>
      </c>
      <c r="C140" t="s">
        <v>1991</v>
      </c>
      <c r="D140" t="s">
        <v>1656</v>
      </c>
      <c r="E140">
        <v>69</v>
      </c>
      <c r="F140">
        <v>1000</v>
      </c>
      <c r="G140">
        <v>95</v>
      </c>
      <c r="H140">
        <v>0</v>
      </c>
      <c r="I140">
        <v>47</v>
      </c>
      <c r="J140">
        <v>52</v>
      </c>
      <c r="K140">
        <v>0</v>
      </c>
      <c r="L140" s="17">
        <v>75</v>
      </c>
      <c r="M140">
        <v>54</v>
      </c>
      <c r="N140">
        <v>33</v>
      </c>
      <c r="O140">
        <v>22</v>
      </c>
      <c r="P140">
        <v>3</v>
      </c>
      <c r="Q140">
        <v>0</v>
      </c>
      <c r="R140" t="s">
        <v>1762</v>
      </c>
      <c r="S140" t="s">
        <v>1762</v>
      </c>
      <c r="T140" t="s">
        <v>1755</v>
      </c>
      <c r="U140" t="s">
        <v>1666</v>
      </c>
      <c r="V140">
        <f t="shared" si="5"/>
        <v>12</v>
      </c>
      <c r="W140">
        <v>3</v>
      </c>
      <c r="X140">
        <v>3</v>
      </c>
      <c r="Y140">
        <v>3</v>
      </c>
      <c r="Z140">
        <v>3</v>
      </c>
      <c r="AD140" t="s">
        <v>1987</v>
      </c>
    </row>
    <row r="141" spans="1:30">
      <c r="A141" s="18" t="s">
        <v>1992</v>
      </c>
      <c r="B141" t="s">
        <v>265</v>
      </c>
      <c r="C141" t="s">
        <v>1993</v>
      </c>
      <c r="D141" t="s">
        <v>1656</v>
      </c>
      <c r="E141">
        <v>63</v>
      </c>
      <c r="F141">
        <v>110</v>
      </c>
      <c r="G141">
        <v>34</v>
      </c>
      <c r="H141">
        <v>78</v>
      </c>
      <c r="I141">
        <v>35</v>
      </c>
      <c r="J141">
        <v>37</v>
      </c>
      <c r="K141">
        <v>71</v>
      </c>
      <c r="L141" s="17">
        <v>62</v>
      </c>
      <c r="M141">
        <v>99</v>
      </c>
      <c r="N141">
        <v>24</v>
      </c>
      <c r="O141">
        <v>34</v>
      </c>
      <c r="P141">
        <v>2</v>
      </c>
      <c r="Q141">
        <v>0</v>
      </c>
      <c r="R141" t="s">
        <v>1715</v>
      </c>
      <c r="S141" t="s">
        <v>1679</v>
      </c>
      <c r="V141">
        <f t="shared" si="5"/>
        <v>0</v>
      </c>
      <c r="W141">
        <v>0</v>
      </c>
      <c r="X141">
        <v>0</v>
      </c>
      <c r="Y141">
        <v>0</v>
      </c>
      <c r="Z141">
        <v>0</v>
      </c>
      <c r="AD141" t="s">
        <v>1987</v>
      </c>
    </row>
    <row r="142" spans="1:30">
      <c r="A142" s="18" t="s">
        <v>1994</v>
      </c>
      <c r="B142" t="s">
        <v>44</v>
      </c>
      <c r="C142" t="s">
        <v>1995</v>
      </c>
      <c r="D142" t="s">
        <v>1656</v>
      </c>
      <c r="E142">
        <v>100</v>
      </c>
      <c r="F142">
        <v>388</v>
      </c>
      <c r="G142">
        <v>120</v>
      </c>
      <c r="H142">
        <v>0</v>
      </c>
      <c r="I142">
        <v>250</v>
      </c>
      <c r="J142">
        <v>120</v>
      </c>
      <c r="K142">
        <v>0</v>
      </c>
      <c r="L142" s="17">
        <v>92</v>
      </c>
      <c r="M142">
        <v>45</v>
      </c>
      <c r="N142">
        <v>55</v>
      </c>
      <c r="O142">
        <v>30</v>
      </c>
      <c r="P142">
        <v>1</v>
      </c>
      <c r="Q142">
        <v>0</v>
      </c>
      <c r="R142" t="s">
        <v>1712</v>
      </c>
      <c r="S142" t="s">
        <v>1712</v>
      </c>
      <c r="T142" t="s">
        <v>1712</v>
      </c>
      <c r="U142" t="s">
        <v>1778</v>
      </c>
      <c r="V142">
        <f t="shared" si="5"/>
        <v>120</v>
      </c>
      <c r="W142">
        <v>30</v>
      </c>
      <c r="X142">
        <v>30</v>
      </c>
      <c r="Y142">
        <v>30</v>
      </c>
      <c r="Z142">
        <v>30</v>
      </c>
      <c r="AD142" t="s">
        <v>1996</v>
      </c>
    </row>
    <row r="143" spans="1:30">
      <c r="A143" s="18" t="s">
        <v>1997</v>
      </c>
      <c r="B143" t="s">
        <v>1998</v>
      </c>
      <c r="C143" t="s">
        <v>1999</v>
      </c>
      <c r="D143" t="s">
        <v>1656</v>
      </c>
      <c r="E143">
        <v>100</v>
      </c>
      <c r="F143">
        <v>444</v>
      </c>
      <c r="G143">
        <v>108</v>
      </c>
      <c r="H143">
        <v>0</v>
      </c>
      <c r="I143">
        <v>0</v>
      </c>
      <c r="J143">
        <v>150</v>
      </c>
      <c r="K143">
        <v>0</v>
      </c>
      <c r="L143" s="17">
        <v>82</v>
      </c>
      <c r="M143">
        <v>0</v>
      </c>
      <c r="N143">
        <v>88</v>
      </c>
      <c r="O143">
        <v>1</v>
      </c>
      <c r="P143">
        <v>3</v>
      </c>
      <c r="Q143">
        <v>0</v>
      </c>
      <c r="R143" t="s">
        <v>1707</v>
      </c>
      <c r="S143" t="s">
        <v>1707</v>
      </c>
      <c r="T143" t="s">
        <v>1712</v>
      </c>
      <c r="U143" t="s">
        <v>1712</v>
      </c>
      <c r="V143">
        <f t="shared" si="5"/>
        <v>400</v>
      </c>
      <c r="W143">
        <v>100</v>
      </c>
      <c r="X143">
        <v>100</v>
      </c>
      <c r="Y143">
        <v>100</v>
      </c>
      <c r="Z143">
        <v>100</v>
      </c>
      <c r="AD143" t="s">
        <v>1996</v>
      </c>
    </row>
    <row r="144" spans="1:30">
      <c r="A144" s="18" t="s">
        <v>2000</v>
      </c>
      <c r="B144" t="s">
        <v>37</v>
      </c>
      <c r="C144" t="s">
        <v>2001</v>
      </c>
      <c r="D144" t="s">
        <v>1656</v>
      </c>
      <c r="E144">
        <v>100</v>
      </c>
      <c r="F144">
        <v>233</v>
      </c>
      <c r="G144">
        <v>200</v>
      </c>
      <c r="H144">
        <v>0</v>
      </c>
      <c r="I144">
        <v>120</v>
      </c>
      <c r="J144">
        <v>190</v>
      </c>
      <c r="K144">
        <v>0</v>
      </c>
      <c r="L144" s="17">
        <v>92</v>
      </c>
      <c r="M144">
        <v>58</v>
      </c>
      <c r="N144">
        <v>45</v>
      </c>
      <c r="O144">
        <v>24</v>
      </c>
      <c r="P144">
        <v>4</v>
      </c>
      <c r="Q144">
        <v>0</v>
      </c>
      <c r="R144" t="s">
        <v>2002</v>
      </c>
      <c r="S144" t="s">
        <v>2002</v>
      </c>
      <c r="T144" t="s">
        <v>2003</v>
      </c>
      <c r="U144" t="s">
        <v>1762</v>
      </c>
      <c r="V144">
        <f t="shared" si="5"/>
        <v>28</v>
      </c>
      <c r="W144">
        <v>7</v>
      </c>
      <c r="X144">
        <v>7</v>
      </c>
      <c r="Y144">
        <v>7</v>
      </c>
      <c r="Z144">
        <v>7</v>
      </c>
      <c r="AD144" t="s">
        <v>1996</v>
      </c>
    </row>
    <row r="145" spans="1:30">
      <c r="A145" s="18" t="s">
        <v>2004</v>
      </c>
      <c r="B145" t="s">
        <v>37</v>
      </c>
      <c r="C145" t="s">
        <v>2005</v>
      </c>
      <c r="D145" t="s">
        <v>1656</v>
      </c>
      <c r="E145">
        <v>100</v>
      </c>
      <c r="F145">
        <v>180</v>
      </c>
      <c r="G145">
        <v>130</v>
      </c>
      <c r="H145">
        <v>0</v>
      </c>
      <c r="I145">
        <v>120</v>
      </c>
      <c r="J145">
        <v>50</v>
      </c>
      <c r="K145">
        <v>0</v>
      </c>
      <c r="L145" s="17">
        <v>92</v>
      </c>
      <c r="M145">
        <v>40</v>
      </c>
      <c r="N145">
        <v>50</v>
      </c>
      <c r="O145">
        <v>24</v>
      </c>
      <c r="P145">
        <v>4</v>
      </c>
      <c r="Q145">
        <v>0</v>
      </c>
      <c r="R145" t="s">
        <v>2002</v>
      </c>
      <c r="S145" t="s">
        <v>2002</v>
      </c>
      <c r="T145" t="s">
        <v>2006</v>
      </c>
      <c r="U145" t="s">
        <v>1755</v>
      </c>
      <c r="V145">
        <f t="shared" si="5"/>
        <v>0</v>
      </c>
      <c r="W145">
        <v>0</v>
      </c>
      <c r="X145">
        <v>0</v>
      </c>
      <c r="Y145">
        <v>0</v>
      </c>
      <c r="Z145">
        <v>0</v>
      </c>
      <c r="AD145" t="s">
        <v>1996</v>
      </c>
    </row>
    <row r="146" spans="1:30">
      <c r="A146" s="18" t="s">
        <v>2007</v>
      </c>
      <c r="B146" t="s">
        <v>105</v>
      </c>
      <c r="C146" t="s">
        <v>2008</v>
      </c>
      <c r="D146" t="s">
        <v>1656</v>
      </c>
      <c r="E146">
        <v>100</v>
      </c>
      <c r="F146">
        <v>108</v>
      </c>
      <c r="G146">
        <v>70</v>
      </c>
      <c r="H146">
        <v>0</v>
      </c>
      <c r="I146">
        <v>58</v>
      </c>
      <c r="J146">
        <v>50</v>
      </c>
      <c r="K146">
        <v>100</v>
      </c>
      <c r="L146" s="17">
        <v>139</v>
      </c>
      <c r="M146">
        <v>90</v>
      </c>
      <c r="N146">
        <v>30</v>
      </c>
      <c r="O146">
        <v>35</v>
      </c>
      <c r="P146">
        <v>1</v>
      </c>
      <c r="Q146">
        <v>0</v>
      </c>
      <c r="R146" t="s">
        <v>1894</v>
      </c>
      <c r="S146" t="s">
        <v>1895</v>
      </c>
      <c r="T146" t="s">
        <v>1895</v>
      </c>
      <c r="V146">
        <f t="shared" si="5"/>
        <v>24</v>
      </c>
      <c r="W146">
        <v>8</v>
      </c>
      <c r="X146">
        <v>8</v>
      </c>
      <c r="Y146">
        <v>8</v>
      </c>
      <c r="Z146">
        <v>0</v>
      </c>
      <c r="AD146" t="s">
        <v>1996</v>
      </c>
    </row>
    <row r="147" spans="1:30">
      <c r="A147" s="18" t="s">
        <v>2009</v>
      </c>
      <c r="B147" t="s">
        <v>37</v>
      </c>
      <c r="C147" t="s">
        <v>2010</v>
      </c>
      <c r="D147" t="s">
        <v>1656</v>
      </c>
      <c r="E147">
        <v>100</v>
      </c>
      <c r="F147">
        <v>150</v>
      </c>
      <c r="G147">
        <v>93</v>
      </c>
      <c r="H147">
        <v>0</v>
      </c>
      <c r="I147">
        <v>120</v>
      </c>
      <c r="J147">
        <v>96</v>
      </c>
      <c r="K147">
        <v>0</v>
      </c>
      <c r="L147" s="17">
        <v>92</v>
      </c>
      <c r="M147">
        <v>50</v>
      </c>
      <c r="N147">
        <v>39</v>
      </c>
      <c r="O147">
        <v>33</v>
      </c>
      <c r="P147">
        <v>4</v>
      </c>
      <c r="Q147">
        <v>0</v>
      </c>
      <c r="R147" t="s">
        <v>2011</v>
      </c>
      <c r="S147" t="s">
        <v>2011</v>
      </c>
      <c r="T147" t="s">
        <v>2012</v>
      </c>
      <c r="U147" t="s">
        <v>2013</v>
      </c>
      <c r="V147">
        <f t="shared" si="5"/>
        <v>8</v>
      </c>
      <c r="W147">
        <v>2</v>
      </c>
      <c r="X147">
        <v>2</v>
      </c>
      <c r="Y147">
        <v>2</v>
      </c>
      <c r="Z147">
        <v>2</v>
      </c>
      <c r="AD147" t="s">
        <v>1996</v>
      </c>
    </row>
    <row r="148" spans="1:30">
      <c r="A148" s="18" t="s">
        <v>2014</v>
      </c>
      <c r="B148" t="s">
        <v>37</v>
      </c>
      <c r="C148" t="s">
        <v>1979</v>
      </c>
      <c r="D148" t="s">
        <v>1656</v>
      </c>
      <c r="E148">
        <v>110</v>
      </c>
      <c r="F148">
        <v>336</v>
      </c>
      <c r="G148">
        <v>190</v>
      </c>
      <c r="H148">
        <v>0</v>
      </c>
      <c r="I148">
        <v>250</v>
      </c>
      <c r="J148">
        <v>0</v>
      </c>
      <c r="K148">
        <v>0</v>
      </c>
      <c r="L148" s="17">
        <v>92</v>
      </c>
      <c r="M148">
        <v>75</v>
      </c>
      <c r="N148">
        <v>80</v>
      </c>
      <c r="O148">
        <v>36</v>
      </c>
      <c r="P148">
        <v>3</v>
      </c>
      <c r="Q148">
        <v>0</v>
      </c>
      <c r="R148" t="s">
        <v>1762</v>
      </c>
      <c r="S148" t="s">
        <v>1762</v>
      </c>
      <c r="T148" t="s">
        <v>1716</v>
      </c>
      <c r="U148" t="s">
        <v>1671</v>
      </c>
      <c r="V148">
        <f t="shared" si="5"/>
        <v>0</v>
      </c>
      <c r="W148">
        <v>0</v>
      </c>
      <c r="X148">
        <v>0</v>
      </c>
      <c r="Y148">
        <v>0</v>
      </c>
      <c r="Z148">
        <v>0</v>
      </c>
      <c r="AA148" s="1"/>
      <c r="AD148" t="s">
        <v>2015</v>
      </c>
    </row>
    <row r="149" spans="1:30">
      <c r="A149" s="18" t="s">
        <v>2016</v>
      </c>
      <c r="B149" t="s">
        <v>44</v>
      </c>
      <c r="C149" t="s">
        <v>2017</v>
      </c>
      <c r="D149" t="s">
        <v>1656</v>
      </c>
      <c r="E149">
        <v>110</v>
      </c>
      <c r="F149">
        <v>320</v>
      </c>
      <c r="G149">
        <v>110</v>
      </c>
      <c r="H149">
        <v>0</v>
      </c>
      <c r="I149">
        <v>185</v>
      </c>
      <c r="J149" s="14">
        <v>60</v>
      </c>
      <c r="K149">
        <v>0</v>
      </c>
      <c r="L149" s="17">
        <v>82</v>
      </c>
      <c r="M149">
        <v>82</v>
      </c>
      <c r="N149">
        <v>80</v>
      </c>
      <c r="O149">
        <v>32</v>
      </c>
      <c r="P149">
        <v>1</v>
      </c>
      <c r="Q149">
        <v>0</v>
      </c>
      <c r="R149" t="s">
        <v>2018</v>
      </c>
      <c r="S149" t="s">
        <v>2018</v>
      </c>
      <c r="T149" t="s">
        <v>2018</v>
      </c>
      <c r="U149" t="s">
        <v>2019</v>
      </c>
      <c r="V149">
        <f t="shared" si="5"/>
        <v>120</v>
      </c>
      <c r="W149">
        <v>30</v>
      </c>
      <c r="X149">
        <v>30</v>
      </c>
      <c r="Y149">
        <v>30</v>
      </c>
      <c r="Z149">
        <v>30</v>
      </c>
      <c r="AA149" s="1"/>
      <c r="AD149" t="s">
        <v>2015</v>
      </c>
    </row>
    <row r="150" spans="1:30">
      <c r="A150" s="18" t="s">
        <v>2020</v>
      </c>
      <c r="B150" t="s">
        <v>1950</v>
      </c>
      <c r="C150" t="s">
        <v>1976</v>
      </c>
      <c r="D150" t="s">
        <v>1656</v>
      </c>
      <c r="E150">
        <v>110</v>
      </c>
      <c r="F150">
        <v>666</v>
      </c>
      <c r="G150">
        <v>190</v>
      </c>
      <c r="H150">
        <v>0</v>
      </c>
      <c r="I150">
        <v>150</v>
      </c>
      <c r="J150" s="14">
        <v>20</v>
      </c>
      <c r="K150">
        <v>0</v>
      </c>
      <c r="L150" s="17">
        <v>30</v>
      </c>
      <c r="M150">
        <v>4</v>
      </c>
      <c r="N150">
        <v>80</v>
      </c>
      <c r="O150">
        <v>1</v>
      </c>
      <c r="P150">
        <v>4</v>
      </c>
      <c r="Q150">
        <v>0</v>
      </c>
      <c r="R150" t="s">
        <v>1762</v>
      </c>
      <c r="S150" t="s">
        <v>1762</v>
      </c>
      <c r="T150" t="s">
        <v>1712</v>
      </c>
      <c r="U150" t="s">
        <v>2018</v>
      </c>
      <c r="V150">
        <f t="shared" si="5"/>
        <v>200</v>
      </c>
      <c r="W150">
        <v>50</v>
      </c>
      <c r="X150">
        <v>50</v>
      </c>
      <c r="Y150">
        <v>50</v>
      </c>
      <c r="Z150">
        <v>50</v>
      </c>
      <c r="AD150" t="s">
        <v>2015</v>
      </c>
    </row>
    <row r="151" spans="1:30">
      <c r="A151" s="18" t="s">
        <v>2021</v>
      </c>
      <c r="B151" t="s">
        <v>37</v>
      </c>
      <c r="C151" t="s">
        <v>1974</v>
      </c>
      <c r="D151" t="s">
        <v>1656</v>
      </c>
      <c r="E151">
        <v>110</v>
      </c>
      <c r="F151">
        <v>233</v>
      </c>
      <c r="G151">
        <v>100</v>
      </c>
      <c r="H151">
        <v>0</v>
      </c>
      <c r="I151">
        <v>185</v>
      </c>
      <c r="J151">
        <v>0</v>
      </c>
      <c r="K151">
        <v>0</v>
      </c>
      <c r="L151" s="17">
        <v>92</v>
      </c>
      <c r="M151">
        <v>75</v>
      </c>
      <c r="N151">
        <v>80</v>
      </c>
      <c r="O151">
        <v>30</v>
      </c>
      <c r="P151">
        <v>3</v>
      </c>
      <c r="Q151">
        <v>0</v>
      </c>
      <c r="R151" t="s">
        <v>1762</v>
      </c>
      <c r="S151" t="s">
        <v>1762</v>
      </c>
      <c r="V151">
        <f t="shared" si="5"/>
        <v>0</v>
      </c>
      <c r="W151">
        <v>0</v>
      </c>
      <c r="X151">
        <v>0</v>
      </c>
      <c r="Y151">
        <v>0</v>
      </c>
      <c r="Z151">
        <v>0</v>
      </c>
      <c r="AA151" s="1" t="s">
        <v>2022</v>
      </c>
      <c r="AD151" t="s">
        <v>2015</v>
      </c>
    </row>
    <row r="152" spans="1:30">
      <c r="A152" s="18" t="s">
        <v>2023</v>
      </c>
      <c r="B152" t="s">
        <v>84</v>
      </c>
      <c r="C152" t="s">
        <v>2024</v>
      </c>
      <c r="D152" t="s">
        <v>1656</v>
      </c>
      <c r="E152">
        <v>110</v>
      </c>
      <c r="F152">
        <v>138</v>
      </c>
      <c r="G152">
        <v>80</v>
      </c>
      <c r="H152">
        <v>80</v>
      </c>
      <c r="I152">
        <v>130</v>
      </c>
      <c r="J152">
        <v>0</v>
      </c>
      <c r="K152">
        <v>0</v>
      </c>
      <c r="L152" s="17">
        <v>99</v>
      </c>
      <c r="M152">
        <v>79</v>
      </c>
      <c r="N152">
        <v>40</v>
      </c>
      <c r="O152">
        <v>32</v>
      </c>
      <c r="P152">
        <v>2</v>
      </c>
      <c r="Q152">
        <v>0</v>
      </c>
      <c r="R152" t="s">
        <v>1715</v>
      </c>
      <c r="V152">
        <f t="shared" si="5"/>
        <v>0</v>
      </c>
      <c r="W152">
        <v>0</v>
      </c>
      <c r="X152">
        <v>0</v>
      </c>
      <c r="Y152">
        <v>0</v>
      </c>
      <c r="Z152">
        <v>0</v>
      </c>
      <c r="AA152" s="1"/>
      <c r="AD152" t="s">
        <v>2015</v>
      </c>
    </row>
    <row r="153" spans="1:30">
      <c r="A153" s="18" t="s">
        <v>2025</v>
      </c>
      <c r="B153" t="s">
        <v>87</v>
      </c>
      <c r="C153" t="s">
        <v>2026</v>
      </c>
      <c r="D153" t="s">
        <v>1656</v>
      </c>
      <c r="E153">
        <v>110</v>
      </c>
      <c r="F153">
        <v>60</v>
      </c>
      <c r="G153">
        <v>0</v>
      </c>
      <c r="H153">
        <v>180</v>
      </c>
      <c r="I153">
        <v>50</v>
      </c>
      <c r="J153">
        <v>0</v>
      </c>
      <c r="K153">
        <v>0</v>
      </c>
      <c r="L153" s="17">
        <v>108</v>
      </c>
      <c r="M153">
        <v>10</v>
      </c>
      <c r="N153">
        <v>18</v>
      </c>
      <c r="O153">
        <v>22</v>
      </c>
      <c r="P153">
        <v>1</v>
      </c>
      <c r="Q153">
        <v>0</v>
      </c>
      <c r="V153">
        <f t="shared" si="5"/>
        <v>0</v>
      </c>
      <c r="W153">
        <v>0</v>
      </c>
      <c r="X153">
        <v>0</v>
      </c>
      <c r="Y153">
        <v>0</v>
      </c>
      <c r="Z153">
        <v>0</v>
      </c>
      <c r="AA153" s="1"/>
      <c r="AD153" t="s">
        <v>2015</v>
      </c>
    </row>
    <row r="154" spans="1:30">
      <c r="A154" s="18" t="s">
        <v>2027</v>
      </c>
      <c r="B154" t="s">
        <v>37</v>
      </c>
      <c r="C154" s="1">
        <v>111</v>
      </c>
      <c r="D154" t="s">
        <v>1656</v>
      </c>
      <c r="E154">
        <v>110</v>
      </c>
      <c r="F154">
        <v>666</v>
      </c>
      <c r="G154">
        <v>220</v>
      </c>
      <c r="H154">
        <v>0</v>
      </c>
      <c r="I154">
        <v>180</v>
      </c>
      <c r="J154" s="17">
        <v>50</v>
      </c>
      <c r="K154">
        <v>0</v>
      </c>
      <c r="L154" s="17">
        <v>160</v>
      </c>
      <c r="M154" s="14">
        <v>100</v>
      </c>
      <c r="N154" s="14">
        <v>63</v>
      </c>
      <c r="O154" s="14">
        <v>27</v>
      </c>
      <c r="P154">
        <v>4</v>
      </c>
      <c r="Q154">
        <v>0</v>
      </c>
      <c r="R154" t="s">
        <v>2002</v>
      </c>
      <c r="S154" t="s">
        <v>2002</v>
      </c>
      <c r="T154" t="s">
        <v>2006</v>
      </c>
      <c r="U154" t="s">
        <v>1762</v>
      </c>
      <c r="V154">
        <f t="shared" si="5"/>
        <v>0</v>
      </c>
      <c r="W154">
        <v>0</v>
      </c>
      <c r="X154">
        <v>0</v>
      </c>
      <c r="Y154">
        <v>0</v>
      </c>
      <c r="Z154">
        <v>0</v>
      </c>
      <c r="AA154" s="1" t="s">
        <v>2028</v>
      </c>
      <c r="AD154" t="s">
        <v>2029</v>
      </c>
    </row>
    <row r="155" spans="1:30">
      <c r="A155" s="18" t="s">
        <v>2030</v>
      </c>
      <c r="B155" t="s">
        <v>37</v>
      </c>
      <c r="C155" t="s">
        <v>2031</v>
      </c>
      <c r="D155" t="s">
        <v>1656</v>
      </c>
      <c r="E155">
        <v>110</v>
      </c>
      <c r="F155">
        <v>450</v>
      </c>
      <c r="G155">
        <v>370</v>
      </c>
      <c r="H155">
        <v>0</v>
      </c>
      <c r="I155">
        <v>250</v>
      </c>
      <c r="J155" s="17">
        <v>50</v>
      </c>
      <c r="K155">
        <v>0</v>
      </c>
      <c r="L155" s="17">
        <v>160</v>
      </c>
      <c r="M155" s="14">
        <v>100</v>
      </c>
      <c r="N155" s="14">
        <v>63</v>
      </c>
      <c r="O155" s="14">
        <v>27</v>
      </c>
      <c r="P155">
        <v>4</v>
      </c>
      <c r="Q155">
        <v>0</v>
      </c>
      <c r="R155" t="s">
        <v>2002</v>
      </c>
      <c r="S155" t="s">
        <v>2002</v>
      </c>
      <c r="T155" t="s">
        <v>2006</v>
      </c>
      <c r="U155" t="s">
        <v>1762</v>
      </c>
      <c r="V155">
        <f t="shared" si="5"/>
        <v>0</v>
      </c>
      <c r="W155">
        <v>0</v>
      </c>
      <c r="X155">
        <v>0</v>
      </c>
      <c r="Y155">
        <v>0</v>
      </c>
      <c r="Z155">
        <v>0</v>
      </c>
      <c r="AA155" s="1"/>
      <c r="AD155" t="s">
        <v>2029</v>
      </c>
    </row>
    <row r="156" spans="1:30">
      <c r="A156" s="18" t="s">
        <v>2032</v>
      </c>
      <c r="B156" t="s">
        <v>37</v>
      </c>
      <c r="C156" t="s">
        <v>2031</v>
      </c>
      <c r="D156" t="s">
        <v>1656</v>
      </c>
      <c r="E156">
        <v>80</v>
      </c>
      <c r="F156">
        <v>225</v>
      </c>
      <c r="G156">
        <v>145</v>
      </c>
      <c r="H156">
        <v>0</v>
      </c>
      <c r="I156">
        <v>125</v>
      </c>
      <c r="J156" s="17">
        <v>50</v>
      </c>
      <c r="K156">
        <v>0</v>
      </c>
      <c r="L156" s="17">
        <v>80</v>
      </c>
      <c r="M156" s="14">
        <v>50</v>
      </c>
      <c r="N156" s="14">
        <v>33</v>
      </c>
      <c r="O156" s="14">
        <v>27</v>
      </c>
      <c r="P156">
        <v>4</v>
      </c>
      <c r="Q156">
        <v>0</v>
      </c>
      <c r="R156" t="s">
        <v>2002</v>
      </c>
      <c r="S156" t="s">
        <v>2002</v>
      </c>
      <c r="T156" t="s">
        <v>2006</v>
      </c>
      <c r="U156" t="s">
        <v>1762</v>
      </c>
      <c r="V156">
        <f t="shared" si="5"/>
        <v>0</v>
      </c>
      <c r="W156">
        <v>0</v>
      </c>
      <c r="X156">
        <v>0</v>
      </c>
      <c r="Y156">
        <v>0</v>
      </c>
      <c r="Z156">
        <v>0</v>
      </c>
      <c r="AA156" s="1"/>
      <c r="AD156" t="s">
        <v>2029</v>
      </c>
    </row>
    <row r="157" spans="1:30">
      <c r="A157" s="18" t="s">
        <v>2033</v>
      </c>
      <c r="B157" t="s">
        <v>37</v>
      </c>
      <c r="C157" t="s">
        <v>2005</v>
      </c>
      <c r="D157" t="s">
        <v>1656</v>
      </c>
      <c r="E157">
        <v>110</v>
      </c>
      <c r="F157">
        <v>256</v>
      </c>
      <c r="G157">
        <v>220</v>
      </c>
      <c r="H157">
        <v>0</v>
      </c>
      <c r="I157">
        <v>180</v>
      </c>
      <c r="J157" s="17">
        <v>25</v>
      </c>
      <c r="K157">
        <v>0</v>
      </c>
      <c r="L157" s="17">
        <v>160</v>
      </c>
      <c r="M157" s="14">
        <v>100</v>
      </c>
      <c r="N157" s="14">
        <v>63</v>
      </c>
      <c r="O157" s="14">
        <v>27</v>
      </c>
      <c r="P157">
        <v>4</v>
      </c>
      <c r="Q157">
        <v>0</v>
      </c>
      <c r="R157" t="s">
        <v>2002</v>
      </c>
      <c r="S157" t="s">
        <v>2002</v>
      </c>
      <c r="T157" t="s">
        <v>2006</v>
      </c>
      <c r="U157" t="s">
        <v>1762</v>
      </c>
      <c r="V157">
        <f t="shared" si="5"/>
        <v>0</v>
      </c>
      <c r="W157">
        <v>0</v>
      </c>
      <c r="X157">
        <v>0</v>
      </c>
      <c r="Y157">
        <v>0</v>
      </c>
      <c r="Z157">
        <v>0</v>
      </c>
      <c r="AA157" s="1"/>
      <c r="AD157" t="s">
        <v>2029</v>
      </c>
    </row>
    <row r="158" spans="1:30">
      <c r="A158" s="18" t="s">
        <v>2034</v>
      </c>
      <c r="B158" t="s">
        <v>37</v>
      </c>
      <c r="C158" t="s">
        <v>2035</v>
      </c>
      <c r="D158" t="s">
        <v>1656</v>
      </c>
      <c r="E158">
        <v>110</v>
      </c>
      <c r="F158">
        <v>256</v>
      </c>
      <c r="G158">
        <v>220</v>
      </c>
      <c r="H158">
        <v>0</v>
      </c>
      <c r="I158">
        <v>180</v>
      </c>
      <c r="J158" s="17">
        <v>50</v>
      </c>
      <c r="K158">
        <v>0</v>
      </c>
      <c r="L158" s="17">
        <v>160</v>
      </c>
      <c r="M158" s="14">
        <v>100</v>
      </c>
      <c r="N158" s="14">
        <v>63</v>
      </c>
      <c r="O158" s="14">
        <v>24</v>
      </c>
      <c r="P158">
        <v>4</v>
      </c>
      <c r="Q158">
        <v>0</v>
      </c>
      <c r="R158" t="s">
        <v>2002</v>
      </c>
      <c r="S158" t="s">
        <v>2002</v>
      </c>
      <c r="T158" t="s">
        <v>2006</v>
      </c>
      <c r="U158" t="s">
        <v>1762</v>
      </c>
      <c r="V158">
        <f t="shared" si="5"/>
        <v>0</v>
      </c>
      <c r="W158">
        <v>0</v>
      </c>
      <c r="X158">
        <v>0</v>
      </c>
      <c r="Y158">
        <v>0</v>
      </c>
      <c r="Z158">
        <v>0</v>
      </c>
      <c r="AA158" s="1"/>
      <c r="AD158" t="s">
        <v>2029</v>
      </c>
    </row>
    <row r="159" spans="1:30">
      <c r="A159" s="18" t="s">
        <v>2036</v>
      </c>
      <c r="B159" t="s">
        <v>29</v>
      </c>
      <c r="C159" t="s">
        <v>2037</v>
      </c>
      <c r="D159" t="s">
        <v>1656</v>
      </c>
      <c r="E159">
        <v>110</v>
      </c>
      <c r="F159">
        <v>540</v>
      </c>
      <c r="G159">
        <v>20</v>
      </c>
      <c r="H159">
        <v>0</v>
      </c>
      <c r="I159">
        <v>180</v>
      </c>
      <c r="J159" s="17">
        <v>100</v>
      </c>
      <c r="K159">
        <v>0</v>
      </c>
      <c r="L159" s="17">
        <v>160</v>
      </c>
      <c r="M159" s="14">
        <v>100</v>
      </c>
      <c r="N159" s="14">
        <v>120</v>
      </c>
      <c r="O159" s="14">
        <v>35</v>
      </c>
      <c r="P159">
        <v>4</v>
      </c>
      <c r="Q159">
        <v>0</v>
      </c>
      <c r="R159" t="s">
        <v>1885</v>
      </c>
      <c r="S159" t="s">
        <v>2038</v>
      </c>
      <c r="T159" t="s">
        <v>2038</v>
      </c>
      <c r="U159" t="s">
        <v>2038</v>
      </c>
      <c r="V159">
        <f t="shared" si="5"/>
        <v>28</v>
      </c>
      <c r="W159">
        <v>7</v>
      </c>
      <c r="X159">
        <v>7</v>
      </c>
      <c r="Y159">
        <v>7</v>
      </c>
      <c r="Z159">
        <v>7</v>
      </c>
      <c r="AA159" s="1"/>
      <c r="AD159" t="s">
        <v>2029</v>
      </c>
    </row>
    <row r="160" spans="1:30">
      <c r="A160" s="18" t="s">
        <v>2039</v>
      </c>
      <c r="B160" t="s">
        <v>29</v>
      </c>
      <c r="C160" t="s">
        <v>2037</v>
      </c>
      <c r="D160" t="s">
        <v>1656</v>
      </c>
      <c r="E160">
        <v>80</v>
      </c>
      <c r="F160">
        <v>270</v>
      </c>
      <c r="G160">
        <v>10</v>
      </c>
      <c r="H160">
        <v>0</v>
      </c>
      <c r="I160">
        <v>90</v>
      </c>
      <c r="J160" s="17">
        <v>50</v>
      </c>
      <c r="K160">
        <v>0</v>
      </c>
      <c r="L160" s="17">
        <v>80</v>
      </c>
      <c r="M160" s="14">
        <v>50</v>
      </c>
      <c r="N160" s="14">
        <v>60</v>
      </c>
      <c r="O160" s="14">
        <v>35</v>
      </c>
      <c r="P160">
        <v>4</v>
      </c>
      <c r="Q160">
        <v>0</v>
      </c>
      <c r="R160" t="s">
        <v>1712</v>
      </c>
      <c r="S160" t="s">
        <v>1707</v>
      </c>
      <c r="T160" t="s">
        <v>1707</v>
      </c>
      <c r="U160" t="s">
        <v>1707</v>
      </c>
      <c r="V160">
        <f t="shared" si="5"/>
        <v>20</v>
      </c>
      <c r="W160">
        <v>5</v>
      </c>
      <c r="X160">
        <v>5</v>
      </c>
      <c r="Y160">
        <v>5</v>
      </c>
      <c r="Z160">
        <v>5</v>
      </c>
      <c r="AA160" s="1"/>
      <c r="AD160" t="s">
        <v>2029</v>
      </c>
    </row>
    <row r="161" spans="1:30">
      <c r="A161" s="18" t="s">
        <v>2040</v>
      </c>
      <c r="B161" t="s">
        <v>37</v>
      </c>
      <c r="C161" t="s">
        <v>2041</v>
      </c>
      <c r="D161" t="s">
        <v>1656</v>
      </c>
      <c r="E161">
        <v>110</v>
      </c>
      <c r="F161">
        <v>216</v>
      </c>
      <c r="G161">
        <v>220</v>
      </c>
      <c r="H161">
        <v>0</v>
      </c>
      <c r="I161">
        <v>180</v>
      </c>
      <c r="J161" s="17">
        <v>50</v>
      </c>
      <c r="K161">
        <v>0</v>
      </c>
      <c r="L161" s="17">
        <v>160</v>
      </c>
      <c r="M161" s="14">
        <v>100</v>
      </c>
      <c r="N161" s="14">
        <v>63</v>
      </c>
      <c r="O161" s="14">
        <v>27</v>
      </c>
      <c r="P161">
        <v>4</v>
      </c>
      <c r="Q161">
        <v>0</v>
      </c>
      <c r="R161" t="s">
        <v>2002</v>
      </c>
      <c r="S161" t="s">
        <v>2002</v>
      </c>
      <c r="T161" t="s">
        <v>2006</v>
      </c>
      <c r="U161" t="s">
        <v>1762</v>
      </c>
      <c r="V161">
        <f t="shared" si="5"/>
        <v>0</v>
      </c>
      <c r="W161">
        <v>0</v>
      </c>
      <c r="X161">
        <v>0</v>
      </c>
      <c r="Y161">
        <v>0</v>
      </c>
      <c r="Z161">
        <v>0</v>
      </c>
      <c r="AA161" s="1"/>
      <c r="AD161" t="s">
        <v>2029</v>
      </c>
    </row>
    <row r="162" spans="1:30">
      <c r="A162" s="18" t="s">
        <v>2042</v>
      </c>
      <c r="B162" t="s">
        <v>37</v>
      </c>
      <c r="C162" t="s">
        <v>1971</v>
      </c>
      <c r="D162" t="s">
        <v>1656</v>
      </c>
      <c r="E162">
        <v>110</v>
      </c>
      <c r="F162">
        <v>720</v>
      </c>
      <c r="G162">
        <v>300</v>
      </c>
      <c r="H162">
        <v>0</v>
      </c>
      <c r="I162">
        <v>250</v>
      </c>
      <c r="J162" s="14">
        <v>100</v>
      </c>
      <c r="K162">
        <v>0</v>
      </c>
      <c r="L162" s="17">
        <v>140</v>
      </c>
      <c r="M162" s="14">
        <v>80</v>
      </c>
      <c r="N162" s="14">
        <v>50</v>
      </c>
      <c r="O162" s="14">
        <v>28</v>
      </c>
      <c r="P162" s="14">
        <v>4</v>
      </c>
      <c r="Q162" s="14">
        <v>0</v>
      </c>
      <c r="V162">
        <f t="shared" si="5"/>
        <v>0</v>
      </c>
      <c r="W162" s="14">
        <v>0</v>
      </c>
      <c r="X162" s="14">
        <v>0</v>
      </c>
      <c r="Y162" s="14">
        <v>0</v>
      </c>
      <c r="Z162" s="14">
        <v>0</v>
      </c>
      <c r="AA162" s="18"/>
      <c r="AB162" s="14"/>
      <c r="AC162" s="14"/>
      <c r="AD162" t="s">
        <v>2043</v>
      </c>
    </row>
    <row r="163" spans="1:30">
      <c r="A163" s="18" t="s">
        <v>2044</v>
      </c>
      <c r="B163" t="s">
        <v>37</v>
      </c>
      <c r="C163" t="s">
        <v>1974</v>
      </c>
      <c r="D163" t="s">
        <v>1656</v>
      </c>
      <c r="E163">
        <v>110</v>
      </c>
      <c r="F163">
        <v>360</v>
      </c>
      <c r="G163">
        <v>300</v>
      </c>
      <c r="H163">
        <v>0</v>
      </c>
      <c r="I163">
        <v>185</v>
      </c>
      <c r="J163" s="14">
        <v>100</v>
      </c>
      <c r="K163">
        <v>0</v>
      </c>
      <c r="L163" s="17">
        <v>140</v>
      </c>
      <c r="M163" s="14">
        <v>80</v>
      </c>
      <c r="N163" s="14">
        <v>50</v>
      </c>
      <c r="O163" s="14">
        <v>30</v>
      </c>
      <c r="P163" s="14">
        <v>4</v>
      </c>
      <c r="Q163" s="14">
        <v>0</v>
      </c>
      <c r="V163">
        <f t="shared" si="5"/>
        <v>0</v>
      </c>
      <c r="W163" s="14">
        <v>0</v>
      </c>
      <c r="X163" s="14">
        <v>0</v>
      </c>
      <c r="Y163" s="14">
        <v>0</v>
      </c>
      <c r="Z163" s="14">
        <v>0</v>
      </c>
      <c r="AA163" s="18"/>
      <c r="AB163" s="14"/>
      <c r="AC163" s="14"/>
      <c r="AD163" t="s">
        <v>2043</v>
      </c>
    </row>
    <row r="164" spans="1:30">
      <c r="A164" s="18" t="s">
        <v>2045</v>
      </c>
      <c r="B164" t="s">
        <v>1950</v>
      </c>
      <c r="C164" t="s">
        <v>1976</v>
      </c>
      <c r="D164" t="s">
        <v>1656</v>
      </c>
      <c r="E164">
        <v>110</v>
      </c>
      <c r="F164">
        <v>666</v>
      </c>
      <c r="G164">
        <v>300</v>
      </c>
      <c r="H164">
        <v>0</v>
      </c>
      <c r="I164">
        <v>150</v>
      </c>
      <c r="J164" s="14">
        <v>150</v>
      </c>
      <c r="K164">
        <v>0</v>
      </c>
      <c r="L164" s="17">
        <v>140</v>
      </c>
      <c r="M164" s="14">
        <v>5</v>
      </c>
      <c r="N164" s="14">
        <v>60</v>
      </c>
      <c r="O164" s="14">
        <v>1</v>
      </c>
      <c r="P164" s="14">
        <v>4</v>
      </c>
      <c r="Q164" s="14">
        <v>0</v>
      </c>
      <c r="T164" t="s">
        <v>1778</v>
      </c>
      <c r="U164" t="s">
        <v>1778</v>
      </c>
      <c r="V164">
        <f t="shared" si="5"/>
        <v>80</v>
      </c>
      <c r="W164">
        <v>20</v>
      </c>
      <c r="X164">
        <v>20</v>
      </c>
      <c r="Y164">
        <v>20</v>
      </c>
      <c r="Z164">
        <v>20</v>
      </c>
      <c r="AA164" s="18"/>
      <c r="AB164" s="14"/>
      <c r="AC164" s="14"/>
      <c r="AD164" t="s">
        <v>2043</v>
      </c>
    </row>
    <row r="165" spans="1:30">
      <c r="A165" s="18" t="s">
        <v>2046</v>
      </c>
      <c r="B165" t="s">
        <v>1950</v>
      </c>
      <c r="C165" t="s">
        <v>1976</v>
      </c>
      <c r="D165" t="s">
        <v>1656</v>
      </c>
      <c r="E165">
        <v>110</v>
      </c>
      <c r="F165">
        <v>333</v>
      </c>
      <c r="G165">
        <v>300</v>
      </c>
      <c r="H165">
        <v>0</v>
      </c>
      <c r="I165">
        <v>150</v>
      </c>
      <c r="J165" s="14">
        <v>150</v>
      </c>
      <c r="K165">
        <v>0</v>
      </c>
      <c r="L165" s="17">
        <v>140</v>
      </c>
      <c r="M165" s="14">
        <v>5</v>
      </c>
      <c r="N165" s="14">
        <v>60</v>
      </c>
      <c r="O165" s="14">
        <v>1</v>
      </c>
      <c r="P165" s="14">
        <v>4</v>
      </c>
      <c r="Q165" s="14">
        <v>0</v>
      </c>
      <c r="T165" t="s">
        <v>1778</v>
      </c>
      <c r="U165" t="s">
        <v>1778</v>
      </c>
      <c r="V165">
        <f t="shared" si="5"/>
        <v>80</v>
      </c>
      <c r="W165">
        <v>20</v>
      </c>
      <c r="X165">
        <v>20</v>
      </c>
      <c r="Y165">
        <v>20</v>
      </c>
      <c r="Z165">
        <v>20</v>
      </c>
      <c r="AA165" s="18"/>
      <c r="AB165" s="14"/>
      <c r="AC165" s="14"/>
      <c r="AD165" t="s">
        <v>2043</v>
      </c>
    </row>
    <row r="166" spans="1:30">
      <c r="A166" s="18" t="s">
        <v>2047</v>
      </c>
      <c r="B166" t="s">
        <v>37</v>
      </c>
      <c r="C166" t="s">
        <v>1979</v>
      </c>
      <c r="D166" t="s">
        <v>1656</v>
      </c>
      <c r="E166">
        <v>110</v>
      </c>
      <c r="F166">
        <v>420</v>
      </c>
      <c r="G166">
        <v>300</v>
      </c>
      <c r="H166">
        <v>0</v>
      </c>
      <c r="I166">
        <v>185</v>
      </c>
      <c r="J166" s="14">
        <v>100</v>
      </c>
      <c r="K166">
        <v>0</v>
      </c>
      <c r="L166" s="17">
        <v>140</v>
      </c>
      <c r="M166" s="14">
        <v>80</v>
      </c>
      <c r="N166" s="14">
        <v>50</v>
      </c>
      <c r="O166" s="14">
        <v>36</v>
      </c>
      <c r="P166" s="14">
        <v>4</v>
      </c>
      <c r="Q166" s="14">
        <v>0</v>
      </c>
      <c r="V166">
        <f t="shared" si="5"/>
        <v>0</v>
      </c>
      <c r="W166" s="14">
        <v>0</v>
      </c>
      <c r="X166" s="14">
        <v>0</v>
      </c>
      <c r="Y166" s="14">
        <v>0</v>
      </c>
      <c r="Z166" s="14">
        <v>0</v>
      </c>
      <c r="AA166" s="18"/>
      <c r="AB166" s="14"/>
      <c r="AC166" s="14"/>
      <c r="AD166" t="s">
        <v>2043</v>
      </c>
    </row>
    <row r="167" spans="1:30">
      <c r="A167" s="18" t="s">
        <v>2048</v>
      </c>
      <c r="B167" t="s">
        <v>84</v>
      </c>
      <c r="C167" t="s">
        <v>2024</v>
      </c>
      <c r="D167" t="s">
        <v>1656</v>
      </c>
      <c r="E167">
        <v>110</v>
      </c>
      <c r="F167">
        <v>280</v>
      </c>
      <c r="G167">
        <v>130</v>
      </c>
      <c r="H167">
        <v>80</v>
      </c>
      <c r="I167">
        <v>185</v>
      </c>
      <c r="J167" s="14">
        <v>100</v>
      </c>
      <c r="K167">
        <v>0</v>
      </c>
      <c r="L167" s="17">
        <v>100</v>
      </c>
      <c r="M167" s="14">
        <v>80</v>
      </c>
      <c r="N167" s="14">
        <v>50</v>
      </c>
      <c r="O167" s="14">
        <v>32</v>
      </c>
      <c r="P167" s="14">
        <v>3</v>
      </c>
      <c r="Q167" s="14">
        <v>0</v>
      </c>
      <c r="R167" s="14" t="s">
        <v>1758</v>
      </c>
      <c r="S167" s="14"/>
      <c r="T167" s="14"/>
      <c r="U167" s="14"/>
      <c r="V167">
        <f t="shared" si="5"/>
        <v>0</v>
      </c>
      <c r="W167" s="14">
        <v>0</v>
      </c>
      <c r="X167" s="14">
        <v>0</v>
      </c>
      <c r="Y167" s="14">
        <v>0</v>
      </c>
      <c r="Z167" s="14">
        <v>0</v>
      </c>
      <c r="AA167" s="18"/>
      <c r="AB167" s="14"/>
      <c r="AC167" s="14"/>
      <c r="AD167" t="s">
        <v>2043</v>
      </c>
    </row>
    <row r="168" spans="1:30">
      <c r="A168" s="18" t="s">
        <v>2049</v>
      </c>
      <c r="B168" t="s">
        <v>29</v>
      </c>
      <c r="C168" t="s">
        <v>2050</v>
      </c>
      <c r="D168" t="s">
        <v>1656</v>
      </c>
      <c r="E168">
        <v>120</v>
      </c>
      <c r="F168">
        <v>666</v>
      </c>
      <c r="G168">
        <v>300</v>
      </c>
      <c r="H168">
        <v>0</v>
      </c>
      <c r="I168">
        <v>180</v>
      </c>
      <c r="J168" s="14">
        <v>70</v>
      </c>
      <c r="K168">
        <v>0</v>
      </c>
      <c r="L168" s="14">
        <v>150</v>
      </c>
      <c r="M168">
        <v>120</v>
      </c>
      <c r="N168">
        <v>80</v>
      </c>
      <c r="O168">
        <v>30</v>
      </c>
      <c r="P168">
        <v>3</v>
      </c>
      <c r="Q168">
        <v>0</v>
      </c>
      <c r="R168" t="s">
        <v>2018</v>
      </c>
      <c r="S168" t="s">
        <v>2018</v>
      </c>
      <c r="T168" t="s">
        <v>2038</v>
      </c>
      <c r="U168" t="s">
        <v>2019</v>
      </c>
      <c r="V168">
        <f t="shared" si="5"/>
        <v>120</v>
      </c>
      <c r="W168">
        <v>30</v>
      </c>
      <c r="X168">
        <v>30</v>
      </c>
      <c r="Y168">
        <v>30</v>
      </c>
      <c r="Z168">
        <v>30</v>
      </c>
      <c r="AA168" s="1"/>
      <c r="AD168" t="s">
        <v>2051</v>
      </c>
    </row>
    <row r="169" spans="1:30">
      <c r="A169" s="18" t="s">
        <v>2052</v>
      </c>
      <c r="B169" t="s">
        <v>1950</v>
      </c>
      <c r="C169" t="s">
        <v>1976</v>
      </c>
      <c r="D169" t="s">
        <v>1656</v>
      </c>
      <c r="E169">
        <v>120</v>
      </c>
      <c r="F169">
        <v>466</v>
      </c>
      <c r="G169">
        <v>300</v>
      </c>
      <c r="H169">
        <v>0</v>
      </c>
      <c r="I169">
        <v>180</v>
      </c>
      <c r="J169" s="14">
        <v>70</v>
      </c>
      <c r="K169">
        <v>0</v>
      </c>
      <c r="L169" s="14">
        <v>150</v>
      </c>
      <c r="M169">
        <v>120</v>
      </c>
      <c r="N169">
        <v>80</v>
      </c>
      <c r="O169">
        <v>21</v>
      </c>
      <c r="P169">
        <v>3</v>
      </c>
      <c r="Q169">
        <v>0</v>
      </c>
      <c r="R169" t="s">
        <v>1778</v>
      </c>
      <c r="S169" t="s">
        <v>1778</v>
      </c>
      <c r="T169" t="s">
        <v>1778</v>
      </c>
      <c r="U169" t="s">
        <v>1712</v>
      </c>
      <c r="V169">
        <f t="shared" si="5"/>
        <v>120</v>
      </c>
      <c r="W169">
        <v>30</v>
      </c>
      <c r="X169">
        <v>30</v>
      </c>
      <c r="Y169">
        <v>30</v>
      </c>
      <c r="Z169">
        <v>30</v>
      </c>
      <c r="AA169" s="1"/>
      <c r="AD169" t="s">
        <v>2051</v>
      </c>
    </row>
    <row r="170" spans="1:30">
      <c r="A170" s="18" t="s">
        <v>2053</v>
      </c>
      <c r="B170" t="s">
        <v>37</v>
      </c>
      <c r="C170" t="s">
        <v>1974</v>
      </c>
      <c r="D170" t="s">
        <v>1656</v>
      </c>
      <c r="E170">
        <v>120</v>
      </c>
      <c r="F170">
        <v>333</v>
      </c>
      <c r="G170">
        <v>300</v>
      </c>
      <c r="H170">
        <v>0</v>
      </c>
      <c r="I170">
        <v>180</v>
      </c>
      <c r="J170" s="14">
        <v>70</v>
      </c>
      <c r="K170">
        <v>0</v>
      </c>
      <c r="L170" s="14">
        <v>150</v>
      </c>
      <c r="M170">
        <v>120</v>
      </c>
      <c r="N170">
        <v>80</v>
      </c>
      <c r="O170">
        <v>30</v>
      </c>
      <c r="P170">
        <v>3</v>
      </c>
      <c r="Q170">
        <v>0</v>
      </c>
      <c r="V170">
        <f t="shared" ref="V170:V201" si="6">SUM($W170:$Z170)</f>
        <v>0</v>
      </c>
      <c r="W170">
        <v>0</v>
      </c>
      <c r="X170">
        <v>0</v>
      </c>
      <c r="Y170">
        <v>0</v>
      </c>
      <c r="Z170">
        <v>0</v>
      </c>
      <c r="AA170" s="1"/>
      <c r="AD170" t="s">
        <v>2051</v>
      </c>
    </row>
    <row r="171" spans="1:30">
      <c r="A171" s="18" t="s">
        <v>2054</v>
      </c>
      <c r="B171" t="s">
        <v>44</v>
      </c>
      <c r="C171" t="s">
        <v>2017</v>
      </c>
      <c r="D171" t="s">
        <v>1656</v>
      </c>
      <c r="E171">
        <v>120</v>
      </c>
      <c r="F171">
        <v>450</v>
      </c>
      <c r="G171">
        <v>200</v>
      </c>
      <c r="H171">
        <v>0</v>
      </c>
      <c r="I171">
        <v>180</v>
      </c>
      <c r="J171" s="14">
        <v>70</v>
      </c>
      <c r="K171">
        <v>0</v>
      </c>
      <c r="L171" s="14">
        <v>150</v>
      </c>
      <c r="M171">
        <v>90</v>
      </c>
      <c r="N171">
        <v>80</v>
      </c>
      <c r="O171">
        <v>32</v>
      </c>
      <c r="P171">
        <v>3</v>
      </c>
      <c r="Q171">
        <v>0</v>
      </c>
      <c r="R171" t="s">
        <v>2018</v>
      </c>
      <c r="S171" t="s">
        <v>2018</v>
      </c>
      <c r="T171" t="s">
        <v>2018</v>
      </c>
      <c r="U171" t="s">
        <v>2019</v>
      </c>
      <c r="V171">
        <f t="shared" si="6"/>
        <v>120</v>
      </c>
      <c r="W171">
        <v>30</v>
      </c>
      <c r="X171">
        <v>30</v>
      </c>
      <c r="Y171">
        <v>30</v>
      </c>
      <c r="Z171">
        <v>30</v>
      </c>
      <c r="AA171" s="1"/>
      <c r="AD171" t="s">
        <v>2051</v>
      </c>
    </row>
    <row r="172" spans="1:30">
      <c r="A172" s="18" t="s">
        <v>2055</v>
      </c>
      <c r="B172" t="s">
        <v>37</v>
      </c>
      <c r="C172" s="1">
        <v>111</v>
      </c>
      <c r="D172" t="s">
        <v>1656</v>
      </c>
      <c r="E172">
        <v>120</v>
      </c>
      <c r="F172">
        <v>270</v>
      </c>
      <c r="G172">
        <v>200</v>
      </c>
      <c r="H172">
        <v>0</v>
      </c>
      <c r="I172">
        <v>180</v>
      </c>
      <c r="J172" s="14">
        <v>70</v>
      </c>
      <c r="K172">
        <v>0</v>
      </c>
      <c r="L172" s="14">
        <v>150</v>
      </c>
      <c r="M172">
        <v>90</v>
      </c>
      <c r="N172">
        <v>80</v>
      </c>
      <c r="O172">
        <v>30</v>
      </c>
      <c r="P172">
        <v>3</v>
      </c>
      <c r="Q172">
        <v>0</v>
      </c>
      <c r="V172">
        <f t="shared" si="6"/>
        <v>0</v>
      </c>
      <c r="W172">
        <v>0</v>
      </c>
      <c r="X172">
        <v>0</v>
      </c>
      <c r="Y172">
        <v>0</v>
      </c>
      <c r="Z172">
        <v>0</v>
      </c>
      <c r="AA172" s="1"/>
      <c r="AD172" t="s">
        <v>2051</v>
      </c>
    </row>
    <row r="173" spans="1:30">
      <c r="A173" s="18" t="s">
        <v>2056</v>
      </c>
      <c r="B173" t="s">
        <v>105</v>
      </c>
      <c r="C173" t="s">
        <v>2008</v>
      </c>
      <c r="D173" t="s">
        <v>1656</v>
      </c>
      <c r="E173">
        <v>120</v>
      </c>
      <c r="F173">
        <v>233</v>
      </c>
      <c r="G173">
        <v>70</v>
      </c>
      <c r="H173">
        <v>0</v>
      </c>
      <c r="I173">
        <v>180</v>
      </c>
      <c r="J173" s="14">
        <v>70</v>
      </c>
      <c r="K173">
        <v>0</v>
      </c>
      <c r="L173" s="14">
        <v>150</v>
      </c>
      <c r="M173">
        <v>90</v>
      </c>
      <c r="N173">
        <v>30</v>
      </c>
      <c r="O173">
        <v>35</v>
      </c>
      <c r="P173">
        <v>3</v>
      </c>
      <c r="Q173">
        <v>0</v>
      </c>
      <c r="R173" t="s">
        <v>1894</v>
      </c>
      <c r="S173" t="s">
        <v>1895</v>
      </c>
      <c r="T173" t="s">
        <v>1895</v>
      </c>
      <c r="U173" t="s">
        <v>1895</v>
      </c>
      <c r="V173">
        <f t="shared" si="6"/>
        <v>32</v>
      </c>
      <c r="W173">
        <v>8</v>
      </c>
      <c r="X173">
        <v>8</v>
      </c>
      <c r="Y173">
        <v>8</v>
      </c>
      <c r="Z173">
        <v>8</v>
      </c>
      <c r="AA173" s="1"/>
      <c r="AD173" t="s">
        <v>2051</v>
      </c>
    </row>
    <row r="174" spans="1:30">
      <c r="A174" s="18" t="s">
        <v>2057</v>
      </c>
      <c r="B174" t="s">
        <v>87</v>
      </c>
      <c r="C174" t="s">
        <v>2026</v>
      </c>
      <c r="D174" t="s">
        <v>1656</v>
      </c>
      <c r="E174">
        <v>110</v>
      </c>
      <c r="F174">
        <v>88</v>
      </c>
      <c r="G174">
        <v>0</v>
      </c>
      <c r="H174">
        <v>180</v>
      </c>
      <c r="I174">
        <v>50</v>
      </c>
      <c r="J174">
        <v>0</v>
      </c>
      <c r="K174">
        <v>0</v>
      </c>
      <c r="L174" s="14">
        <v>100</v>
      </c>
      <c r="M174">
        <v>100</v>
      </c>
      <c r="N174">
        <v>18</v>
      </c>
      <c r="O174">
        <v>22</v>
      </c>
      <c r="P174">
        <v>1</v>
      </c>
      <c r="Q174">
        <v>0</v>
      </c>
      <c r="V174">
        <f t="shared" si="6"/>
        <v>0</v>
      </c>
      <c r="W174">
        <v>0</v>
      </c>
      <c r="X174">
        <v>0</v>
      </c>
      <c r="Y174">
        <v>0</v>
      </c>
      <c r="Z174">
        <v>0</v>
      </c>
      <c r="AA174" s="1"/>
      <c r="AD174" t="s">
        <v>2015</v>
      </c>
    </row>
    <row r="175" spans="1:30">
      <c r="A175" s="18" t="s">
        <v>2058</v>
      </c>
      <c r="B175" t="s">
        <v>37</v>
      </c>
      <c r="C175" t="s">
        <v>1971</v>
      </c>
      <c r="D175" t="s">
        <v>1656</v>
      </c>
      <c r="E175">
        <v>110</v>
      </c>
      <c r="F175">
        <v>1100</v>
      </c>
      <c r="G175">
        <v>500</v>
      </c>
      <c r="H175">
        <v>0</v>
      </c>
      <c r="I175">
        <v>250</v>
      </c>
      <c r="J175" s="14">
        <v>100</v>
      </c>
      <c r="K175">
        <v>0</v>
      </c>
      <c r="L175" s="14">
        <v>150</v>
      </c>
      <c r="M175" s="14">
        <v>80</v>
      </c>
      <c r="N175" s="14">
        <v>50</v>
      </c>
      <c r="O175" s="14">
        <v>28</v>
      </c>
      <c r="P175" s="14">
        <v>4</v>
      </c>
      <c r="Q175" s="14">
        <v>0</v>
      </c>
      <c r="V175">
        <f t="shared" si="6"/>
        <v>0</v>
      </c>
      <c r="W175" s="14">
        <v>0</v>
      </c>
      <c r="X175" s="14">
        <v>0</v>
      </c>
      <c r="Y175" s="14">
        <v>0</v>
      </c>
      <c r="Z175" s="14">
        <v>0</v>
      </c>
      <c r="AA175" s="18"/>
      <c r="AB175" s="14"/>
      <c r="AC175" s="14"/>
      <c r="AD175" t="s">
        <v>2059</v>
      </c>
    </row>
    <row r="176" spans="1:30">
      <c r="A176" s="18" t="s">
        <v>2060</v>
      </c>
      <c r="B176" t="s">
        <v>37</v>
      </c>
      <c r="C176" t="s">
        <v>1974</v>
      </c>
      <c r="D176" t="s">
        <v>1656</v>
      </c>
      <c r="E176">
        <v>110</v>
      </c>
      <c r="F176">
        <v>450</v>
      </c>
      <c r="G176">
        <v>432</v>
      </c>
      <c r="H176">
        <v>0</v>
      </c>
      <c r="I176">
        <v>250</v>
      </c>
      <c r="J176" s="14">
        <v>100</v>
      </c>
      <c r="K176">
        <v>0</v>
      </c>
      <c r="L176" s="14">
        <v>150</v>
      </c>
      <c r="M176" s="14">
        <v>80</v>
      </c>
      <c r="N176" s="14">
        <v>50</v>
      </c>
      <c r="O176" s="14">
        <v>30</v>
      </c>
      <c r="P176" s="14">
        <v>4</v>
      </c>
      <c r="Q176" s="14">
        <v>0</v>
      </c>
      <c r="V176">
        <f t="shared" si="6"/>
        <v>0</v>
      </c>
      <c r="W176" s="14">
        <v>0</v>
      </c>
      <c r="X176" s="14">
        <v>0</v>
      </c>
      <c r="Y176" s="14">
        <v>0</v>
      </c>
      <c r="Z176" s="14">
        <v>0</v>
      </c>
      <c r="AA176" s="18"/>
      <c r="AB176" s="14"/>
      <c r="AC176" s="14"/>
      <c r="AD176" t="s">
        <v>2059</v>
      </c>
    </row>
    <row r="177" spans="1:30">
      <c r="A177" s="18" t="s">
        <v>2061</v>
      </c>
      <c r="B177" t="s">
        <v>1950</v>
      </c>
      <c r="C177" t="s">
        <v>1976</v>
      </c>
      <c r="D177" t="s">
        <v>1656</v>
      </c>
      <c r="E177">
        <v>110</v>
      </c>
      <c r="F177">
        <v>666</v>
      </c>
      <c r="G177">
        <v>500</v>
      </c>
      <c r="H177">
        <v>0</v>
      </c>
      <c r="I177">
        <v>150</v>
      </c>
      <c r="J177" s="14">
        <v>150</v>
      </c>
      <c r="K177">
        <v>0</v>
      </c>
      <c r="L177" s="14">
        <v>150</v>
      </c>
      <c r="M177" s="14">
        <v>5</v>
      </c>
      <c r="N177" s="14">
        <v>60</v>
      </c>
      <c r="O177" s="14">
        <v>1</v>
      </c>
      <c r="P177" s="14">
        <v>4</v>
      </c>
      <c r="Q177" s="14">
        <v>0</v>
      </c>
      <c r="T177" t="s">
        <v>1778</v>
      </c>
      <c r="U177" t="s">
        <v>1778</v>
      </c>
      <c r="V177">
        <f t="shared" si="6"/>
        <v>80</v>
      </c>
      <c r="W177">
        <v>20</v>
      </c>
      <c r="X177">
        <v>20</v>
      </c>
      <c r="Y177">
        <v>20</v>
      </c>
      <c r="Z177">
        <v>20</v>
      </c>
      <c r="AA177" s="18"/>
      <c r="AB177" s="14"/>
      <c r="AC177" s="14"/>
      <c r="AD177" t="s">
        <v>2059</v>
      </c>
    </row>
    <row r="178" spans="1:30">
      <c r="A178" s="18" t="s">
        <v>2062</v>
      </c>
      <c r="B178" t="s">
        <v>1883</v>
      </c>
      <c r="C178" t="s">
        <v>2063</v>
      </c>
      <c r="D178" t="s">
        <v>1656</v>
      </c>
      <c r="E178">
        <v>110</v>
      </c>
      <c r="F178">
        <v>432</v>
      </c>
      <c r="G178">
        <v>500</v>
      </c>
      <c r="H178">
        <v>0</v>
      </c>
      <c r="I178">
        <v>185</v>
      </c>
      <c r="J178" s="14">
        <v>150</v>
      </c>
      <c r="K178">
        <v>0</v>
      </c>
      <c r="L178" s="14">
        <v>150</v>
      </c>
      <c r="M178" s="14">
        <v>80</v>
      </c>
      <c r="N178" s="14">
        <v>60</v>
      </c>
      <c r="O178" s="14">
        <v>30</v>
      </c>
      <c r="P178" s="14">
        <v>4</v>
      </c>
      <c r="Q178" s="14">
        <v>0</v>
      </c>
      <c r="T178" t="s">
        <v>1778</v>
      </c>
      <c r="U178" t="s">
        <v>1778</v>
      </c>
      <c r="V178">
        <f t="shared" si="6"/>
        <v>80</v>
      </c>
      <c r="W178">
        <v>20</v>
      </c>
      <c r="X178">
        <v>20</v>
      </c>
      <c r="Y178">
        <v>20</v>
      </c>
      <c r="Z178">
        <v>20</v>
      </c>
      <c r="AA178" s="18"/>
      <c r="AB178" s="14"/>
      <c r="AC178" s="14"/>
      <c r="AD178" t="s">
        <v>2059</v>
      </c>
    </row>
    <row r="179" spans="1:30">
      <c r="A179" s="18" t="s">
        <v>2064</v>
      </c>
      <c r="B179" t="s">
        <v>37</v>
      </c>
      <c r="C179" t="s">
        <v>1979</v>
      </c>
      <c r="D179" t="s">
        <v>1656</v>
      </c>
      <c r="E179">
        <v>110</v>
      </c>
      <c r="F179">
        <v>420</v>
      </c>
      <c r="G179">
        <v>300</v>
      </c>
      <c r="H179">
        <v>0</v>
      </c>
      <c r="I179">
        <v>185</v>
      </c>
      <c r="J179" s="14">
        <v>100</v>
      </c>
      <c r="K179">
        <v>0</v>
      </c>
      <c r="L179" s="14">
        <v>150</v>
      </c>
      <c r="M179" s="14">
        <v>80</v>
      </c>
      <c r="N179" s="14">
        <v>50</v>
      </c>
      <c r="O179" s="14">
        <v>36</v>
      </c>
      <c r="P179" s="14">
        <v>4</v>
      </c>
      <c r="Q179" s="14">
        <v>0</v>
      </c>
      <c r="V179">
        <f t="shared" si="6"/>
        <v>0</v>
      </c>
      <c r="W179" s="14">
        <v>0</v>
      </c>
      <c r="X179" s="14">
        <v>0</v>
      </c>
      <c r="Y179" s="14">
        <v>0</v>
      </c>
      <c r="Z179" s="14">
        <v>0</v>
      </c>
      <c r="AA179" s="18"/>
      <c r="AB179" s="14"/>
      <c r="AC179" s="14"/>
      <c r="AD179" t="s">
        <v>2059</v>
      </c>
    </row>
    <row r="180" spans="1:30">
      <c r="A180" s="18" t="s">
        <v>2065</v>
      </c>
      <c r="B180" t="s">
        <v>1998</v>
      </c>
      <c r="C180" t="s">
        <v>2066</v>
      </c>
      <c r="D180" t="s">
        <v>1656</v>
      </c>
      <c r="E180">
        <v>75</v>
      </c>
      <c r="F180">
        <v>540</v>
      </c>
      <c r="G180">
        <v>300</v>
      </c>
      <c r="H180">
        <v>0</v>
      </c>
      <c r="I180">
        <v>188</v>
      </c>
      <c r="J180" s="14">
        <v>100</v>
      </c>
      <c r="K180">
        <v>0</v>
      </c>
      <c r="L180" s="14">
        <v>110</v>
      </c>
      <c r="M180" s="14">
        <v>80</v>
      </c>
      <c r="N180" s="14">
        <v>40</v>
      </c>
      <c r="O180" s="14">
        <v>1</v>
      </c>
      <c r="P180" s="14">
        <v>3</v>
      </c>
      <c r="Q180" s="14">
        <v>0</v>
      </c>
      <c r="R180" t="s">
        <v>2067</v>
      </c>
      <c r="S180" t="s">
        <v>2067</v>
      </c>
      <c r="T180" t="s">
        <v>2067</v>
      </c>
      <c r="U180" t="s">
        <v>2068</v>
      </c>
      <c r="V180">
        <f t="shared" si="6"/>
        <v>80</v>
      </c>
      <c r="W180" s="14">
        <v>20</v>
      </c>
      <c r="X180" s="14">
        <v>20</v>
      </c>
      <c r="Y180" s="14">
        <v>20</v>
      </c>
      <c r="Z180" s="14">
        <v>20</v>
      </c>
      <c r="AA180" s="18"/>
      <c r="AB180" s="14"/>
      <c r="AC180" s="14"/>
      <c r="AD180" t="s">
        <v>2069</v>
      </c>
    </row>
    <row r="181" spans="1:30">
      <c r="A181" s="18" t="s">
        <v>2070</v>
      </c>
      <c r="B181" t="s">
        <v>237</v>
      </c>
      <c r="C181" t="s">
        <v>2071</v>
      </c>
      <c r="D181" t="s">
        <v>1656</v>
      </c>
      <c r="E181">
        <v>75</v>
      </c>
      <c r="F181">
        <v>228</v>
      </c>
      <c r="G181">
        <v>250</v>
      </c>
      <c r="H181">
        <v>0</v>
      </c>
      <c r="I181">
        <v>100</v>
      </c>
      <c r="J181" s="14">
        <v>70</v>
      </c>
      <c r="K181">
        <v>0</v>
      </c>
      <c r="L181" s="14">
        <v>110</v>
      </c>
      <c r="M181" s="14">
        <v>80</v>
      </c>
      <c r="N181" s="14">
        <v>40</v>
      </c>
      <c r="O181" s="14">
        <v>30</v>
      </c>
      <c r="P181" s="14">
        <v>3</v>
      </c>
      <c r="Q181" s="14">
        <v>0</v>
      </c>
      <c r="R181" t="s">
        <v>2067</v>
      </c>
      <c r="S181" t="s">
        <v>2067</v>
      </c>
      <c r="T181" t="s">
        <v>2067</v>
      </c>
      <c r="U181" t="s">
        <v>2068</v>
      </c>
      <c r="V181">
        <f t="shared" si="6"/>
        <v>80</v>
      </c>
      <c r="W181" s="14">
        <v>20</v>
      </c>
      <c r="X181" s="14">
        <v>20</v>
      </c>
      <c r="Y181" s="14">
        <v>20</v>
      </c>
      <c r="Z181" s="14">
        <v>20</v>
      </c>
      <c r="AA181" s="18"/>
      <c r="AB181" s="14"/>
      <c r="AC181" s="14"/>
      <c r="AD181" t="s">
        <v>2069</v>
      </c>
    </row>
    <row r="182" spans="1:30">
      <c r="A182" s="18" t="s">
        <v>2072</v>
      </c>
      <c r="B182" t="s">
        <v>51</v>
      </c>
      <c r="C182" t="s">
        <v>2073</v>
      </c>
      <c r="D182" t="s">
        <v>1656</v>
      </c>
      <c r="E182">
        <v>75</v>
      </c>
      <c r="F182">
        <v>310</v>
      </c>
      <c r="G182">
        <v>250</v>
      </c>
      <c r="H182">
        <v>0</v>
      </c>
      <c r="I182">
        <v>100</v>
      </c>
      <c r="J182" s="14">
        <v>70</v>
      </c>
      <c r="K182">
        <v>0</v>
      </c>
      <c r="L182" s="14">
        <v>110</v>
      </c>
      <c r="M182" s="14">
        <v>80</v>
      </c>
      <c r="N182" s="14">
        <v>40</v>
      </c>
      <c r="O182" s="14">
        <v>30</v>
      </c>
      <c r="P182" s="14">
        <v>3</v>
      </c>
      <c r="Q182" s="14">
        <v>0</v>
      </c>
      <c r="V182">
        <f t="shared" si="6"/>
        <v>0</v>
      </c>
      <c r="W182">
        <v>0</v>
      </c>
      <c r="X182">
        <v>0</v>
      </c>
      <c r="Y182">
        <v>0</v>
      </c>
      <c r="Z182">
        <v>0</v>
      </c>
      <c r="AA182" s="18"/>
      <c r="AB182" s="14"/>
      <c r="AC182" s="14"/>
      <c r="AD182" t="s">
        <v>2069</v>
      </c>
    </row>
    <row r="183" spans="1:30">
      <c r="A183" s="18" t="s">
        <v>2074</v>
      </c>
      <c r="B183" t="s">
        <v>84</v>
      </c>
      <c r="C183" t="s">
        <v>2075</v>
      </c>
      <c r="D183" t="s">
        <v>1656</v>
      </c>
      <c r="E183">
        <v>75</v>
      </c>
      <c r="F183">
        <v>147</v>
      </c>
      <c r="G183">
        <v>200</v>
      </c>
      <c r="H183">
        <v>80</v>
      </c>
      <c r="I183">
        <v>100</v>
      </c>
      <c r="J183" s="14">
        <v>70</v>
      </c>
      <c r="K183">
        <v>0</v>
      </c>
      <c r="L183" s="14">
        <v>110</v>
      </c>
      <c r="M183" s="14">
        <v>80</v>
      </c>
      <c r="N183" s="14">
        <v>40</v>
      </c>
      <c r="O183" s="14">
        <v>25</v>
      </c>
      <c r="P183" s="14">
        <v>2</v>
      </c>
      <c r="Q183" s="14">
        <v>0</v>
      </c>
      <c r="V183">
        <f t="shared" si="6"/>
        <v>0</v>
      </c>
      <c r="W183">
        <v>0</v>
      </c>
      <c r="X183">
        <v>0</v>
      </c>
      <c r="Y183">
        <v>0</v>
      </c>
      <c r="Z183">
        <v>0</v>
      </c>
      <c r="AA183" s="18"/>
      <c r="AB183" s="14"/>
      <c r="AC183" s="14"/>
      <c r="AD183" t="s">
        <v>2069</v>
      </c>
    </row>
    <row r="184" spans="1:30">
      <c r="A184" s="18" t="s">
        <v>2076</v>
      </c>
      <c r="B184" t="s">
        <v>84</v>
      </c>
      <c r="C184" t="s">
        <v>2077</v>
      </c>
      <c r="D184" t="s">
        <v>1656</v>
      </c>
      <c r="E184">
        <v>75</v>
      </c>
      <c r="F184">
        <v>180</v>
      </c>
      <c r="G184">
        <v>200</v>
      </c>
      <c r="H184">
        <v>80</v>
      </c>
      <c r="I184">
        <v>100</v>
      </c>
      <c r="J184" s="14">
        <v>70</v>
      </c>
      <c r="K184">
        <v>0</v>
      </c>
      <c r="L184" s="14">
        <v>110</v>
      </c>
      <c r="M184" s="14">
        <v>80</v>
      </c>
      <c r="N184" s="14">
        <v>40</v>
      </c>
      <c r="O184" s="14">
        <v>25</v>
      </c>
      <c r="P184" s="14">
        <v>2</v>
      </c>
      <c r="Q184" s="14">
        <v>0</v>
      </c>
      <c r="V184">
        <f t="shared" si="6"/>
        <v>0</v>
      </c>
      <c r="W184">
        <v>0</v>
      </c>
      <c r="X184">
        <v>0</v>
      </c>
      <c r="Y184">
        <v>0</v>
      </c>
      <c r="Z184">
        <v>0</v>
      </c>
      <c r="AA184" s="18"/>
      <c r="AB184" s="14"/>
      <c r="AC184" s="14"/>
      <c r="AD184" t="s">
        <v>2069</v>
      </c>
    </row>
    <row r="185" spans="1:30">
      <c r="A185" s="18" t="s">
        <v>2078</v>
      </c>
      <c r="B185" t="s">
        <v>87</v>
      </c>
      <c r="C185" t="s">
        <v>2079</v>
      </c>
      <c r="D185" t="s">
        <v>1656</v>
      </c>
      <c r="E185">
        <v>75</v>
      </c>
      <c r="F185">
        <v>64</v>
      </c>
      <c r="G185">
        <v>0</v>
      </c>
      <c r="H185">
        <v>180</v>
      </c>
      <c r="I185">
        <v>50</v>
      </c>
      <c r="J185" s="14">
        <v>0</v>
      </c>
      <c r="K185">
        <v>0</v>
      </c>
      <c r="L185" s="14">
        <v>110</v>
      </c>
      <c r="M185" s="14">
        <v>10</v>
      </c>
      <c r="N185" s="14">
        <v>40</v>
      </c>
      <c r="O185" s="14">
        <v>21</v>
      </c>
      <c r="P185" s="14">
        <v>1</v>
      </c>
      <c r="Q185" s="14">
        <v>0</v>
      </c>
      <c r="V185">
        <f t="shared" si="6"/>
        <v>0</v>
      </c>
      <c r="W185">
        <v>0</v>
      </c>
      <c r="X185">
        <v>0</v>
      </c>
      <c r="Y185">
        <v>0</v>
      </c>
      <c r="Z185">
        <v>0</v>
      </c>
      <c r="AA185" s="18"/>
      <c r="AB185" s="14"/>
      <c r="AC185" s="14"/>
      <c r="AD185" t="s">
        <v>2069</v>
      </c>
    </row>
    <row r="186" spans="1:30">
      <c r="A186" s="18" t="s">
        <v>2080</v>
      </c>
      <c r="B186" t="s">
        <v>37</v>
      </c>
      <c r="C186" t="s">
        <v>2081</v>
      </c>
      <c r="D186" t="s">
        <v>1656</v>
      </c>
      <c r="E186">
        <v>120</v>
      </c>
      <c r="F186">
        <v>1100</v>
      </c>
      <c r="G186">
        <v>888</v>
      </c>
      <c r="H186">
        <v>0</v>
      </c>
      <c r="I186">
        <v>250</v>
      </c>
      <c r="J186" s="14">
        <v>0</v>
      </c>
      <c r="K186">
        <v>0</v>
      </c>
      <c r="L186" s="14">
        <v>120</v>
      </c>
      <c r="M186" s="14">
        <v>80</v>
      </c>
      <c r="N186" s="14">
        <v>40</v>
      </c>
      <c r="O186" s="14">
        <v>30</v>
      </c>
      <c r="P186" s="14">
        <v>4</v>
      </c>
      <c r="Q186" s="14">
        <v>0</v>
      </c>
      <c r="V186">
        <f t="shared" si="6"/>
        <v>0</v>
      </c>
      <c r="W186">
        <v>0</v>
      </c>
      <c r="X186">
        <v>0</v>
      </c>
      <c r="Y186">
        <v>0</v>
      </c>
      <c r="Z186">
        <v>0</v>
      </c>
      <c r="AA186" s="18"/>
      <c r="AB186" s="14"/>
      <c r="AC186" s="14"/>
      <c r="AD186" t="s">
        <v>2082</v>
      </c>
    </row>
    <row r="187" spans="1:30">
      <c r="A187" s="18" t="s">
        <v>2083</v>
      </c>
      <c r="B187" t="s">
        <v>37</v>
      </c>
      <c r="C187" t="s">
        <v>2031</v>
      </c>
      <c r="D187" t="s">
        <v>1656</v>
      </c>
      <c r="E187">
        <v>120</v>
      </c>
      <c r="F187">
        <v>450</v>
      </c>
      <c r="G187">
        <v>400</v>
      </c>
      <c r="H187">
        <v>0</v>
      </c>
      <c r="I187">
        <v>250</v>
      </c>
      <c r="J187" s="14">
        <v>0</v>
      </c>
      <c r="K187">
        <v>0</v>
      </c>
      <c r="L187" s="14">
        <v>120</v>
      </c>
      <c r="M187" s="14">
        <v>80</v>
      </c>
      <c r="N187" s="14">
        <v>40</v>
      </c>
      <c r="O187" s="14">
        <v>30</v>
      </c>
      <c r="P187" s="14">
        <v>4</v>
      </c>
      <c r="Q187" s="14">
        <v>0</v>
      </c>
      <c r="V187">
        <f t="shared" si="6"/>
        <v>0</v>
      </c>
      <c r="W187">
        <v>0</v>
      </c>
      <c r="X187">
        <v>0</v>
      </c>
      <c r="Y187">
        <v>0</v>
      </c>
      <c r="Z187">
        <v>0</v>
      </c>
      <c r="AA187" s="18"/>
      <c r="AB187" s="14"/>
      <c r="AC187" s="14"/>
      <c r="AD187" t="s">
        <v>2082</v>
      </c>
    </row>
    <row r="188" spans="1:30">
      <c r="A188" s="18" t="s">
        <v>2084</v>
      </c>
      <c r="B188" t="s">
        <v>37</v>
      </c>
      <c r="C188" t="s">
        <v>2005</v>
      </c>
      <c r="D188" t="s">
        <v>1656</v>
      </c>
      <c r="E188">
        <v>120</v>
      </c>
      <c r="F188">
        <v>291</v>
      </c>
      <c r="G188">
        <v>200</v>
      </c>
      <c r="H188">
        <v>0</v>
      </c>
      <c r="I188">
        <v>120</v>
      </c>
      <c r="J188" s="14">
        <v>0</v>
      </c>
      <c r="K188">
        <v>0</v>
      </c>
      <c r="L188" s="14">
        <v>120</v>
      </c>
      <c r="M188" s="14">
        <v>80</v>
      </c>
      <c r="N188" s="14">
        <v>40</v>
      </c>
      <c r="O188" s="14">
        <v>30</v>
      </c>
      <c r="P188" s="14">
        <v>4</v>
      </c>
      <c r="Q188" s="14">
        <v>0</v>
      </c>
      <c r="V188">
        <f t="shared" si="6"/>
        <v>0</v>
      </c>
      <c r="W188">
        <v>0</v>
      </c>
      <c r="X188">
        <v>0</v>
      </c>
      <c r="Y188">
        <v>0</v>
      </c>
      <c r="Z188">
        <v>0</v>
      </c>
      <c r="AA188" s="18"/>
      <c r="AB188" s="14"/>
      <c r="AC188" s="14"/>
      <c r="AD188" t="s">
        <v>2082</v>
      </c>
    </row>
    <row r="189" spans="1:30">
      <c r="A189" s="18" t="s">
        <v>2085</v>
      </c>
      <c r="B189" t="s">
        <v>1998</v>
      </c>
      <c r="C189" t="s">
        <v>2086</v>
      </c>
      <c r="D189" t="s">
        <v>1656</v>
      </c>
      <c r="E189">
        <v>120</v>
      </c>
      <c r="F189">
        <v>666</v>
      </c>
      <c r="G189">
        <v>300</v>
      </c>
      <c r="H189">
        <v>0</v>
      </c>
      <c r="I189">
        <v>150</v>
      </c>
      <c r="J189" s="14">
        <v>0</v>
      </c>
      <c r="K189">
        <v>0</v>
      </c>
      <c r="L189" s="14">
        <v>120</v>
      </c>
      <c r="M189" s="14">
        <v>80</v>
      </c>
      <c r="N189" s="14">
        <v>40</v>
      </c>
      <c r="O189" s="14">
        <v>1</v>
      </c>
      <c r="P189" s="14">
        <v>4</v>
      </c>
      <c r="Q189" s="14">
        <v>0</v>
      </c>
      <c r="R189" t="s">
        <v>2067</v>
      </c>
      <c r="S189" t="s">
        <v>2067</v>
      </c>
      <c r="T189" t="s">
        <v>2067</v>
      </c>
      <c r="U189" t="s">
        <v>2068</v>
      </c>
      <c r="V189">
        <f t="shared" si="6"/>
        <v>40</v>
      </c>
      <c r="W189">
        <v>10</v>
      </c>
      <c r="X189">
        <v>10</v>
      </c>
      <c r="Y189">
        <v>10</v>
      </c>
      <c r="Z189">
        <v>10</v>
      </c>
      <c r="AA189" s="18"/>
      <c r="AB189" s="14"/>
      <c r="AC189" s="14"/>
      <c r="AD189" t="s">
        <v>2082</v>
      </c>
    </row>
    <row r="190" spans="1:30">
      <c r="A190" s="18" t="s">
        <v>2087</v>
      </c>
      <c r="B190" t="s">
        <v>37</v>
      </c>
      <c r="C190" s="1">
        <v>111</v>
      </c>
      <c r="D190" t="s">
        <v>1656</v>
      </c>
      <c r="E190">
        <v>120</v>
      </c>
      <c r="F190">
        <v>450</v>
      </c>
      <c r="G190">
        <v>400</v>
      </c>
      <c r="H190">
        <v>0</v>
      </c>
      <c r="I190">
        <v>250</v>
      </c>
      <c r="J190" s="14">
        <v>0</v>
      </c>
      <c r="K190">
        <v>0</v>
      </c>
      <c r="L190" s="14">
        <v>120</v>
      </c>
      <c r="M190" s="14">
        <v>80</v>
      </c>
      <c r="N190" s="14">
        <v>40</v>
      </c>
      <c r="O190" s="14">
        <v>30</v>
      </c>
      <c r="P190" s="14">
        <v>4</v>
      </c>
      <c r="Q190" s="14">
        <v>0</v>
      </c>
      <c r="V190">
        <f t="shared" si="6"/>
        <v>0</v>
      </c>
      <c r="W190">
        <v>0</v>
      </c>
      <c r="X190">
        <v>0</v>
      </c>
      <c r="Y190">
        <v>0</v>
      </c>
      <c r="Z190">
        <v>0</v>
      </c>
      <c r="AA190" s="18"/>
      <c r="AB190" s="14"/>
      <c r="AC190" s="14"/>
      <c r="AD190" t="s">
        <v>2082</v>
      </c>
    </row>
    <row r="191" spans="1:30">
      <c r="A191" s="18" t="s">
        <v>2088</v>
      </c>
      <c r="B191" t="s">
        <v>37</v>
      </c>
      <c r="C191" t="s">
        <v>2001</v>
      </c>
      <c r="D191" t="s">
        <v>1656</v>
      </c>
      <c r="E191">
        <v>120</v>
      </c>
      <c r="F191">
        <v>380</v>
      </c>
      <c r="G191">
        <v>200</v>
      </c>
      <c r="H191">
        <v>0</v>
      </c>
      <c r="I191">
        <v>120</v>
      </c>
      <c r="J191" s="14">
        <v>0</v>
      </c>
      <c r="K191">
        <v>0</v>
      </c>
      <c r="L191" s="14">
        <v>120</v>
      </c>
      <c r="M191" s="14">
        <v>80</v>
      </c>
      <c r="N191" s="14">
        <v>40</v>
      </c>
      <c r="O191" s="14">
        <v>30</v>
      </c>
      <c r="P191" s="14">
        <v>4</v>
      </c>
      <c r="Q191" s="14">
        <v>0</v>
      </c>
      <c r="V191">
        <f t="shared" si="6"/>
        <v>0</v>
      </c>
      <c r="W191">
        <v>0</v>
      </c>
      <c r="X191">
        <v>0</v>
      </c>
      <c r="Y191">
        <v>0</v>
      </c>
      <c r="Z191">
        <v>0</v>
      </c>
      <c r="AA191" s="18"/>
      <c r="AB191" s="14"/>
      <c r="AC191" s="14"/>
      <c r="AD191" t="s">
        <v>2082</v>
      </c>
    </row>
    <row r="192" spans="1:30">
      <c r="A192" s="18" t="s">
        <v>2089</v>
      </c>
      <c r="B192" t="s">
        <v>37</v>
      </c>
      <c r="C192" t="s">
        <v>2090</v>
      </c>
      <c r="D192" t="s">
        <v>1656</v>
      </c>
      <c r="E192">
        <v>95</v>
      </c>
      <c r="F192">
        <v>380</v>
      </c>
      <c r="G192">
        <v>300</v>
      </c>
      <c r="H192">
        <v>0</v>
      </c>
      <c r="I192">
        <v>185</v>
      </c>
      <c r="J192" s="14">
        <v>0</v>
      </c>
      <c r="K192">
        <v>0</v>
      </c>
      <c r="L192" s="14">
        <v>100</v>
      </c>
      <c r="M192" s="14">
        <v>80</v>
      </c>
      <c r="N192" s="14">
        <v>40</v>
      </c>
      <c r="O192" s="14">
        <v>30</v>
      </c>
      <c r="P192" s="14">
        <v>4</v>
      </c>
      <c r="Q192" s="14">
        <v>0</v>
      </c>
      <c r="V192">
        <f t="shared" si="6"/>
        <v>0</v>
      </c>
      <c r="W192">
        <v>0</v>
      </c>
      <c r="X192">
        <v>0</v>
      </c>
      <c r="Y192">
        <v>0</v>
      </c>
      <c r="Z192">
        <v>0</v>
      </c>
      <c r="AA192" s="18"/>
      <c r="AB192" s="14"/>
      <c r="AC192" s="14"/>
      <c r="AD192" t="s">
        <v>2091</v>
      </c>
    </row>
    <row r="193" spans="1:30">
      <c r="A193" s="18" t="s">
        <v>2092</v>
      </c>
      <c r="B193" t="s">
        <v>37</v>
      </c>
      <c r="C193" t="s">
        <v>2093</v>
      </c>
      <c r="D193" t="s">
        <v>1656</v>
      </c>
      <c r="E193">
        <v>95</v>
      </c>
      <c r="F193">
        <v>306</v>
      </c>
      <c r="G193">
        <v>300</v>
      </c>
      <c r="H193">
        <v>0</v>
      </c>
      <c r="I193">
        <v>185</v>
      </c>
      <c r="J193" s="14">
        <v>0</v>
      </c>
      <c r="K193">
        <v>0</v>
      </c>
      <c r="L193" s="14">
        <v>100</v>
      </c>
      <c r="M193" s="14">
        <v>80</v>
      </c>
      <c r="N193" s="14">
        <v>40</v>
      </c>
      <c r="O193" s="14">
        <v>30</v>
      </c>
      <c r="P193" s="14">
        <v>4</v>
      </c>
      <c r="Q193" s="14">
        <v>0</v>
      </c>
      <c r="V193">
        <f t="shared" si="6"/>
        <v>0</v>
      </c>
      <c r="W193">
        <v>0</v>
      </c>
      <c r="X193">
        <v>0</v>
      </c>
      <c r="Y193">
        <v>0</v>
      </c>
      <c r="Z193">
        <v>0</v>
      </c>
      <c r="AA193" s="18"/>
      <c r="AB193" s="14"/>
      <c r="AC193" s="14"/>
      <c r="AD193" t="s">
        <v>2091</v>
      </c>
    </row>
    <row r="194" spans="1:30">
      <c r="A194" s="18" t="s">
        <v>2094</v>
      </c>
      <c r="B194" t="s">
        <v>37</v>
      </c>
      <c r="C194" t="s">
        <v>2095</v>
      </c>
      <c r="D194" t="s">
        <v>1656</v>
      </c>
      <c r="E194">
        <v>95</v>
      </c>
      <c r="F194">
        <v>270</v>
      </c>
      <c r="G194">
        <v>300</v>
      </c>
      <c r="H194">
        <v>0</v>
      </c>
      <c r="I194">
        <v>185</v>
      </c>
      <c r="J194" s="14">
        <v>0</v>
      </c>
      <c r="K194">
        <v>0</v>
      </c>
      <c r="L194" s="14">
        <v>100</v>
      </c>
      <c r="M194" s="14">
        <v>80</v>
      </c>
      <c r="N194" s="14">
        <v>40</v>
      </c>
      <c r="O194" s="14">
        <v>30</v>
      </c>
      <c r="P194" s="14">
        <v>4</v>
      </c>
      <c r="Q194" s="14">
        <v>0</v>
      </c>
      <c r="V194">
        <f t="shared" si="6"/>
        <v>0</v>
      </c>
      <c r="W194">
        <v>0</v>
      </c>
      <c r="X194">
        <v>0</v>
      </c>
      <c r="Y194">
        <v>0</v>
      </c>
      <c r="Z194">
        <v>0</v>
      </c>
      <c r="AA194" s="18"/>
      <c r="AB194" s="14"/>
      <c r="AC194" s="14"/>
      <c r="AD194" t="s">
        <v>2091</v>
      </c>
    </row>
    <row r="195" spans="1:30">
      <c r="A195" s="18" t="s">
        <v>2096</v>
      </c>
      <c r="B195" t="s">
        <v>37</v>
      </c>
      <c r="C195" t="s">
        <v>2097</v>
      </c>
      <c r="D195" t="s">
        <v>1656</v>
      </c>
      <c r="E195">
        <v>95</v>
      </c>
      <c r="F195">
        <v>238</v>
      </c>
      <c r="G195">
        <v>300</v>
      </c>
      <c r="H195">
        <v>0</v>
      </c>
      <c r="I195">
        <v>185</v>
      </c>
      <c r="J195" s="14">
        <v>0</v>
      </c>
      <c r="K195">
        <v>0</v>
      </c>
      <c r="L195" s="14">
        <v>100</v>
      </c>
      <c r="M195" s="14">
        <v>80</v>
      </c>
      <c r="N195" s="14">
        <v>40</v>
      </c>
      <c r="O195" s="14">
        <v>30</v>
      </c>
      <c r="P195" s="14">
        <v>4</v>
      </c>
      <c r="Q195" s="14">
        <v>0</v>
      </c>
      <c r="V195">
        <f t="shared" si="6"/>
        <v>0</v>
      </c>
      <c r="W195">
        <v>0</v>
      </c>
      <c r="X195">
        <v>0</v>
      </c>
      <c r="Y195">
        <v>0</v>
      </c>
      <c r="Z195">
        <v>0</v>
      </c>
      <c r="AA195" s="18"/>
      <c r="AB195" s="14"/>
      <c r="AC195" s="14"/>
      <c r="AD195" t="s">
        <v>2091</v>
      </c>
    </row>
    <row r="196" spans="1:30">
      <c r="A196" s="18" t="s">
        <v>2098</v>
      </c>
      <c r="B196" t="s">
        <v>1998</v>
      </c>
      <c r="C196" t="s">
        <v>2099</v>
      </c>
      <c r="D196" t="s">
        <v>1656</v>
      </c>
      <c r="E196">
        <v>95</v>
      </c>
      <c r="F196">
        <v>799</v>
      </c>
      <c r="G196">
        <v>300</v>
      </c>
      <c r="H196">
        <v>0</v>
      </c>
      <c r="I196">
        <v>0</v>
      </c>
      <c r="J196" s="14">
        <v>0</v>
      </c>
      <c r="K196">
        <v>0</v>
      </c>
      <c r="L196" s="14">
        <v>100</v>
      </c>
      <c r="M196" s="14">
        <v>80</v>
      </c>
      <c r="N196" s="14">
        <v>40</v>
      </c>
      <c r="O196" s="14">
        <v>1</v>
      </c>
      <c r="P196" s="14">
        <v>4</v>
      </c>
      <c r="Q196" s="14">
        <v>0</v>
      </c>
      <c r="T196" t="s">
        <v>1778</v>
      </c>
      <c r="U196" t="s">
        <v>1778</v>
      </c>
      <c r="V196">
        <f t="shared" si="6"/>
        <v>80</v>
      </c>
      <c r="W196">
        <v>20</v>
      </c>
      <c r="X196">
        <v>20</v>
      </c>
      <c r="Y196">
        <v>20</v>
      </c>
      <c r="Z196">
        <v>20</v>
      </c>
      <c r="AA196" s="18"/>
      <c r="AB196" s="14"/>
      <c r="AC196" s="14"/>
      <c r="AD196" t="s">
        <v>2091</v>
      </c>
    </row>
    <row r="197" spans="1:30">
      <c r="A197" s="18" t="s">
        <v>2100</v>
      </c>
      <c r="B197" t="s">
        <v>84</v>
      </c>
      <c r="C197" t="s">
        <v>2101</v>
      </c>
      <c r="D197" t="s">
        <v>1656</v>
      </c>
      <c r="E197">
        <v>95</v>
      </c>
      <c r="F197">
        <v>227</v>
      </c>
      <c r="G197">
        <v>300</v>
      </c>
      <c r="H197">
        <v>0</v>
      </c>
      <c r="I197">
        <v>185</v>
      </c>
      <c r="J197" s="14">
        <v>0</v>
      </c>
      <c r="K197">
        <v>0</v>
      </c>
      <c r="L197" s="14">
        <v>100</v>
      </c>
      <c r="M197" s="14">
        <v>80</v>
      </c>
      <c r="N197" s="14">
        <v>40</v>
      </c>
      <c r="O197" s="14">
        <v>30</v>
      </c>
      <c r="P197" s="14">
        <v>4</v>
      </c>
      <c r="Q197" s="14">
        <v>0</v>
      </c>
      <c r="V197">
        <f t="shared" si="6"/>
        <v>0</v>
      </c>
      <c r="W197">
        <v>0</v>
      </c>
      <c r="X197">
        <v>0</v>
      </c>
      <c r="Y197">
        <v>0</v>
      </c>
      <c r="Z197">
        <v>0</v>
      </c>
      <c r="AA197" s="18"/>
      <c r="AB197" s="14"/>
      <c r="AC197" s="14"/>
      <c r="AD197" t="s">
        <v>2091</v>
      </c>
    </row>
    <row r="198" spans="1:30">
      <c r="A198" s="18" t="s">
        <v>2102</v>
      </c>
      <c r="B198" t="s">
        <v>44</v>
      </c>
      <c r="C198" t="s">
        <v>1995</v>
      </c>
      <c r="D198" t="s">
        <v>1656</v>
      </c>
      <c r="E198">
        <v>90</v>
      </c>
      <c r="F198">
        <v>450</v>
      </c>
      <c r="G198">
        <v>312</v>
      </c>
      <c r="H198">
        <v>0</v>
      </c>
      <c r="I198">
        <v>250</v>
      </c>
      <c r="J198" s="14">
        <v>218</v>
      </c>
      <c r="K198">
        <v>0</v>
      </c>
      <c r="L198" s="14">
        <v>95</v>
      </c>
      <c r="M198" s="14">
        <v>85</v>
      </c>
      <c r="N198" s="14">
        <v>180</v>
      </c>
      <c r="O198" s="14">
        <v>35</v>
      </c>
      <c r="P198" s="14">
        <v>4</v>
      </c>
      <c r="Q198" s="14">
        <v>0</v>
      </c>
      <c r="R198" t="s">
        <v>2103</v>
      </c>
      <c r="S198" t="s">
        <v>2104</v>
      </c>
      <c r="T198" t="s">
        <v>2104</v>
      </c>
      <c r="U198" t="s">
        <v>2104</v>
      </c>
      <c r="V198">
        <f t="shared" si="6"/>
        <v>90</v>
      </c>
      <c r="W198">
        <v>30</v>
      </c>
      <c r="X198">
        <v>20</v>
      </c>
      <c r="Y198">
        <v>20</v>
      </c>
      <c r="Z198">
        <v>20</v>
      </c>
      <c r="AA198" s="18"/>
      <c r="AB198" s="14"/>
      <c r="AC198" s="14"/>
      <c r="AD198" t="s">
        <v>2105</v>
      </c>
    </row>
    <row r="199" spans="1:30">
      <c r="A199" s="18" t="s">
        <v>2106</v>
      </c>
      <c r="B199" t="s">
        <v>29</v>
      </c>
      <c r="C199" t="s">
        <v>2107</v>
      </c>
      <c r="D199" t="s">
        <v>1656</v>
      </c>
      <c r="E199">
        <v>90</v>
      </c>
      <c r="F199">
        <v>233</v>
      </c>
      <c r="G199">
        <v>60</v>
      </c>
      <c r="H199">
        <v>0</v>
      </c>
      <c r="I199">
        <v>151</v>
      </c>
      <c r="J199" s="14">
        <v>142</v>
      </c>
      <c r="K199">
        <v>0</v>
      </c>
      <c r="L199" s="14">
        <v>95</v>
      </c>
      <c r="M199" s="14">
        <v>85</v>
      </c>
      <c r="N199" s="14">
        <v>82</v>
      </c>
      <c r="O199" s="14">
        <v>35</v>
      </c>
      <c r="P199" s="14">
        <v>1</v>
      </c>
      <c r="Q199" s="14">
        <v>0</v>
      </c>
      <c r="R199" t="s">
        <v>2103</v>
      </c>
      <c r="S199" t="s">
        <v>2104</v>
      </c>
      <c r="T199" t="s">
        <v>2104</v>
      </c>
      <c r="U199" t="s">
        <v>2104</v>
      </c>
      <c r="V199">
        <f t="shared" si="6"/>
        <v>90</v>
      </c>
      <c r="W199">
        <v>30</v>
      </c>
      <c r="X199">
        <v>20</v>
      </c>
      <c r="Y199">
        <v>20</v>
      </c>
      <c r="Z199">
        <v>20</v>
      </c>
      <c r="AA199" s="18"/>
      <c r="AB199" s="14"/>
      <c r="AC199" s="14"/>
      <c r="AD199" t="s">
        <v>2105</v>
      </c>
    </row>
    <row r="200" spans="1:30">
      <c r="A200" s="18" t="s">
        <v>2108</v>
      </c>
      <c r="B200" t="s">
        <v>29</v>
      </c>
      <c r="C200" t="s">
        <v>2109</v>
      </c>
      <c r="D200" t="s">
        <v>1656</v>
      </c>
      <c r="E200">
        <v>90</v>
      </c>
      <c r="F200">
        <v>233</v>
      </c>
      <c r="G200">
        <v>85</v>
      </c>
      <c r="H200">
        <v>0</v>
      </c>
      <c r="I200">
        <v>151</v>
      </c>
      <c r="J200" s="14">
        <v>151</v>
      </c>
      <c r="K200">
        <v>0</v>
      </c>
      <c r="L200" s="14">
        <v>95</v>
      </c>
      <c r="M200" s="14">
        <v>85</v>
      </c>
      <c r="N200" s="14">
        <v>82</v>
      </c>
      <c r="O200" s="14">
        <v>30</v>
      </c>
      <c r="P200" s="14">
        <v>1</v>
      </c>
      <c r="Q200" s="14">
        <v>0</v>
      </c>
      <c r="R200" t="s">
        <v>2103</v>
      </c>
      <c r="S200" t="s">
        <v>2104</v>
      </c>
      <c r="T200" t="s">
        <v>2104</v>
      </c>
      <c r="U200" t="s">
        <v>2104</v>
      </c>
      <c r="V200">
        <f t="shared" si="6"/>
        <v>80</v>
      </c>
      <c r="W200">
        <v>20</v>
      </c>
      <c r="X200">
        <v>20</v>
      </c>
      <c r="Y200">
        <v>20</v>
      </c>
      <c r="Z200">
        <v>20</v>
      </c>
      <c r="AA200" s="18"/>
      <c r="AB200" s="14"/>
      <c r="AC200" s="14"/>
      <c r="AD200" t="s">
        <v>2105</v>
      </c>
    </row>
    <row r="201" spans="1:30">
      <c r="A201" s="18" t="s">
        <v>2110</v>
      </c>
      <c r="B201" t="s">
        <v>44</v>
      </c>
      <c r="C201" t="s">
        <v>2111</v>
      </c>
      <c r="D201" t="s">
        <v>1656</v>
      </c>
      <c r="E201">
        <v>90</v>
      </c>
      <c r="F201">
        <v>167</v>
      </c>
      <c r="G201">
        <v>120</v>
      </c>
      <c r="H201">
        <v>0</v>
      </c>
      <c r="I201">
        <v>110</v>
      </c>
      <c r="J201" s="14">
        <v>100</v>
      </c>
      <c r="K201">
        <v>0</v>
      </c>
      <c r="L201" s="14">
        <v>95</v>
      </c>
      <c r="M201" s="14">
        <v>85</v>
      </c>
      <c r="N201" s="14">
        <v>60</v>
      </c>
      <c r="O201" s="14">
        <v>30</v>
      </c>
      <c r="P201" s="14">
        <v>4</v>
      </c>
      <c r="Q201" s="14">
        <v>0</v>
      </c>
      <c r="R201" t="s">
        <v>2104</v>
      </c>
      <c r="S201" t="s">
        <v>2104</v>
      </c>
      <c r="T201" t="s">
        <v>2104</v>
      </c>
      <c r="U201" t="s">
        <v>2104</v>
      </c>
      <c r="V201">
        <f t="shared" si="6"/>
        <v>80</v>
      </c>
      <c r="W201">
        <v>20</v>
      </c>
      <c r="X201">
        <v>20</v>
      </c>
      <c r="Y201">
        <v>20</v>
      </c>
      <c r="Z201">
        <v>20</v>
      </c>
      <c r="AA201" s="18"/>
      <c r="AB201" s="14"/>
      <c r="AC201" s="14"/>
      <c r="AD201" t="s">
        <v>2105</v>
      </c>
    </row>
    <row r="202" spans="1:30">
      <c r="A202" s="18" t="s">
        <v>2112</v>
      </c>
      <c r="B202" t="s">
        <v>51</v>
      </c>
      <c r="C202" t="s">
        <v>2113</v>
      </c>
      <c r="D202" t="s">
        <v>1656</v>
      </c>
      <c r="E202">
        <v>90</v>
      </c>
      <c r="F202">
        <v>150</v>
      </c>
      <c r="G202">
        <v>170</v>
      </c>
      <c r="H202">
        <v>0</v>
      </c>
      <c r="I202">
        <v>150</v>
      </c>
      <c r="J202" s="14">
        <v>100</v>
      </c>
      <c r="K202">
        <v>0</v>
      </c>
      <c r="L202">
        <v>95</v>
      </c>
      <c r="M202" s="14">
        <v>85</v>
      </c>
      <c r="N202" s="14">
        <v>22</v>
      </c>
      <c r="O202" s="14">
        <v>35</v>
      </c>
      <c r="P202" s="14">
        <v>3</v>
      </c>
      <c r="Q202" s="14">
        <v>0</v>
      </c>
      <c r="V202">
        <f t="shared" ref="V202:V222" si="7">SUM($W202:$Z202)</f>
        <v>0</v>
      </c>
      <c r="W202">
        <v>0</v>
      </c>
      <c r="X202">
        <v>0</v>
      </c>
      <c r="Y202">
        <v>0</v>
      </c>
      <c r="Z202">
        <v>0</v>
      </c>
      <c r="AA202" s="18"/>
      <c r="AB202" s="14"/>
      <c r="AC202" s="14"/>
      <c r="AD202" t="s">
        <v>2105</v>
      </c>
    </row>
    <row r="203" spans="1:30">
      <c r="A203" s="18" t="s">
        <v>2114</v>
      </c>
      <c r="B203" t="s">
        <v>131</v>
      </c>
      <c r="C203" s="1">
        <v>815</v>
      </c>
      <c r="D203" t="s">
        <v>1656</v>
      </c>
      <c r="E203">
        <v>90</v>
      </c>
      <c r="F203">
        <v>110</v>
      </c>
      <c r="G203">
        <v>0</v>
      </c>
      <c r="H203">
        <v>175</v>
      </c>
      <c r="I203">
        <v>80</v>
      </c>
      <c r="J203" s="14">
        <v>37</v>
      </c>
      <c r="K203">
        <v>0</v>
      </c>
      <c r="L203" s="14">
        <v>95</v>
      </c>
      <c r="M203" s="14">
        <v>85</v>
      </c>
      <c r="N203" s="14">
        <v>22</v>
      </c>
      <c r="O203" s="14">
        <v>35</v>
      </c>
      <c r="P203" s="14">
        <v>2</v>
      </c>
      <c r="Q203" s="14">
        <v>0</v>
      </c>
      <c r="R203" t="s">
        <v>2115</v>
      </c>
      <c r="S203" t="s">
        <v>2116</v>
      </c>
      <c r="T203" t="s">
        <v>2116</v>
      </c>
      <c r="U203" t="s">
        <v>2116</v>
      </c>
      <c r="V203">
        <f t="shared" si="7"/>
        <v>0</v>
      </c>
      <c r="W203">
        <v>0</v>
      </c>
      <c r="X203">
        <v>0</v>
      </c>
      <c r="Y203">
        <v>0</v>
      </c>
      <c r="Z203">
        <v>0</v>
      </c>
      <c r="AA203" s="18"/>
      <c r="AB203" s="14"/>
      <c r="AC203" s="14"/>
      <c r="AD203" t="s">
        <v>2105</v>
      </c>
    </row>
    <row r="204" spans="1:30">
      <c r="A204" s="18" t="s">
        <v>2117</v>
      </c>
      <c r="B204" t="s">
        <v>37</v>
      </c>
      <c r="C204" s="1" t="s">
        <v>2118</v>
      </c>
      <c r="D204" t="s">
        <v>1656</v>
      </c>
      <c r="E204">
        <v>110</v>
      </c>
      <c r="F204">
        <v>520</v>
      </c>
      <c r="G204">
        <v>480</v>
      </c>
      <c r="H204">
        <v>0</v>
      </c>
      <c r="I204">
        <v>250</v>
      </c>
      <c r="J204" s="14">
        <v>151</v>
      </c>
      <c r="K204">
        <v>0</v>
      </c>
      <c r="L204" s="14">
        <v>105</v>
      </c>
      <c r="M204" s="14">
        <v>95</v>
      </c>
      <c r="N204" s="14">
        <v>120</v>
      </c>
      <c r="O204" s="14">
        <v>36</v>
      </c>
      <c r="P204" s="14">
        <v>4</v>
      </c>
      <c r="Q204" s="14">
        <v>0</v>
      </c>
      <c r="V204">
        <f t="shared" si="7"/>
        <v>0</v>
      </c>
      <c r="W204">
        <v>0</v>
      </c>
      <c r="X204">
        <v>0</v>
      </c>
      <c r="Y204">
        <v>0</v>
      </c>
      <c r="Z204">
        <v>0</v>
      </c>
      <c r="AA204" s="18"/>
      <c r="AB204" s="14"/>
      <c r="AC204" s="14"/>
      <c r="AD204" t="s">
        <v>2119</v>
      </c>
    </row>
    <row r="205" spans="1:30">
      <c r="A205" s="18" t="s">
        <v>2120</v>
      </c>
      <c r="B205" t="s">
        <v>44</v>
      </c>
      <c r="C205" s="1" t="s">
        <v>2121</v>
      </c>
      <c r="D205" t="s">
        <v>1656</v>
      </c>
      <c r="E205">
        <v>110</v>
      </c>
      <c r="F205">
        <v>566</v>
      </c>
      <c r="G205">
        <v>720</v>
      </c>
      <c r="H205">
        <v>0</v>
      </c>
      <c r="I205">
        <v>233</v>
      </c>
      <c r="J205" s="14">
        <v>120</v>
      </c>
      <c r="K205">
        <v>0</v>
      </c>
      <c r="L205" s="14">
        <v>105</v>
      </c>
      <c r="M205" s="14">
        <v>95</v>
      </c>
      <c r="N205" s="14">
        <v>60</v>
      </c>
      <c r="O205" s="14">
        <v>32</v>
      </c>
      <c r="P205" s="14">
        <v>4</v>
      </c>
      <c r="Q205" s="14">
        <v>0</v>
      </c>
      <c r="R205" t="s">
        <v>2103</v>
      </c>
      <c r="S205" t="s">
        <v>2104</v>
      </c>
      <c r="T205" t="s">
        <v>2104</v>
      </c>
      <c r="U205" t="s">
        <v>2104</v>
      </c>
      <c r="V205">
        <f t="shared" si="7"/>
        <v>120</v>
      </c>
      <c r="W205">
        <v>30</v>
      </c>
      <c r="X205">
        <v>30</v>
      </c>
      <c r="Y205">
        <v>30</v>
      </c>
      <c r="Z205">
        <v>30</v>
      </c>
      <c r="AA205" s="18"/>
      <c r="AB205" s="14"/>
      <c r="AC205" s="14"/>
      <c r="AD205" t="s">
        <v>2119</v>
      </c>
    </row>
    <row r="206" spans="1:30">
      <c r="A206" s="18" t="s">
        <v>2122</v>
      </c>
      <c r="B206" t="s">
        <v>44</v>
      </c>
      <c r="C206" s="1" t="s">
        <v>2111</v>
      </c>
      <c r="D206" t="s">
        <v>1656</v>
      </c>
      <c r="E206">
        <v>110</v>
      </c>
      <c r="F206">
        <v>380</v>
      </c>
      <c r="G206">
        <v>420</v>
      </c>
      <c r="H206">
        <v>0</v>
      </c>
      <c r="I206">
        <v>210</v>
      </c>
      <c r="J206" s="14">
        <v>68</v>
      </c>
      <c r="K206">
        <v>0</v>
      </c>
      <c r="L206" s="14">
        <v>105</v>
      </c>
      <c r="M206" s="14">
        <v>95</v>
      </c>
      <c r="N206" s="14">
        <v>19</v>
      </c>
      <c r="O206" s="14">
        <v>30</v>
      </c>
      <c r="P206" s="14">
        <v>4</v>
      </c>
      <c r="Q206" s="14">
        <v>0</v>
      </c>
      <c r="R206" t="s">
        <v>2103</v>
      </c>
      <c r="S206" t="s">
        <v>2104</v>
      </c>
      <c r="T206" t="s">
        <v>2104</v>
      </c>
      <c r="U206" t="s">
        <v>2104</v>
      </c>
      <c r="V206">
        <f t="shared" si="7"/>
        <v>80</v>
      </c>
      <c r="W206">
        <v>20</v>
      </c>
      <c r="X206">
        <v>20</v>
      </c>
      <c r="Y206">
        <v>20</v>
      </c>
      <c r="Z206">
        <v>20</v>
      </c>
      <c r="AA206" s="18"/>
      <c r="AB206" s="14"/>
      <c r="AC206" s="14"/>
      <c r="AD206" t="s">
        <v>2119</v>
      </c>
    </row>
    <row r="207" spans="1:30">
      <c r="A207" s="18" t="s">
        <v>2123</v>
      </c>
      <c r="B207" t="s">
        <v>37</v>
      </c>
      <c r="C207" s="1" t="s">
        <v>2001</v>
      </c>
      <c r="D207" t="s">
        <v>1656</v>
      </c>
      <c r="E207">
        <v>110</v>
      </c>
      <c r="F207">
        <v>306</v>
      </c>
      <c r="G207">
        <v>360</v>
      </c>
      <c r="H207">
        <v>0</v>
      </c>
      <c r="I207">
        <v>185</v>
      </c>
      <c r="J207" s="14">
        <v>360</v>
      </c>
      <c r="K207">
        <v>0</v>
      </c>
      <c r="L207" s="14">
        <v>105</v>
      </c>
      <c r="M207" s="14">
        <v>95</v>
      </c>
      <c r="N207" s="14">
        <v>19</v>
      </c>
      <c r="O207" s="14">
        <v>24</v>
      </c>
      <c r="P207" s="14">
        <v>4</v>
      </c>
      <c r="Q207" s="14">
        <v>0</v>
      </c>
      <c r="V207">
        <f t="shared" si="7"/>
        <v>0</v>
      </c>
      <c r="W207">
        <v>0</v>
      </c>
      <c r="X207">
        <v>0</v>
      </c>
      <c r="Y207">
        <v>0</v>
      </c>
      <c r="Z207">
        <v>0</v>
      </c>
      <c r="AA207" s="18"/>
      <c r="AB207" s="14"/>
      <c r="AC207" s="14"/>
      <c r="AD207" t="s">
        <v>2119</v>
      </c>
    </row>
    <row r="208" spans="1:30">
      <c r="A208" s="18" t="s">
        <v>2124</v>
      </c>
      <c r="B208" t="s">
        <v>265</v>
      </c>
      <c r="C208" s="1" t="s">
        <v>2125</v>
      </c>
      <c r="D208" t="s">
        <v>1656</v>
      </c>
      <c r="E208">
        <v>110</v>
      </c>
      <c r="F208">
        <v>88</v>
      </c>
      <c r="G208">
        <v>81</v>
      </c>
      <c r="H208">
        <v>138</v>
      </c>
      <c r="I208">
        <v>41</v>
      </c>
      <c r="J208" s="14">
        <v>81</v>
      </c>
      <c r="K208">
        <v>63</v>
      </c>
      <c r="L208" s="14">
        <v>105</v>
      </c>
      <c r="M208" s="14">
        <v>95</v>
      </c>
      <c r="N208" s="14">
        <v>19</v>
      </c>
      <c r="O208" s="14">
        <v>40</v>
      </c>
      <c r="P208" s="14">
        <v>3</v>
      </c>
      <c r="Q208" s="14">
        <v>0</v>
      </c>
      <c r="R208" t="s">
        <v>2115</v>
      </c>
      <c r="S208" t="s">
        <v>2116</v>
      </c>
      <c r="T208" t="s">
        <v>2116</v>
      </c>
      <c r="U208" t="s">
        <v>2116</v>
      </c>
      <c r="V208">
        <f t="shared" si="7"/>
        <v>0</v>
      </c>
      <c r="W208">
        <v>0</v>
      </c>
      <c r="X208">
        <v>0</v>
      </c>
      <c r="Y208">
        <v>0</v>
      </c>
      <c r="Z208">
        <v>0</v>
      </c>
      <c r="AA208" s="18"/>
      <c r="AB208" s="14"/>
      <c r="AC208" s="14"/>
      <c r="AD208" t="s">
        <v>2119</v>
      </c>
    </row>
    <row r="209" spans="1:30">
      <c r="A209" s="18" t="s">
        <v>2126</v>
      </c>
      <c r="B209" t="s">
        <v>51</v>
      </c>
      <c r="C209" s="1" t="s">
        <v>2113</v>
      </c>
      <c r="D209" t="s">
        <v>1656</v>
      </c>
      <c r="E209">
        <v>110</v>
      </c>
      <c r="F209">
        <v>187</v>
      </c>
      <c r="G209">
        <v>430</v>
      </c>
      <c r="H209">
        <v>0</v>
      </c>
      <c r="I209">
        <v>120</v>
      </c>
      <c r="J209" s="14">
        <v>60</v>
      </c>
      <c r="K209">
        <v>0</v>
      </c>
      <c r="L209" s="14">
        <v>105</v>
      </c>
      <c r="M209" s="14">
        <v>95</v>
      </c>
      <c r="N209" s="14">
        <v>19</v>
      </c>
      <c r="O209" s="14">
        <v>35</v>
      </c>
      <c r="P209" s="14">
        <v>3</v>
      </c>
      <c r="Q209" s="14">
        <v>0</v>
      </c>
      <c r="V209">
        <f t="shared" si="7"/>
        <v>0</v>
      </c>
      <c r="W209">
        <v>0</v>
      </c>
      <c r="X209">
        <v>0</v>
      </c>
      <c r="Y209">
        <v>0</v>
      </c>
      <c r="Z209">
        <v>0</v>
      </c>
      <c r="AA209" s="18"/>
      <c r="AB209" s="14"/>
      <c r="AC209" s="14"/>
      <c r="AD209" t="s">
        <v>2119</v>
      </c>
    </row>
    <row r="210" spans="1:30">
      <c r="A210" s="18" t="s">
        <v>2127</v>
      </c>
      <c r="B210" t="s">
        <v>1950</v>
      </c>
      <c r="C210" s="1" t="s">
        <v>2128</v>
      </c>
      <c r="D210" t="s">
        <v>1656</v>
      </c>
      <c r="E210">
        <v>120</v>
      </c>
      <c r="F210">
        <v>800</v>
      </c>
      <c r="G210">
        <v>535</v>
      </c>
      <c r="H210">
        <v>0</v>
      </c>
      <c r="I210">
        <v>233</v>
      </c>
      <c r="J210" s="14">
        <v>129</v>
      </c>
      <c r="K210">
        <v>0</v>
      </c>
      <c r="L210" s="14">
        <v>110</v>
      </c>
      <c r="M210" s="14">
        <v>1</v>
      </c>
      <c r="N210" s="14">
        <v>140</v>
      </c>
      <c r="O210" s="14">
        <v>1</v>
      </c>
      <c r="P210" s="14">
        <v>4</v>
      </c>
      <c r="Q210" s="14">
        <v>0</v>
      </c>
      <c r="R210" t="s">
        <v>2103</v>
      </c>
      <c r="S210" t="s">
        <v>2104</v>
      </c>
      <c r="T210" t="s">
        <v>2104</v>
      </c>
      <c r="U210" t="s">
        <v>2104</v>
      </c>
      <c r="V210">
        <f t="shared" si="7"/>
        <v>400</v>
      </c>
      <c r="W210">
        <v>100</v>
      </c>
      <c r="X210">
        <v>100</v>
      </c>
      <c r="Y210">
        <v>100</v>
      </c>
      <c r="Z210">
        <v>100</v>
      </c>
      <c r="AA210" s="18"/>
      <c r="AB210" s="14"/>
      <c r="AC210" s="14"/>
      <c r="AD210" t="s">
        <v>2129</v>
      </c>
    </row>
    <row r="211" spans="1:30">
      <c r="A211" s="18" t="s">
        <v>2130</v>
      </c>
      <c r="B211" t="s">
        <v>1883</v>
      </c>
      <c r="C211" s="1" t="s">
        <v>2063</v>
      </c>
      <c r="D211" t="s">
        <v>1656</v>
      </c>
      <c r="E211">
        <v>120</v>
      </c>
      <c r="F211">
        <v>432</v>
      </c>
      <c r="G211">
        <v>458</v>
      </c>
      <c r="H211">
        <v>288</v>
      </c>
      <c r="I211">
        <v>250</v>
      </c>
      <c r="J211" s="14">
        <v>119</v>
      </c>
      <c r="K211">
        <v>160</v>
      </c>
      <c r="L211" s="14">
        <v>110</v>
      </c>
      <c r="M211" s="14">
        <v>100</v>
      </c>
      <c r="N211" s="14">
        <v>40</v>
      </c>
      <c r="O211" s="14">
        <v>33</v>
      </c>
      <c r="P211" s="14">
        <v>3</v>
      </c>
      <c r="Q211" s="14">
        <v>0</v>
      </c>
      <c r="R211" t="s">
        <v>2103</v>
      </c>
      <c r="S211" t="s">
        <v>2103</v>
      </c>
      <c r="T211" t="s">
        <v>2104</v>
      </c>
      <c r="U211" t="s">
        <v>2104</v>
      </c>
      <c r="V211">
        <f t="shared" si="7"/>
        <v>80</v>
      </c>
      <c r="W211">
        <v>20</v>
      </c>
      <c r="X211">
        <v>20</v>
      </c>
      <c r="Y211">
        <v>20</v>
      </c>
      <c r="Z211">
        <v>20</v>
      </c>
      <c r="AA211" s="18"/>
      <c r="AB211" s="14"/>
      <c r="AC211" s="14"/>
      <c r="AD211" t="s">
        <v>2129</v>
      </c>
    </row>
    <row r="212" spans="1:30">
      <c r="A212" s="18" t="s">
        <v>2131</v>
      </c>
      <c r="B212" t="s">
        <v>37</v>
      </c>
      <c r="C212" s="1" t="s">
        <v>2031</v>
      </c>
      <c r="D212" t="s">
        <v>1656</v>
      </c>
      <c r="E212">
        <v>120</v>
      </c>
      <c r="F212">
        <v>450</v>
      </c>
      <c r="G212">
        <v>410</v>
      </c>
      <c r="H212">
        <v>0</v>
      </c>
      <c r="I212">
        <v>250</v>
      </c>
      <c r="J212" s="14">
        <v>172</v>
      </c>
      <c r="K212">
        <v>0</v>
      </c>
      <c r="L212" s="14">
        <v>110</v>
      </c>
      <c r="M212" s="14">
        <v>100</v>
      </c>
      <c r="N212" s="14">
        <v>40</v>
      </c>
      <c r="O212" s="14">
        <v>36</v>
      </c>
      <c r="P212" s="14">
        <v>3</v>
      </c>
      <c r="Q212" s="14">
        <v>0</v>
      </c>
      <c r="V212">
        <f t="shared" si="7"/>
        <v>0</v>
      </c>
      <c r="W212">
        <v>0</v>
      </c>
      <c r="X212">
        <v>0</v>
      </c>
      <c r="Y212">
        <v>0</v>
      </c>
      <c r="Z212">
        <v>0</v>
      </c>
      <c r="AA212" s="18"/>
      <c r="AB212" s="14"/>
      <c r="AC212" s="14"/>
      <c r="AD212" t="s">
        <v>2129</v>
      </c>
    </row>
    <row r="213" spans="1:30">
      <c r="A213" s="18" t="s">
        <v>2132</v>
      </c>
      <c r="B213" t="s">
        <v>37</v>
      </c>
      <c r="C213" s="1" t="s">
        <v>2005</v>
      </c>
      <c r="D213" t="s">
        <v>1656</v>
      </c>
      <c r="E213">
        <v>120</v>
      </c>
      <c r="F213">
        <v>360</v>
      </c>
      <c r="G213">
        <v>427</v>
      </c>
      <c r="H213">
        <v>0</v>
      </c>
      <c r="I213">
        <v>185</v>
      </c>
      <c r="J213" s="14">
        <v>120</v>
      </c>
      <c r="K213">
        <v>0</v>
      </c>
      <c r="L213" s="14">
        <v>110</v>
      </c>
      <c r="M213" s="14">
        <v>100</v>
      </c>
      <c r="N213" s="14">
        <v>40</v>
      </c>
      <c r="O213" s="14">
        <v>21</v>
      </c>
      <c r="P213" s="14">
        <v>3</v>
      </c>
      <c r="Q213" s="14">
        <v>0</v>
      </c>
      <c r="V213">
        <f t="shared" si="7"/>
        <v>0</v>
      </c>
      <c r="W213">
        <v>0</v>
      </c>
      <c r="X213">
        <v>0</v>
      </c>
      <c r="Y213">
        <v>0</v>
      </c>
      <c r="Z213">
        <v>0</v>
      </c>
      <c r="AA213" s="18"/>
      <c r="AB213" s="14"/>
      <c r="AC213" s="14"/>
      <c r="AD213" t="s">
        <v>2129</v>
      </c>
    </row>
    <row r="214" spans="1:30">
      <c r="A214" s="18" t="s">
        <v>2133</v>
      </c>
      <c r="B214" t="s">
        <v>37</v>
      </c>
      <c r="C214" s="1" t="s">
        <v>2001</v>
      </c>
      <c r="D214" t="s">
        <v>1656</v>
      </c>
      <c r="E214">
        <v>120</v>
      </c>
      <c r="F214">
        <v>432</v>
      </c>
      <c r="G214">
        <v>330</v>
      </c>
      <c r="H214">
        <v>0</v>
      </c>
      <c r="I214">
        <v>233</v>
      </c>
      <c r="J214" s="14">
        <v>285</v>
      </c>
      <c r="K214">
        <v>0</v>
      </c>
      <c r="L214" s="14">
        <v>110</v>
      </c>
      <c r="M214" s="14">
        <v>100</v>
      </c>
      <c r="N214" s="14">
        <v>32</v>
      </c>
      <c r="O214" s="14">
        <v>24</v>
      </c>
      <c r="P214" s="14">
        <v>3</v>
      </c>
      <c r="Q214" s="14">
        <v>0</v>
      </c>
      <c r="V214">
        <f t="shared" si="7"/>
        <v>0</v>
      </c>
      <c r="W214">
        <v>0</v>
      </c>
      <c r="X214">
        <v>0</v>
      </c>
      <c r="Y214">
        <v>0</v>
      </c>
      <c r="Z214">
        <v>0</v>
      </c>
      <c r="AA214" s="18"/>
      <c r="AB214" s="14"/>
      <c r="AC214" s="14"/>
      <c r="AD214" t="s">
        <v>2129</v>
      </c>
    </row>
    <row r="215" spans="1:30">
      <c r="A215" s="18" t="s">
        <v>2134</v>
      </c>
      <c r="B215" t="s">
        <v>37</v>
      </c>
      <c r="C215" s="1" t="s">
        <v>2081</v>
      </c>
      <c r="D215" t="s">
        <v>1656</v>
      </c>
      <c r="E215">
        <v>120</v>
      </c>
      <c r="F215">
        <v>306</v>
      </c>
      <c r="G215">
        <v>300</v>
      </c>
      <c r="H215">
        <v>0</v>
      </c>
      <c r="I215">
        <v>233</v>
      </c>
      <c r="J215" s="14">
        <v>330</v>
      </c>
      <c r="K215">
        <v>0</v>
      </c>
      <c r="L215" s="14">
        <v>110</v>
      </c>
      <c r="M215" s="14">
        <v>100</v>
      </c>
      <c r="N215" s="14">
        <v>30</v>
      </c>
      <c r="O215" s="14">
        <v>24</v>
      </c>
      <c r="P215" s="14">
        <v>3</v>
      </c>
      <c r="Q215" s="14">
        <v>0</v>
      </c>
      <c r="V215">
        <f t="shared" si="7"/>
        <v>0</v>
      </c>
      <c r="W215">
        <v>0</v>
      </c>
      <c r="X215">
        <v>0</v>
      </c>
      <c r="Y215">
        <v>0</v>
      </c>
      <c r="Z215">
        <v>0</v>
      </c>
      <c r="AA215" s="18"/>
      <c r="AB215" s="14"/>
      <c r="AC215" s="14"/>
      <c r="AD215" t="s">
        <v>2129</v>
      </c>
    </row>
    <row r="216" s="15" customFormat="1" spans="1:30">
      <c r="A216" s="20" t="s">
        <v>2135</v>
      </c>
      <c r="B216" s="15" t="s">
        <v>44</v>
      </c>
      <c r="C216" s="15" t="s">
        <v>1995</v>
      </c>
      <c r="D216" s="15" t="s">
        <v>1656</v>
      </c>
      <c r="E216" s="15">
        <v>120</v>
      </c>
      <c r="F216" s="15">
        <v>1100</v>
      </c>
      <c r="G216" s="15">
        <v>720</v>
      </c>
      <c r="H216" s="15">
        <v>0</v>
      </c>
      <c r="I216" s="15">
        <v>250</v>
      </c>
      <c r="J216" s="22">
        <v>170</v>
      </c>
      <c r="K216" s="15">
        <v>0</v>
      </c>
      <c r="L216" s="22">
        <v>105</v>
      </c>
      <c r="M216" s="22">
        <v>95</v>
      </c>
      <c r="N216" s="22">
        <v>60</v>
      </c>
      <c r="O216" s="22">
        <v>32</v>
      </c>
      <c r="P216" s="22">
        <v>3</v>
      </c>
      <c r="Q216" s="22">
        <v>0</v>
      </c>
      <c r="R216" s="15" t="s">
        <v>2103</v>
      </c>
      <c r="S216" s="15" t="s">
        <v>2104</v>
      </c>
      <c r="T216" s="15" t="s">
        <v>2104</v>
      </c>
      <c r="U216" s="15" t="s">
        <v>2104</v>
      </c>
      <c r="V216" s="15">
        <f t="shared" si="7"/>
        <v>120</v>
      </c>
      <c r="W216" s="15">
        <v>30</v>
      </c>
      <c r="X216" s="15">
        <v>30</v>
      </c>
      <c r="Y216" s="15">
        <v>30</v>
      </c>
      <c r="Z216" s="15">
        <v>30</v>
      </c>
      <c r="AA216" s="23"/>
      <c r="AB216" s="22"/>
      <c r="AC216" s="22"/>
      <c r="AD216" s="15" t="s">
        <v>2136</v>
      </c>
    </row>
    <row r="217" s="15" customFormat="1" spans="1:30">
      <c r="A217" s="20" t="s">
        <v>2137</v>
      </c>
      <c r="B217" s="15" t="s">
        <v>44</v>
      </c>
      <c r="C217" s="15" t="s">
        <v>2111</v>
      </c>
      <c r="D217" s="15" t="s">
        <v>1656</v>
      </c>
      <c r="E217" s="15">
        <v>120</v>
      </c>
      <c r="F217" s="15">
        <v>1100</v>
      </c>
      <c r="G217" s="15">
        <v>420</v>
      </c>
      <c r="H217" s="15">
        <v>0</v>
      </c>
      <c r="I217" s="15">
        <v>250</v>
      </c>
      <c r="J217" s="22">
        <v>170</v>
      </c>
      <c r="K217" s="15">
        <v>0</v>
      </c>
      <c r="L217" s="22">
        <v>105</v>
      </c>
      <c r="M217" s="22">
        <v>95</v>
      </c>
      <c r="N217" s="22">
        <v>60</v>
      </c>
      <c r="O217" s="22">
        <v>32</v>
      </c>
      <c r="P217" s="22">
        <v>3</v>
      </c>
      <c r="Q217" s="22">
        <v>0</v>
      </c>
      <c r="R217" s="15" t="s">
        <v>2103</v>
      </c>
      <c r="S217" s="15" t="s">
        <v>2104</v>
      </c>
      <c r="T217" s="15" t="s">
        <v>2104</v>
      </c>
      <c r="U217" s="15" t="s">
        <v>2104</v>
      </c>
      <c r="V217" s="15">
        <f t="shared" si="7"/>
        <v>80</v>
      </c>
      <c r="W217" s="15">
        <v>20</v>
      </c>
      <c r="X217" s="15">
        <v>20</v>
      </c>
      <c r="Y217" s="15">
        <v>20</v>
      </c>
      <c r="Z217" s="15">
        <v>20</v>
      </c>
      <c r="AA217" s="23"/>
      <c r="AB217" s="22"/>
      <c r="AC217" s="22"/>
      <c r="AD217" s="15" t="s">
        <v>2136</v>
      </c>
    </row>
    <row r="218" s="15" customFormat="1" spans="1:30">
      <c r="A218" s="20" t="s">
        <v>2138</v>
      </c>
      <c r="B218" s="15" t="s">
        <v>37</v>
      </c>
      <c r="C218" s="21" t="s">
        <v>2031</v>
      </c>
      <c r="D218" s="15" t="s">
        <v>1656</v>
      </c>
      <c r="E218" s="15">
        <v>120</v>
      </c>
      <c r="F218" s="15">
        <v>800</v>
      </c>
      <c r="G218" s="15">
        <v>410</v>
      </c>
      <c r="H218" s="15">
        <v>0</v>
      </c>
      <c r="I218" s="15">
        <v>250</v>
      </c>
      <c r="J218" s="22">
        <v>170</v>
      </c>
      <c r="K218" s="15">
        <v>0</v>
      </c>
      <c r="L218" s="22">
        <v>110</v>
      </c>
      <c r="M218" s="22">
        <v>100</v>
      </c>
      <c r="N218" s="22">
        <v>40</v>
      </c>
      <c r="O218" s="22">
        <v>36</v>
      </c>
      <c r="P218" s="22">
        <v>4</v>
      </c>
      <c r="Q218" s="22">
        <v>0</v>
      </c>
      <c r="R218" s="15"/>
      <c r="S218" s="15"/>
      <c r="T218" s="15"/>
      <c r="U218" s="15"/>
      <c r="V218" s="15">
        <f t="shared" si="7"/>
        <v>0</v>
      </c>
      <c r="W218" s="15">
        <v>0</v>
      </c>
      <c r="X218" s="15">
        <v>0</v>
      </c>
      <c r="Y218" s="15">
        <v>0</v>
      </c>
      <c r="Z218" s="15">
        <v>0</v>
      </c>
      <c r="AA218" s="23"/>
      <c r="AB218" s="22"/>
      <c r="AC218" s="22"/>
      <c r="AD218" s="15" t="s">
        <v>2136</v>
      </c>
    </row>
    <row r="219" s="15" customFormat="1" spans="1:30">
      <c r="A219" s="20" t="s">
        <v>2139</v>
      </c>
      <c r="B219" s="15" t="s">
        <v>37</v>
      </c>
      <c r="C219" s="21" t="s">
        <v>2005</v>
      </c>
      <c r="D219" s="15" t="s">
        <v>1656</v>
      </c>
      <c r="E219" s="15">
        <v>120</v>
      </c>
      <c r="F219" s="15">
        <v>800</v>
      </c>
      <c r="G219" s="15">
        <v>410</v>
      </c>
      <c r="H219" s="15">
        <v>0</v>
      </c>
      <c r="I219" s="15">
        <v>250</v>
      </c>
      <c r="J219" s="22">
        <v>170</v>
      </c>
      <c r="K219" s="15">
        <v>0</v>
      </c>
      <c r="L219" s="22">
        <v>110</v>
      </c>
      <c r="M219" s="22">
        <v>100</v>
      </c>
      <c r="N219" s="22">
        <v>40</v>
      </c>
      <c r="O219" s="22">
        <v>36</v>
      </c>
      <c r="P219" s="22">
        <v>4</v>
      </c>
      <c r="Q219" s="22">
        <v>0</v>
      </c>
      <c r="R219" s="15"/>
      <c r="S219" s="15"/>
      <c r="T219" s="15"/>
      <c r="U219" s="15"/>
      <c r="V219" s="15">
        <f t="shared" si="7"/>
        <v>0</v>
      </c>
      <c r="W219" s="15">
        <v>0</v>
      </c>
      <c r="X219" s="15">
        <v>0</v>
      </c>
      <c r="Y219" s="15">
        <v>0</v>
      </c>
      <c r="Z219" s="15">
        <v>0</v>
      </c>
      <c r="AA219" s="23"/>
      <c r="AB219" s="22"/>
      <c r="AC219" s="22"/>
      <c r="AD219" s="15" t="s">
        <v>2136</v>
      </c>
    </row>
    <row r="220" s="15" customFormat="1" spans="1:30">
      <c r="A220" s="20" t="s">
        <v>2140</v>
      </c>
      <c r="B220" s="15" t="s">
        <v>37</v>
      </c>
      <c r="C220" s="21" t="s">
        <v>2001</v>
      </c>
      <c r="D220" s="15" t="s">
        <v>1656</v>
      </c>
      <c r="E220" s="15">
        <v>120</v>
      </c>
      <c r="F220" s="15">
        <v>600</v>
      </c>
      <c r="G220" s="15">
        <v>427</v>
      </c>
      <c r="H220" s="15">
        <v>0</v>
      </c>
      <c r="I220" s="15">
        <v>185</v>
      </c>
      <c r="J220" s="22">
        <v>120</v>
      </c>
      <c r="K220" s="15">
        <v>0</v>
      </c>
      <c r="L220" s="22">
        <v>110</v>
      </c>
      <c r="M220" s="22">
        <v>100</v>
      </c>
      <c r="N220" s="22">
        <v>40</v>
      </c>
      <c r="O220" s="22">
        <v>36</v>
      </c>
      <c r="P220" s="22">
        <v>4</v>
      </c>
      <c r="Q220" s="22">
        <v>0</v>
      </c>
      <c r="R220" s="15"/>
      <c r="S220" s="15"/>
      <c r="T220" s="15"/>
      <c r="U220" s="15"/>
      <c r="V220" s="15">
        <f t="shared" si="7"/>
        <v>0</v>
      </c>
      <c r="W220" s="15">
        <v>0</v>
      </c>
      <c r="X220" s="15">
        <v>0</v>
      </c>
      <c r="Y220" s="15">
        <v>0</v>
      </c>
      <c r="Z220" s="15">
        <v>0</v>
      </c>
      <c r="AA220" s="23"/>
      <c r="AB220" s="22"/>
      <c r="AC220" s="22"/>
      <c r="AD220" s="15" t="s">
        <v>2136</v>
      </c>
    </row>
    <row r="221" s="15" customFormat="1" spans="1:30">
      <c r="A221" s="20" t="s">
        <v>2141</v>
      </c>
      <c r="B221" s="15" t="s">
        <v>37</v>
      </c>
      <c r="C221" s="21" t="s">
        <v>2081</v>
      </c>
      <c r="D221" s="15" t="s">
        <v>1656</v>
      </c>
      <c r="E221" s="15">
        <v>120</v>
      </c>
      <c r="F221" s="15">
        <v>400</v>
      </c>
      <c r="G221" s="15">
        <v>330</v>
      </c>
      <c r="H221" s="15">
        <v>0</v>
      </c>
      <c r="I221" s="15">
        <v>185</v>
      </c>
      <c r="J221" s="22">
        <v>120</v>
      </c>
      <c r="K221" s="15">
        <v>0</v>
      </c>
      <c r="L221" s="22">
        <v>110</v>
      </c>
      <c r="M221" s="22">
        <v>100</v>
      </c>
      <c r="N221" s="22">
        <v>40</v>
      </c>
      <c r="O221" s="22">
        <v>36</v>
      </c>
      <c r="P221" s="22">
        <v>4</v>
      </c>
      <c r="Q221" s="22">
        <v>0</v>
      </c>
      <c r="R221" s="15"/>
      <c r="S221" s="15"/>
      <c r="T221" s="15"/>
      <c r="U221" s="15"/>
      <c r="V221" s="15">
        <f t="shared" si="7"/>
        <v>0</v>
      </c>
      <c r="W221" s="15">
        <v>0</v>
      </c>
      <c r="X221" s="15">
        <v>0</v>
      </c>
      <c r="Y221" s="15">
        <v>0</v>
      </c>
      <c r="Z221" s="15">
        <v>0</v>
      </c>
      <c r="AA221" s="23"/>
      <c r="AB221" s="22"/>
      <c r="AC221" s="22"/>
      <c r="AD221" s="15" t="s">
        <v>2136</v>
      </c>
    </row>
    <row r="222" s="15" customFormat="1" spans="1:30">
      <c r="A222" s="20" t="s">
        <v>2142</v>
      </c>
      <c r="B222" s="15" t="s">
        <v>84</v>
      </c>
      <c r="C222" s="21" t="s">
        <v>2075</v>
      </c>
      <c r="D222" s="15" t="s">
        <v>1656</v>
      </c>
      <c r="E222" s="15">
        <v>120</v>
      </c>
      <c r="F222" s="15">
        <v>400</v>
      </c>
      <c r="G222" s="15">
        <v>330</v>
      </c>
      <c r="H222" s="15">
        <v>0</v>
      </c>
      <c r="I222" s="15">
        <v>185</v>
      </c>
      <c r="J222" s="22">
        <v>120</v>
      </c>
      <c r="K222" s="15">
        <v>0</v>
      </c>
      <c r="L222" s="22">
        <v>110</v>
      </c>
      <c r="M222" s="22">
        <v>100</v>
      </c>
      <c r="N222" s="22">
        <v>40</v>
      </c>
      <c r="O222" s="22">
        <v>36</v>
      </c>
      <c r="P222" s="22">
        <v>4</v>
      </c>
      <c r="Q222" s="22">
        <v>0</v>
      </c>
      <c r="R222" s="15"/>
      <c r="S222" s="15"/>
      <c r="T222" s="15"/>
      <c r="U222" s="15"/>
      <c r="V222" s="15">
        <f t="shared" si="7"/>
        <v>0</v>
      </c>
      <c r="W222" s="15">
        <v>0</v>
      </c>
      <c r="X222" s="15">
        <v>0</v>
      </c>
      <c r="Y222" s="15">
        <v>0</v>
      </c>
      <c r="Z222" s="15">
        <v>0</v>
      </c>
      <c r="AA222" s="23"/>
      <c r="AB222" s="22"/>
      <c r="AC222" s="22"/>
      <c r="AD222" s="15" t="s">
        <v>2136</v>
      </c>
    </row>
    <row r="223" spans="1:26">
      <c r="A223" s="1" t="s">
        <v>2143</v>
      </c>
      <c r="B223" t="s">
        <v>265</v>
      </c>
      <c r="C223" t="s">
        <v>2144</v>
      </c>
      <c r="D223" t="s">
        <v>1656</v>
      </c>
      <c r="E223" s="14">
        <v>5</v>
      </c>
      <c r="F223">
        <v>20</v>
      </c>
      <c r="G223">
        <v>14</v>
      </c>
      <c r="H223">
        <v>24</v>
      </c>
      <c r="I223">
        <v>10</v>
      </c>
      <c r="J223">
        <v>11</v>
      </c>
      <c r="K223">
        <v>22</v>
      </c>
      <c r="L223" s="14">
        <v>20</v>
      </c>
      <c r="M223">
        <v>17</v>
      </c>
      <c r="N223">
        <v>3</v>
      </c>
      <c r="O223">
        <v>35</v>
      </c>
      <c r="P223">
        <v>1</v>
      </c>
      <c r="Q223">
        <v>10</v>
      </c>
      <c r="R223" t="s">
        <v>1660</v>
      </c>
      <c r="V223">
        <f t="shared" ref="V223:V254" si="8">SUM(W223:Z223)</f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 t="s">
        <v>2145</v>
      </c>
      <c r="B224" t="s">
        <v>265</v>
      </c>
      <c r="C224" t="s">
        <v>2146</v>
      </c>
      <c r="D224" t="s">
        <v>1656</v>
      </c>
      <c r="E224" s="14">
        <v>5</v>
      </c>
      <c r="F224">
        <v>20</v>
      </c>
      <c r="G224">
        <v>14</v>
      </c>
      <c r="H224">
        <v>24</v>
      </c>
      <c r="I224">
        <v>10</v>
      </c>
      <c r="J224">
        <v>11</v>
      </c>
      <c r="K224">
        <v>22</v>
      </c>
      <c r="L224" s="14">
        <v>20</v>
      </c>
      <c r="M224">
        <v>17</v>
      </c>
      <c r="N224">
        <v>3</v>
      </c>
      <c r="O224">
        <v>35</v>
      </c>
      <c r="P224">
        <v>1</v>
      </c>
      <c r="Q224">
        <v>10</v>
      </c>
      <c r="R224" t="s">
        <v>1660</v>
      </c>
      <c r="V224">
        <f t="shared" si="8"/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 t="s">
        <v>2147</v>
      </c>
      <c r="B225" t="s">
        <v>265</v>
      </c>
      <c r="C225" t="s">
        <v>2148</v>
      </c>
      <c r="D225" t="s">
        <v>1656</v>
      </c>
      <c r="E225" s="14">
        <v>5</v>
      </c>
      <c r="F225">
        <v>20</v>
      </c>
      <c r="G225">
        <v>14</v>
      </c>
      <c r="H225">
        <v>24</v>
      </c>
      <c r="I225">
        <v>10</v>
      </c>
      <c r="J225">
        <v>11</v>
      </c>
      <c r="K225">
        <v>22</v>
      </c>
      <c r="L225" s="14">
        <v>20</v>
      </c>
      <c r="M225">
        <v>17</v>
      </c>
      <c r="N225">
        <v>3</v>
      </c>
      <c r="O225">
        <v>35</v>
      </c>
      <c r="P225">
        <v>1</v>
      </c>
      <c r="Q225">
        <v>10</v>
      </c>
      <c r="R225" t="s">
        <v>1660</v>
      </c>
      <c r="V225">
        <f t="shared" si="8"/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 t="s">
        <v>2149</v>
      </c>
      <c r="B226" t="s">
        <v>265</v>
      </c>
      <c r="C226" t="s">
        <v>2150</v>
      </c>
      <c r="D226" t="s">
        <v>1656</v>
      </c>
      <c r="E226" s="14">
        <v>5</v>
      </c>
      <c r="F226">
        <v>20</v>
      </c>
      <c r="G226">
        <v>9</v>
      </c>
      <c r="H226">
        <v>24</v>
      </c>
      <c r="I226">
        <v>8</v>
      </c>
      <c r="J226">
        <v>11</v>
      </c>
      <c r="K226">
        <v>22</v>
      </c>
      <c r="L226" s="14">
        <v>20</v>
      </c>
      <c r="M226">
        <v>17</v>
      </c>
      <c r="N226">
        <v>3</v>
      </c>
      <c r="O226">
        <v>35</v>
      </c>
      <c r="P226">
        <v>1</v>
      </c>
      <c r="Q226">
        <v>10</v>
      </c>
      <c r="R226" t="s">
        <v>1660</v>
      </c>
      <c r="V226">
        <f t="shared" si="8"/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 t="s">
        <v>2151</v>
      </c>
      <c r="B227" t="s">
        <v>265</v>
      </c>
      <c r="C227" t="s">
        <v>2152</v>
      </c>
      <c r="D227" t="s">
        <v>1656</v>
      </c>
      <c r="E227" s="14">
        <v>5</v>
      </c>
      <c r="F227">
        <v>20</v>
      </c>
      <c r="G227">
        <v>9</v>
      </c>
      <c r="H227">
        <v>24</v>
      </c>
      <c r="I227">
        <v>8</v>
      </c>
      <c r="J227">
        <v>11</v>
      </c>
      <c r="K227">
        <v>22</v>
      </c>
      <c r="L227" s="14">
        <v>20</v>
      </c>
      <c r="M227">
        <v>17</v>
      </c>
      <c r="N227">
        <v>3</v>
      </c>
      <c r="O227">
        <v>35</v>
      </c>
      <c r="P227">
        <v>1</v>
      </c>
      <c r="Q227">
        <v>10</v>
      </c>
      <c r="R227" t="s">
        <v>1660</v>
      </c>
      <c r="V227">
        <f t="shared" si="8"/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 t="s">
        <v>2153</v>
      </c>
      <c r="B228" t="s">
        <v>87</v>
      </c>
      <c r="C228" t="s">
        <v>2154</v>
      </c>
      <c r="D228" t="s">
        <v>1656</v>
      </c>
      <c r="E228" s="14">
        <v>8</v>
      </c>
      <c r="F228">
        <v>18</v>
      </c>
      <c r="G228">
        <v>0</v>
      </c>
      <c r="H228">
        <v>42</v>
      </c>
      <c r="I228">
        <v>7</v>
      </c>
      <c r="J228">
        <v>0</v>
      </c>
      <c r="K228">
        <v>0</v>
      </c>
      <c r="L228" s="14">
        <v>22</v>
      </c>
      <c r="M228">
        <v>3</v>
      </c>
      <c r="N228">
        <v>3</v>
      </c>
      <c r="O228">
        <v>15</v>
      </c>
      <c r="P228">
        <v>1</v>
      </c>
      <c r="Q228">
        <v>10</v>
      </c>
      <c r="R228" t="s">
        <v>1676</v>
      </c>
      <c r="V228">
        <f t="shared" si="8"/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 t="s">
        <v>2155</v>
      </c>
      <c r="B229" t="s">
        <v>37</v>
      </c>
      <c r="C229" t="s">
        <v>2156</v>
      </c>
      <c r="D229" t="s">
        <v>1656</v>
      </c>
      <c r="E229" s="14">
        <v>50</v>
      </c>
      <c r="F229">
        <v>80</v>
      </c>
      <c r="G229">
        <v>130</v>
      </c>
      <c r="H229">
        <v>0</v>
      </c>
      <c r="I229">
        <v>85</v>
      </c>
      <c r="J229">
        <v>60</v>
      </c>
      <c r="K229">
        <v>0</v>
      </c>
      <c r="L229" s="14">
        <v>57</v>
      </c>
      <c r="M229">
        <v>32</v>
      </c>
      <c r="N229">
        <v>30</v>
      </c>
      <c r="O229">
        <v>21</v>
      </c>
      <c r="P229">
        <v>3</v>
      </c>
      <c r="Q229">
        <v>20</v>
      </c>
      <c r="R229" t="s">
        <v>1762</v>
      </c>
      <c r="S229" t="s">
        <v>1758</v>
      </c>
      <c r="T229" t="s">
        <v>1759</v>
      </c>
      <c r="V229">
        <f t="shared" si="8"/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 t="s">
        <v>2157</v>
      </c>
      <c r="B230" t="s">
        <v>265</v>
      </c>
      <c r="C230" t="s">
        <v>2158</v>
      </c>
      <c r="D230" t="s">
        <v>1656</v>
      </c>
      <c r="E230" s="14">
        <v>30</v>
      </c>
      <c r="F230">
        <v>25</v>
      </c>
      <c r="G230">
        <v>41</v>
      </c>
      <c r="H230">
        <v>48</v>
      </c>
      <c r="I230">
        <v>25</v>
      </c>
      <c r="J230">
        <v>25</v>
      </c>
      <c r="K230">
        <v>36</v>
      </c>
      <c r="L230" s="14">
        <v>41</v>
      </c>
      <c r="M230">
        <v>48</v>
      </c>
      <c r="N230">
        <v>9</v>
      </c>
      <c r="O230">
        <v>40</v>
      </c>
      <c r="P230">
        <v>1</v>
      </c>
      <c r="Q230">
        <v>20</v>
      </c>
      <c r="R230" t="s">
        <v>1660</v>
      </c>
      <c r="S230" t="s">
        <v>1663</v>
      </c>
      <c r="V230">
        <f t="shared" si="8"/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 t="s">
        <v>2159</v>
      </c>
      <c r="B231" t="s">
        <v>265</v>
      </c>
      <c r="C231" t="s">
        <v>2160</v>
      </c>
      <c r="D231" t="s">
        <v>1656</v>
      </c>
      <c r="E231" s="14">
        <v>30</v>
      </c>
      <c r="F231">
        <v>25</v>
      </c>
      <c r="G231">
        <v>41</v>
      </c>
      <c r="H231">
        <v>48</v>
      </c>
      <c r="I231">
        <v>25</v>
      </c>
      <c r="J231">
        <v>25</v>
      </c>
      <c r="K231">
        <v>36</v>
      </c>
      <c r="L231" s="14">
        <v>41</v>
      </c>
      <c r="M231">
        <v>48</v>
      </c>
      <c r="N231">
        <v>9</v>
      </c>
      <c r="O231">
        <v>40</v>
      </c>
      <c r="P231">
        <v>1</v>
      </c>
      <c r="Q231">
        <v>20</v>
      </c>
      <c r="R231" t="s">
        <v>1660</v>
      </c>
      <c r="S231" t="s">
        <v>1663</v>
      </c>
      <c r="V231">
        <f t="shared" si="8"/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 t="s">
        <v>2161</v>
      </c>
      <c r="B232" t="s">
        <v>265</v>
      </c>
      <c r="C232" t="s">
        <v>2162</v>
      </c>
      <c r="D232" t="s">
        <v>1656</v>
      </c>
      <c r="E232" s="14">
        <v>30</v>
      </c>
      <c r="F232">
        <v>25</v>
      </c>
      <c r="G232">
        <v>41</v>
      </c>
      <c r="H232">
        <v>48</v>
      </c>
      <c r="I232">
        <v>25</v>
      </c>
      <c r="J232">
        <v>23</v>
      </c>
      <c r="K232">
        <v>35</v>
      </c>
      <c r="L232" s="14">
        <v>41</v>
      </c>
      <c r="M232">
        <v>48</v>
      </c>
      <c r="N232">
        <v>8</v>
      </c>
      <c r="O232">
        <v>40</v>
      </c>
      <c r="P232">
        <v>1</v>
      </c>
      <c r="Q232">
        <v>20</v>
      </c>
      <c r="R232" t="s">
        <v>1660</v>
      </c>
      <c r="S232" t="s">
        <v>1663</v>
      </c>
      <c r="V232">
        <f t="shared" si="8"/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 t="s">
        <v>2163</v>
      </c>
      <c r="B233" t="s">
        <v>265</v>
      </c>
      <c r="C233" t="s">
        <v>2164</v>
      </c>
      <c r="D233" t="s">
        <v>1656</v>
      </c>
      <c r="E233" s="14">
        <v>30</v>
      </c>
      <c r="F233">
        <v>25</v>
      </c>
      <c r="G233">
        <v>41</v>
      </c>
      <c r="H233">
        <v>48</v>
      </c>
      <c r="I233">
        <v>25</v>
      </c>
      <c r="J233">
        <v>23</v>
      </c>
      <c r="K233">
        <v>35</v>
      </c>
      <c r="L233" s="14">
        <v>41</v>
      </c>
      <c r="M233">
        <v>48</v>
      </c>
      <c r="N233">
        <v>8</v>
      </c>
      <c r="O233">
        <v>40</v>
      </c>
      <c r="P233">
        <v>1</v>
      </c>
      <c r="Q233">
        <v>20</v>
      </c>
      <c r="R233" t="s">
        <v>1660</v>
      </c>
      <c r="S233" t="s">
        <v>1663</v>
      </c>
      <c r="V233">
        <f t="shared" si="8"/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 t="s">
        <v>2165</v>
      </c>
      <c r="B234" t="s">
        <v>265</v>
      </c>
      <c r="C234" t="s">
        <v>2166</v>
      </c>
      <c r="D234" t="s">
        <v>1656</v>
      </c>
      <c r="E234" s="14">
        <v>26</v>
      </c>
      <c r="F234">
        <v>23</v>
      </c>
      <c r="G234">
        <v>36</v>
      </c>
      <c r="H234">
        <v>44</v>
      </c>
      <c r="I234">
        <v>23</v>
      </c>
      <c r="J234">
        <v>21</v>
      </c>
      <c r="K234">
        <v>33</v>
      </c>
      <c r="L234" s="14">
        <v>37</v>
      </c>
      <c r="M234">
        <v>44</v>
      </c>
      <c r="N234">
        <v>8</v>
      </c>
      <c r="O234">
        <v>40</v>
      </c>
      <c r="P234">
        <v>1</v>
      </c>
      <c r="Q234">
        <v>20</v>
      </c>
      <c r="R234" t="s">
        <v>1660</v>
      </c>
      <c r="S234" t="s">
        <v>1663</v>
      </c>
      <c r="V234">
        <f t="shared" si="8"/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 t="s">
        <v>2167</v>
      </c>
      <c r="B235" t="s">
        <v>37</v>
      </c>
      <c r="C235" t="s">
        <v>2156</v>
      </c>
      <c r="D235" t="s">
        <v>1656</v>
      </c>
      <c r="E235" s="14">
        <v>17</v>
      </c>
      <c r="F235">
        <v>74</v>
      </c>
      <c r="G235">
        <v>126</v>
      </c>
      <c r="H235">
        <v>0</v>
      </c>
      <c r="I235">
        <v>72</v>
      </c>
      <c r="J235">
        <v>72</v>
      </c>
      <c r="K235">
        <v>0</v>
      </c>
      <c r="L235" s="14">
        <v>30</v>
      </c>
      <c r="M235">
        <v>19</v>
      </c>
      <c r="N235">
        <v>15</v>
      </c>
      <c r="O235">
        <v>18</v>
      </c>
      <c r="P235">
        <v>3</v>
      </c>
      <c r="Q235">
        <v>10</v>
      </c>
      <c r="R235" t="s">
        <v>1762</v>
      </c>
      <c r="S235" t="s">
        <v>1758</v>
      </c>
      <c r="T235" t="s">
        <v>1759</v>
      </c>
      <c r="V235">
        <f t="shared" si="8"/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 t="s">
        <v>2168</v>
      </c>
      <c r="B236" t="s">
        <v>37</v>
      </c>
      <c r="C236" t="s">
        <v>2169</v>
      </c>
      <c r="D236" t="s">
        <v>1656</v>
      </c>
      <c r="E236" s="14">
        <v>15</v>
      </c>
      <c r="F236">
        <v>72</v>
      </c>
      <c r="G236">
        <v>124</v>
      </c>
      <c r="H236">
        <v>0</v>
      </c>
      <c r="I236">
        <v>70</v>
      </c>
      <c r="J236">
        <v>66</v>
      </c>
      <c r="K236">
        <v>0</v>
      </c>
      <c r="L236" s="14">
        <v>28</v>
      </c>
      <c r="M236">
        <v>19</v>
      </c>
      <c r="N236">
        <v>12</v>
      </c>
      <c r="O236">
        <v>18</v>
      </c>
      <c r="P236">
        <v>3</v>
      </c>
      <c r="Q236">
        <v>10</v>
      </c>
      <c r="R236" t="s">
        <v>1762</v>
      </c>
      <c r="S236" t="s">
        <v>1758</v>
      </c>
      <c r="T236" t="s">
        <v>1759</v>
      </c>
      <c r="V236">
        <f t="shared" si="8"/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 t="s">
        <v>2170</v>
      </c>
      <c r="B237" t="s">
        <v>37</v>
      </c>
      <c r="C237" t="s">
        <v>2171</v>
      </c>
      <c r="D237" t="s">
        <v>1656</v>
      </c>
      <c r="E237" s="14">
        <v>15</v>
      </c>
      <c r="F237">
        <v>72</v>
      </c>
      <c r="G237">
        <v>124</v>
      </c>
      <c r="H237">
        <v>0</v>
      </c>
      <c r="I237">
        <v>70</v>
      </c>
      <c r="J237">
        <v>66</v>
      </c>
      <c r="K237">
        <v>0</v>
      </c>
      <c r="L237" s="14">
        <v>28</v>
      </c>
      <c r="M237">
        <v>19</v>
      </c>
      <c r="N237">
        <v>12</v>
      </c>
      <c r="O237">
        <v>18</v>
      </c>
      <c r="P237">
        <v>3</v>
      </c>
      <c r="Q237">
        <v>10</v>
      </c>
      <c r="R237" t="s">
        <v>1762</v>
      </c>
      <c r="S237" t="s">
        <v>1758</v>
      </c>
      <c r="T237" t="s">
        <v>1759</v>
      </c>
      <c r="V237">
        <f t="shared" si="8"/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 t="s">
        <v>2172</v>
      </c>
      <c r="B238" t="s">
        <v>131</v>
      </c>
      <c r="C238" t="s">
        <v>2173</v>
      </c>
      <c r="D238" t="s">
        <v>1656</v>
      </c>
      <c r="E238" s="14">
        <v>3</v>
      </c>
      <c r="F238">
        <v>24</v>
      </c>
      <c r="G238">
        <v>20</v>
      </c>
      <c r="H238">
        <v>40</v>
      </c>
      <c r="I238">
        <v>14</v>
      </c>
      <c r="J238">
        <v>28</v>
      </c>
      <c r="K238">
        <v>28</v>
      </c>
      <c r="L238" s="14">
        <v>18</v>
      </c>
      <c r="M238">
        <v>30</v>
      </c>
      <c r="N238">
        <v>9</v>
      </c>
      <c r="O238">
        <v>30</v>
      </c>
      <c r="P238">
        <v>2</v>
      </c>
      <c r="Q238">
        <v>10</v>
      </c>
      <c r="R238" t="s">
        <v>1715</v>
      </c>
      <c r="S238" t="s">
        <v>1676</v>
      </c>
      <c r="V238">
        <f t="shared" si="8"/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 t="s">
        <v>2174</v>
      </c>
      <c r="B239" t="s">
        <v>131</v>
      </c>
      <c r="C239" t="s">
        <v>2175</v>
      </c>
      <c r="D239" t="s">
        <v>1656</v>
      </c>
      <c r="E239" s="14">
        <v>3</v>
      </c>
      <c r="F239">
        <v>24</v>
      </c>
      <c r="G239">
        <v>20</v>
      </c>
      <c r="H239">
        <v>40</v>
      </c>
      <c r="I239">
        <v>14</v>
      </c>
      <c r="J239">
        <v>28</v>
      </c>
      <c r="K239">
        <v>28</v>
      </c>
      <c r="L239" s="14">
        <v>18</v>
      </c>
      <c r="M239">
        <v>30</v>
      </c>
      <c r="N239">
        <v>9</v>
      </c>
      <c r="O239">
        <v>30</v>
      </c>
      <c r="P239">
        <v>2</v>
      </c>
      <c r="Q239">
        <v>10</v>
      </c>
      <c r="R239" t="s">
        <v>1715</v>
      </c>
      <c r="S239" t="s">
        <v>1676</v>
      </c>
      <c r="V239">
        <f t="shared" si="8"/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 t="s">
        <v>2176</v>
      </c>
      <c r="B240" t="s">
        <v>131</v>
      </c>
      <c r="C240" t="s">
        <v>2177</v>
      </c>
      <c r="D240" t="s">
        <v>1656</v>
      </c>
      <c r="E240" s="14">
        <v>3</v>
      </c>
      <c r="F240">
        <v>24</v>
      </c>
      <c r="G240">
        <v>20</v>
      </c>
      <c r="H240">
        <v>40</v>
      </c>
      <c r="I240">
        <v>14</v>
      </c>
      <c r="J240">
        <v>28</v>
      </c>
      <c r="K240">
        <v>28</v>
      </c>
      <c r="L240" s="14">
        <v>18</v>
      </c>
      <c r="M240">
        <v>30</v>
      </c>
      <c r="N240">
        <v>9</v>
      </c>
      <c r="O240">
        <v>30</v>
      </c>
      <c r="P240">
        <v>2</v>
      </c>
      <c r="Q240">
        <v>10</v>
      </c>
      <c r="R240" t="s">
        <v>1715</v>
      </c>
      <c r="S240" t="s">
        <v>1676</v>
      </c>
      <c r="V240">
        <f t="shared" si="8"/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 t="s">
        <v>2178</v>
      </c>
      <c r="B241" t="s">
        <v>29</v>
      </c>
      <c r="C241" t="s">
        <v>2179</v>
      </c>
      <c r="D241" t="s">
        <v>1656</v>
      </c>
      <c r="E241" s="14">
        <v>53</v>
      </c>
      <c r="F241">
        <v>72</v>
      </c>
      <c r="G241">
        <v>40</v>
      </c>
      <c r="H241">
        <v>0</v>
      </c>
      <c r="I241">
        <v>60</v>
      </c>
      <c r="J241">
        <v>68</v>
      </c>
      <c r="K241">
        <v>0</v>
      </c>
      <c r="L241" s="14">
        <v>60</v>
      </c>
      <c r="M241">
        <v>39</v>
      </c>
      <c r="N241">
        <v>50</v>
      </c>
      <c r="O241">
        <v>30</v>
      </c>
      <c r="P241">
        <v>1</v>
      </c>
      <c r="Q241">
        <v>20</v>
      </c>
      <c r="R241" t="s">
        <v>1705</v>
      </c>
      <c r="S241" t="s">
        <v>1706</v>
      </c>
      <c r="T241" t="s">
        <v>1707</v>
      </c>
      <c r="V241">
        <f t="shared" si="8"/>
        <v>80</v>
      </c>
      <c r="W241">
        <v>20</v>
      </c>
      <c r="X241">
        <v>20</v>
      </c>
      <c r="Y241">
        <v>30</v>
      </c>
      <c r="Z241">
        <v>10</v>
      </c>
    </row>
    <row r="242" spans="1:26">
      <c r="A242" s="1" t="s">
        <v>2180</v>
      </c>
      <c r="B242" t="s">
        <v>37</v>
      </c>
      <c r="C242" t="s">
        <v>2156</v>
      </c>
      <c r="D242" t="s">
        <v>1656</v>
      </c>
      <c r="E242" s="14">
        <v>53</v>
      </c>
      <c r="F242">
        <v>78</v>
      </c>
      <c r="G242">
        <v>137</v>
      </c>
      <c r="H242">
        <v>0</v>
      </c>
      <c r="I242">
        <v>85</v>
      </c>
      <c r="J242">
        <v>76</v>
      </c>
      <c r="K242">
        <v>0</v>
      </c>
      <c r="L242" s="14">
        <v>60</v>
      </c>
      <c r="M242">
        <v>32</v>
      </c>
      <c r="N242">
        <v>24</v>
      </c>
      <c r="O242">
        <v>21</v>
      </c>
      <c r="P242">
        <v>3</v>
      </c>
      <c r="Q242">
        <v>20</v>
      </c>
      <c r="R242" t="s">
        <v>1762</v>
      </c>
      <c r="S242" t="s">
        <v>1758</v>
      </c>
      <c r="T242" t="s">
        <v>1759</v>
      </c>
      <c r="V242">
        <f t="shared" si="8"/>
        <v>0</v>
      </c>
      <c r="W242">
        <v>0</v>
      </c>
      <c r="X242">
        <v>0</v>
      </c>
      <c r="Y242">
        <v>0</v>
      </c>
      <c r="Z242">
        <v>0</v>
      </c>
    </row>
    <row r="243" spans="1:26">
      <c r="A243" s="1" t="s">
        <v>2181</v>
      </c>
      <c r="B243" t="s">
        <v>37</v>
      </c>
      <c r="C243" t="s">
        <v>2169</v>
      </c>
      <c r="D243" t="s">
        <v>1656</v>
      </c>
      <c r="E243" s="14">
        <v>47</v>
      </c>
      <c r="F243">
        <v>78</v>
      </c>
      <c r="G243">
        <v>134</v>
      </c>
      <c r="H243">
        <v>0</v>
      </c>
      <c r="I243">
        <v>80</v>
      </c>
      <c r="J243">
        <v>74</v>
      </c>
      <c r="K243">
        <v>0</v>
      </c>
      <c r="L243" s="14">
        <v>55</v>
      </c>
      <c r="M243">
        <v>29</v>
      </c>
      <c r="N243">
        <v>22</v>
      </c>
      <c r="O243">
        <v>21</v>
      </c>
      <c r="P243">
        <v>3</v>
      </c>
      <c r="Q243">
        <v>20</v>
      </c>
      <c r="R243" t="s">
        <v>1762</v>
      </c>
      <c r="S243" t="s">
        <v>1758</v>
      </c>
      <c r="T243" t="s">
        <v>1759</v>
      </c>
      <c r="V243">
        <f t="shared" si="8"/>
        <v>0</v>
      </c>
      <c r="W243">
        <v>0</v>
      </c>
      <c r="X243">
        <v>0</v>
      </c>
      <c r="Y243">
        <v>0</v>
      </c>
      <c r="Z243">
        <v>0</v>
      </c>
    </row>
    <row r="244" spans="1:26">
      <c r="A244" s="1" t="s">
        <v>2182</v>
      </c>
      <c r="B244" t="s">
        <v>37</v>
      </c>
      <c r="C244" t="s">
        <v>2171</v>
      </c>
      <c r="D244" t="s">
        <v>1656</v>
      </c>
      <c r="E244" s="14">
        <v>47</v>
      </c>
      <c r="F244">
        <v>78</v>
      </c>
      <c r="G244">
        <v>134</v>
      </c>
      <c r="H244">
        <v>0</v>
      </c>
      <c r="I244">
        <v>80</v>
      </c>
      <c r="J244">
        <v>74</v>
      </c>
      <c r="K244">
        <v>0</v>
      </c>
      <c r="L244" s="14">
        <v>55</v>
      </c>
      <c r="M244">
        <v>29</v>
      </c>
      <c r="N244">
        <v>22</v>
      </c>
      <c r="O244">
        <v>21</v>
      </c>
      <c r="P244">
        <v>3</v>
      </c>
      <c r="Q244">
        <v>20</v>
      </c>
      <c r="R244" t="s">
        <v>1762</v>
      </c>
      <c r="S244" t="s">
        <v>1758</v>
      </c>
      <c r="T244" t="s">
        <v>1759</v>
      </c>
      <c r="V244">
        <f t="shared" si="8"/>
        <v>0</v>
      </c>
      <c r="W244">
        <v>0</v>
      </c>
      <c r="X244">
        <v>0</v>
      </c>
      <c r="Y244">
        <v>0</v>
      </c>
      <c r="Z244">
        <v>0</v>
      </c>
    </row>
    <row r="245" spans="1:26">
      <c r="A245" s="1" t="s">
        <v>2183</v>
      </c>
      <c r="B245" t="s">
        <v>265</v>
      </c>
      <c r="C245" t="s">
        <v>2184</v>
      </c>
      <c r="D245" t="s">
        <v>1656</v>
      </c>
      <c r="E245" s="14">
        <v>35</v>
      </c>
      <c r="F245">
        <v>27</v>
      </c>
      <c r="G245">
        <v>42</v>
      </c>
      <c r="H245">
        <v>62</v>
      </c>
      <c r="I245">
        <v>18</v>
      </c>
      <c r="J245">
        <v>35</v>
      </c>
      <c r="K245">
        <v>35</v>
      </c>
      <c r="L245" s="14">
        <v>45</v>
      </c>
      <c r="M245">
        <v>49</v>
      </c>
      <c r="N245">
        <v>15</v>
      </c>
      <c r="O245">
        <v>40</v>
      </c>
      <c r="P245">
        <v>1</v>
      </c>
      <c r="Q245">
        <v>20</v>
      </c>
      <c r="R245" t="s">
        <v>1675</v>
      </c>
      <c r="S245" t="s">
        <v>1679</v>
      </c>
      <c r="V245">
        <f t="shared" si="8"/>
        <v>0</v>
      </c>
      <c r="W245">
        <v>0</v>
      </c>
      <c r="X245">
        <v>0</v>
      </c>
      <c r="Y245">
        <v>0</v>
      </c>
      <c r="Z245">
        <v>0</v>
      </c>
    </row>
    <row r="246" spans="1:26">
      <c r="A246" s="1" t="s">
        <v>2185</v>
      </c>
      <c r="B246" t="s">
        <v>265</v>
      </c>
      <c r="C246" t="s">
        <v>2186</v>
      </c>
      <c r="D246" t="s">
        <v>1656</v>
      </c>
      <c r="E246" s="14">
        <v>35</v>
      </c>
      <c r="F246">
        <v>27</v>
      </c>
      <c r="G246">
        <v>42</v>
      </c>
      <c r="H246">
        <v>62</v>
      </c>
      <c r="I246">
        <v>18</v>
      </c>
      <c r="J246">
        <v>35</v>
      </c>
      <c r="K246">
        <v>35</v>
      </c>
      <c r="L246" s="14">
        <v>45</v>
      </c>
      <c r="M246">
        <v>49</v>
      </c>
      <c r="N246">
        <v>15</v>
      </c>
      <c r="O246">
        <v>40</v>
      </c>
      <c r="P246">
        <v>1</v>
      </c>
      <c r="Q246">
        <v>20</v>
      </c>
      <c r="R246" t="s">
        <v>1675</v>
      </c>
      <c r="S246" t="s">
        <v>1679</v>
      </c>
      <c r="V246">
        <f t="shared" si="8"/>
        <v>0</v>
      </c>
      <c r="W246">
        <v>0</v>
      </c>
      <c r="X246">
        <v>0</v>
      </c>
      <c r="Y246">
        <v>0</v>
      </c>
      <c r="Z246">
        <v>0</v>
      </c>
    </row>
    <row r="247" spans="1:26">
      <c r="A247" s="1" t="s">
        <v>2187</v>
      </c>
      <c r="B247" t="s">
        <v>37</v>
      </c>
      <c r="C247" t="s">
        <v>1974</v>
      </c>
      <c r="D247" t="s">
        <v>1656</v>
      </c>
      <c r="E247" s="14">
        <v>17</v>
      </c>
      <c r="F247">
        <v>90</v>
      </c>
      <c r="G247">
        <v>109</v>
      </c>
      <c r="H247">
        <v>0</v>
      </c>
      <c r="I247">
        <v>80</v>
      </c>
      <c r="J247">
        <v>25</v>
      </c>
      <c r="K247">
        <v>0</v>
      </c>
      <c r="L247" s="14">
        <v>30</v>
      </c>
      <c r="M247">
        <v>26</v>
      </c>
      <c r="N247">
        <v>16</v>
      </c>
      <c r="O247">
        <v>30</v>
      </c>
      <c r="P247">
        <v>3</v>
      </c>
      <c r="Q247">
        <v>10</v>
      </c>
      <c r="R247" t="s">
        <v>1758</v>
      </c>
      <c r="S247" t="s">
        <v>1758</v>
      </c>
      <c r="T247" t="s">
        <v>1759</v>
      </c>
      <c r="V247">
        <f t="shared" si="8"/>
        <v>0</v>
      </c>
      <c r="W247">
        <v>0</v>
      </c>
      <c r="X247">
        <v>0</v>
      </c>
      <c r="Y247">
        <v>0</v>
      </c>
      <c r="Z247">
        <v>0</v>
      </c>
    </row>
    <row r="248" spans="1:26">
      <c r="A248" s="1" t="s">
        <v>2188</v>
      </c>
      <c r="B248" t="s">
        <v>84</v>
      </c>
      <c r="C248" t="s">
        <v>2024</v>
      </c>
      <c r="D248" t="s">
        <v>1656</v>
      </c>
      <c r="E248" s="14">
        <v>15</v>
      </c>
      <c r="F248">
        <v>54</v>
      </c>
      <c r="G248">
        <v>38</v>
      </c>
      <c r="H248">
        <v>20</v>
      </c>
      <c r="I248">
        <v>36</v>
      </c>
      <c r="J248">
        <v>22</v>
      </c>
      <c r="K248">
        <v>0</v>
      </c>
      <c r="L248" s="14">
        <v>28</v>
      </c>
      <c r="M248">
        <v>30</v>
      </c>
      <c r="N248">
        <v>14</v>
      </c>
      <c r="O248">
        <v>32</v>
      </c>
      <c r="P248">
        <v>2</v>
      </c>
      <c r="Q248">
        <v>10</v>
      </c>
      <c r="R248" t="s">
        <v>1731</v>
      </c>
      <c r="S248" t="s">
        <v>1676</v>
      </c>
      <c r="T248" t="s">
        <v>1676</v>
      </c>
      <c r="V248">
        <f t="shared" si="8"/>
        <v>0</v>
      </c>
      <c r="W248">
        <v>0</v>
      </c>
      <c r="X248">
        <v>0</v>
      </c>
      <c r="Y248">
        <v>0</v>
      </c>
      <c r="Z248">
        <v>0</v>
      </c>
    </row>
    <row r="249" spans="1:26">
      <c r="A249" s="1" t="s">
        <v>2189</v>
      </c>
      <c r="B249" t="s">
        <v>265</v>
      </c>
      <c r="C249" t="s">
        <v>2190</v>
      </c>
      <c r="D249" t="s">
        <v>1656</v>
      </c>
      <c r="E249" s="14">
        <v>5</v>
      </c>
      <c r="F249">
        <v>28</v>
      </c>
      <c r="G249">
        <v>9</v>
      </c>
      <c r="H249">
        <v>24</v>
      </c>
      <c r="I249">
        <v>8</v>
      </c>
      <c r="J249">
        <v>12</v>
      </c>
      <c r="K249">
        <v>21</v>
      </c>
      <c r="L249" s="14">
        <v>20</v>
      </c>
      <c r="M249">
        <v>30</v>
      </c>
      <c r="N249">
        <v>4</v>
      </c>
      <c r="O249">
        <v>35</v>
      </c>
      <c r="P249">
        <v>1</v>
      </c>
      <c r="Q249">
        <v>10</v>
      </c>
      <c r="R249" t="s">
        <v>1660</v>
      </c>
      <c r="S249" t="s">
        <v>1663</v>
      </c>
      <c r="V249">
        <f t="shared" si="8"/>
        <v>0</v>
      </c>
      <c r="W249">
        <v>0</v>
      </c>
      <c r="X249">
        <v>0</v>
      </c>
      <c r="Y249">
        <v>0</v>
      </c>
      <c r="Z249">
        <v>0</v>
      </c>
    </row>
    <row r="250" spans="1:26">
      <c r="A250" s="1" t="s">
        <v>2191</v>
      </c>
      <c r="B250" t="s">
        <v>265</v>
      </c>
      <c r="C250" t="s">
        <v>2190</v>
      </c>
      <c r="D250" t="s">
        <v>1656</v>
      </c>
      <c r="E250" s="14">
        <v>5</v>
      </c>
      <c r="F250">
        <v>28</v>
      </c>
      <c r="G250">
        <v>9</v>
      </c>
      <c r="H250">
        <v>24</v>
      </c>
      <c r="I250">
        <v>8</v>
      </c>
      <c r="J250">
        <v>12</v>
      </c>
      <c r="K250">
        <v>21</v>
      </c>
      <c r="L250" s="14">
        <v>20</v>
      </c>
      <c r="M250">
        <v>30</v>
      </c>
      <c r="N250">
        <v>4</v>
      </c>
      <c r="O250">
        <v>35</v>
      </c>
      <c r="P250">
        <v>1</v>
      </c>
      <c r="Q250">
        <v>10</v>
      </c>
      <c r="R250" t="s">
        <v>1660</v>
      </c>
      <c r="S250" t="s">
        <v>1663</v>
      </c>
      <c r="V250">
        <f t="shared" si="8"/>
        <v>0</v>
      </c>
      <c r="W250">
        <v>0</v>
      </c>
      <c r="X250">
        <v>0</v>
      </c>
      <c r="Y250">
        <v>0</v>
      </c>
      <c r="Z250">
        <v>0</v>
      </c>
    </row>
    <row r="251" spans="1:26">
      <c r="A251" s="1" t="s">
        <v>2192</v>
      </c>
      <c r="B251" t="s">
        <v>265</v>
      </c>
      <c r="C251" t="s">
        <v>2190</v>
      </c>
      <c r="D251" t="s">
        <v>1656</v>
      </c>
      <c r="E251" s="14">
        <v>5</v>
      </c>
      <c r="F251">
        <v>28</v>
      </c>
      <c r="G251">
        <v>9</v>
      </c>
      <c r="H251">
        <v>24</v>
      </c>
      <c r="I251">
        <v>8</v>
      </c>
      <c r="J251">
        <v>12</v>
      </c>
      <c r="K251">
        <v>21</v>
      </c>
      <c r="L251" s="14">
        <v>20</v>
      </c>
      <c r="M251">
        <v>30</v>
      </c>
      <c r="N251">
        <v>4</v>
      </c>
      <c r="O251">
        <v>35</v>
      </c>
      <c r="P251">
        <v>1</v>
      </c>
      <c r="Q251">
        <v>10</v>
      </c>
      <c r="R251" t="s">
        <v>1660</v>
      </c>
      <c r="S251" t="s">
        <v>1663</v>
      </c>
      <c r="V251">
        <f t="shared" si="8"/>
        <v>0</v>
      </c>
      <c r="W251">
        <v>0</v>
      </c>
      <c r="X251">
        <v>0</v>
      </c>
      <c r="Y251">
        <v>0</v>
      </c>
      <c r="Z251">
        <v>0</v>
      </c>
    </row>
    <row r="252" spans="1:26">
      <c r="A252" s="1" t="s">
        <v>2193</v>
      </c>
      <c r="B252" t="s">
        <v>265</v>
      </c>
      <c r="C252" t="s">
        <v>2190</v>
      </c>
      <c r="D252" t="s">
        <v>1656</v>
      </c>
      <c r="E252" s="14">
        <v>5</v>
      </c>
      <c r="F252">
        <v>28</v>
      </c>
      <c r="G252">
        <v>9</v>
      </c>
      <c r="H252">
        <v>24</v>
      </c>
      <c r="I252">
        <v>8</v>
      </c>
      <c r="J252">
        <v>12</v>
      </c>
      <c r="K252">
        <v>21</v>
      </c>
      <c r="L252" s="14">
        <v>20</v>
      </c>
      <c r="M252">
        <v>30</v>
      </c>
      <c r="N252">
        <v>4</v>
      </c>
      <c r="O252">
        <v>35</v>
      </c>
      <c r="P252">
        <v>1</v>
      </c>
      <c r="Q252">
        <v>10</v>
      </c>
      <c r="R252" t="s">
        <v>1660</v>
      </c>
      <c r="S252" t="s">
        <v>1663</v>
      </c>
      <c r="V252">
        <f t="shared" si="8"/>
        <v>0</v>
      </c>
      <c r="W252">
        <v>0</v>
      </c>
      <c r="X252">
        <v>0</v>
      </c>
      <c r="Y252">
        <v>0</v>
      </c>
      <c r="Z252">
        <v>0</v>
      </c>
    </row>
    <row r="253" spans="1:26">
      <c r="A253" s="1" t="s">
        <v>2194</v>
      </c>
      <c r="B253" t="s">
        <v>37</v>
      </c>
      <c r="C253" t="s">
        <v>1974</v>
      </c>
      <c r="D253" t="s">
        <v>1656</v>
      </c>
      <c r="E253" s="14">
        <v>47</v>
      </c>
      <c r="F253">
        <v>90</v>
      </c>
      <c r="G253">
        <v>132</v>
      </c>
      <c r="H253">
        <v>0</v>
      </c>
      <c r="I253">
        <v>100</v>
      </c>
      <c r="J253">
        <v>40</v>
      </c>
      <c r="K253">
        <v>0</v>
      </c>
      <c r="L253" s="14">
        <v>55</v>
      </c>
      <c r="M253">
        <v>38</v>
      </c>
      <c r="N253">
        <v>26</v>
      </c>
      <c r="O253">
        <v>30</v>
      </c>
      <c r="P253">
        <v>3</v>
      </c>
      <c r="Q253">
        <v>20</v>
      </c>
      <c r="R253" t="s">
        <v>1762</v>
      </c>
      <c r="S253" t="s">
        <v>1762</v>
      </c>
      <c r="T253" t="s">
        <v>1716</v>
      </c>
      <c r="U253" t="s">
        <v>1666</v>
      </c>
      <c r="V253">
        <f t="shared" si="8"/>
        <v>12</v>
      </c>
      <c r="W253">
        <v>3</v>
      </c>
      <c r="X253">
        <v>3</v>
      </c>
      <c r="Y253">
        <v>3</v>
      </c>
      <c r="Z253">
        <v>3</v>
      </c>
    </row>
    <row r="254" spans="1:26">
      <c r="A254" s="1" t="s">
        <v>2195</v>
      </c>
      <c r="B254" t="s">
        <v>84</v>
      </c>
      <c r="C254" t="s">
        <v>2024</v>
      </c>
      <c r="D254" t="s">
        <v>1656</v>
      </c>
      <c r="E254" s="14">
        <v>44</v>
      </c>
      <c r="F254">
        <v>54</v>
      </c>
      <c r="G254">
        <v>59</v>
      </c>
      <c r="H254">
        <v>0</v>
      </c>
      <c r="I254">
        <v>51</v>
      </c>
      <c r="J254">
        <v>52</v>
      </c>
      <c r="K254">
        <v>0</v>
      </c>
      <c r="L254" s="14">
        <v>52</v>
      </c>
      <c r="M254">
        <v>48</v>
      </c>
      <c r="N254">
        <v>36</v>
      </c>
      <c r="O254">
        <v>32</v>
      </c>
      <c r="P254">
        <v>2</v>
      </c>
      <c r="Q254">
        <v>20</v>
      </c>
      <c r="R254" t="s">
        <v>1715</v>
      </c>
      <c r="S254" t="s">
        <v>1663</v>
      </c>
      <c r="T254" t="s">
        <v>1663</v>
      </c>
      <c r="V254">
        <f t="shared" si="8"/>
        <v>0</v>
      </c>
      <c r="W254">
        <v>0</v>
      </c>
      <c r="X254">
        <v>0</v>
      </c>
      <c r="Y254">
        <v>0</v>
      </c>
      <c r="Z254">
        <v>0</v>
      </c>
    </row>
    <row r="255" spans="1:26">
      <c r="A255" s="1" t="s">
        <v>2196</v>
      </c>
      <c r="B255" t="s">
        <v>265</v>
      </c>
      <c r="C255" t="s">
        <v>2190</v>
      </c>
      <c r="D255" t="s">
        <v>1656</v>
      </c>
      <c r="E255" s="14">
        <v>35</v>
      </c>
      <c r="F255">
        <v>27</v>
      </c>
      <c r="G255">
        <v>34</v>
      </c>
      <c r="H255">
        <v>64</v>
      </c>
      <c r="I255">
        <v>21</v>
      </c>
      <c r="J255">
        <v>33</v>
      </c>
      <c r="K255">
        <v>36</v>
      </c>
      <c r="L255" s="14">
        <v>45</v>
      </c>
      <c r="M255">
        <v>60</v>
      </c>
      <c r="N255">
        <v>12</v>
      </c>
      <c r="O255">
        <v>40</v>
      </c>
      <c r="P255">
        <v>1</v>
      </c>
      <c r="Q255">
        <v>20</v>
      </c>
      <c r="R255" t="s">
        <v>1679</v>
      </c>
      <c r="S255" t="s">
        <v>1675</v>
      </c>
      <c r="V255">
        <f t="shared" ref="V255:V282" si="9">SUM(W255:Z255)</f>
        <v>0</v>
      </c>
      <c r="W255">
        <v>0</v>
      </c>
      <c r="X255">
        <v>0</v>
      </c>
      <c r="Y255">
        <v>0</v>
      </c>
      <c r="Z255">
        <v>0</v>
      </c>
    </row>
    <row r="256" spans="1:26">
      <c r="A256" s="1" t="s">
        <v>2197</v>
      </c>
      <c r="B256" t="s">
        <v>265</v>
      </c>
      <c r="C256" t="s">
        <v>2190</v>
      </c>
      <c r="D256" t="s">
        <v>1656</v>
      </c>
      <c r="E256" s="14">
        <v>35</v>
      </c>
      <c r="F256">
        <v>27</v>
      </c>
      <c r="G256">
        <v>34</v>
      </c>
      <c r="H256">
        <v>64</v>
      </c>
      <c r="I256">
        <v>21</v>
      </c>
      <c r="J256">
        <v>33</v>
      </c>
      <c r="K256">
        <v>36</v>
      </c>
      <c r="L256" s="14">
        <v>45</v>
      </c>
      <c r="M256">
        <v>60</v>
      </c>
      <c r="N256">
        <v>12</v>
      </c>
      <c r="O256">
        <v>40</v>
      </c>
      <c r="P256">
        <v>1</v>
      </c>
      <c r="Q256">
        <v>20</v>
      </c>
      <c r="R256" t="s">
        <v>1679</v>
      </c>
      <c r="S256" t="s">
        <v>1675</v>
      </c>
      <c r="V256">
        <f t="shared" si="9"/>
        <v>0</v>
      </c>
      <c r="W256">
        <v>0</v>
      </c>
      <c r="X256">
        <v>0</v>
      </c>
      <c r="Y256">
        <v>0</v>
      </c>
      <c r="Z256">
        <v>0</v>
      </c>
    </row>
    <row r="257" spans="1:26">
      <c r="A257" s="1" t="s">
        <v>2198</v>
      </c>
      <c r="B257" t="s">
        <v>87</v>
      </c>
      <c r="C257" t="s">
        <v>2199</v>
      </c>
      <c r="D257" t="s">
        <v>1656</v>
      </c>
      <c r="E257" s="14">
        <v>29</v>
      </c>
      <c r="F257">
        <v>27</v>
      </c>
      <c r="G257">
        <v>0</v>
      </c>
      <c r="H257">
        <v>64</v>
      </c>
      <c r="I257">
        <v>21</v>
      </c>
      <c r="J257">
        <v>0</v>
      </c>
      <c r="K257">
        <v>0</v>
      </c>
      <c r="L257" s="14">
        <v>40</v>
      </c>
      <c r="M257">
        <v>5</v>
      </c>
      <c r="N257">
        <v>8</v>
      </c>
      <c r="O257">
        <v>15</v>
      </c>
      <c r="P257">
        <v>1</v>
      </c>
      <c r="Q257">
        <v>20</v>
      </c>
      <c r="R257" t="s">
        <v>1679</v>
      </c>
      <c r="V257">
        <f t="shared" si="9"/>
        <v>0</v>
      </c>
      <c r="W257">
        <v>0</v>
      </c>
      <c r="X257">
        <v>0</v>
      </c>
      <c r="Y257">
        <v>0</v>
      </c>
      <c r="Z257">
        <v>0</v>
      </c>
    </row>
    <row r="258" spans="1:26">
      <c r="A258" s="1" t="s">
        <v>2200</v>
      </c>
      <c r="B258" t="s">
        <v>87</v>
      </c>
      <c r="C258" t="s">
        <v>2199</v>
      </c>
      <c r="D258" t="s">
        <v>1656</v>
      </c>
      <c r="E258" s="14">
        <v>29</v>
      </c>
      <c r="F258">
        <v>27</v>
      </c>
      <c r="G258">
        <v>0</v>
      </c>
      <c r="H258">
        <v>64</v>
      </c>
      <c r="I258">
        <v>21</v>
      </c>
      <c r="J258">
        <v>0</v>
      </c>
      <c r="K258">
        <v>0</v>
      </c>
      <c r="L258" s="14">
        <v>40</v>
      </c>
      <c r="M258">
        <v>5</v>
      </c>
      <c r="N258">
        <v>8</v>
      </c>
      <c r="O258">
        <v>15</v>
      </c>
      <c r="P258">
        <v>1</v>
      </c>
      <c r="Q258">
        <v>20</v>
      </c>
      <c r="R258" t="s">
        <v>1679</v>
      </c>
      <c r="V258">
        <f t="shared" si="9"/>
        <v>0</v>
      </c>
      <c r="W258">
        <v>0</v>
      </c>
      <c r="X258">
        <v>0</v>
      </c>
      <c r="Y258">
        <v>0</v>
      </c>
      <c r="Z258">
        <v>0</v>
      </c>
    </row>
    <row r="259" spans="1:26">
      <c r="A259" s="1" t="s">
        <v>2201</v>
      </c>
      <c r="B259" t="s">
        <v>237</v>
      </c>
      <c r="C259" t="s">
        <v>2202</v>
      </c>
      <c r="D259" t="s">
        <v>1656</v>
      </c>
      <c r="E259" s="14">
        <v>20</v>
      </c>
      <c r="F259">
        <v>32</v>
      </c>
      <c r="G259">
        <v>0</v>
      </c>
      <c r="H259">
        <v>0</v>
      </c>
      <c r="I259">
        <v>19</v>
      </c>
      <c r="J259">
        <v>14</v>
      </c>
      <c r="K259">
        <v>0</v>
      </c>
      <c r="L259" s="14">
        <v>32</v>
      </c>
      <c r="M259">
        <v>28</v>
      </c>
      <c r="N259">
        <v>34</v>
      </c>
      <c r="O259">
        <v>25</v>
      </c>
      <c r="P259">
        <v>1</v>
      </c>
      <c r="Q259">
        <v>10</v>
      </c>
      <c r="R259" t="s">
        <v>1700</v>
      </c>
      <c r="S259" t="s">
        <v>1701</v>
      </c>
      <c r="T259" t="s">
        <v>1702</v>
      </c>
      <c r="V259">
        <f t="shared" si="9"/>
        <v>42</v>
      </c>
      <c r="W259">
        <v>14</v>
      </c>
      <c r="X259">
        <v>16</v>
      </c>
      <c r="Y259">
        <v>12</v>
      </c>
      <c r="Z259">
        <v>0</v>
      </c>
    </row>
    <row r="260" spans="1:26">
      <c r="A260" s="1" t="s">
        <v>2203</v>
      </c>
      <c r="B260" t="s">
        <v>84</v>
      </c>
      <c r="C260" t="s">
        <v>2204</v>
      </c>
      <c r="D260" t="s">
        <v>1656</v>
      </c>
      <c r="E260" s="14">
        <v>13</v>
      </c>
      <c r="F260">
        <v>37</v>
      </c>
      <c r="G260">
        <v>38</v>
      </c>
      <c r="H260">
        <v>12</v>
      </c>
      <c r="I260">
        <v>26</v>
      </c>
      <c r="J260">
        <v>16</v>
      </c>
      <c r="K260">
        <v>0</v>
      </c>
      <c r="L260" s="14">
        <v>26</v>
      </c>
      <c r="M260">
        <v>33</v>
      </c>
      <c r="N260">
        <v>11</v>
      </c>
      <c r="O260">
        <v>25</v>
      </c>
      <c r="P260">
        <v>2</v>
      </c>
      <c r="Q260">
        <v>10</v>
      </c>
      <c r="R260" t="s">
        <v>1748</v>
      </c>
      <c r="S260" t="s">
        <v>1676</v>
      </c>
      <c r="V260">
        <f t="shared" si="9"/>
        <v>0</v>
      </c>
      <c r="W260">
        <v>0</v>
      </c>
      <c r="X260">
        <v>0</v>
      </c>
      <c r="Y260">
        <v>0</v>
      </c>
      <c r="Z260">
        <v>0</v>
      </c>
    </row>
    <row r="261" spans="1:26">
      <c r="A261" s="1" t="s">
        <v>2205</v>
      </c>
      <c r="B261" t="s">
        <v>84</v>
      </c>
      <c r="C261" t="s">
        <v>2206</v>
      </c>
      <c r="D261" t="s">
        <v>1656</v>
      </c>
      <c r="E261" s="14">
        <v>13</v>
      </c>
      <c r="F261">
        <v>36</v>
      </c>
      <c r="G261">
        <v>38</v>
      </c>
      <c r="H261">
        <v>12</v>
      </c>
      <c r="I261">
        <v>25</v>
      </c>
      <c r="J261">
        <v>16</v>
      </c>
      <c r="K261">
        <v>0</v>
      </c>
      <c r="L261" s="14">
        <v>26</v>
      </c>
      <c r="M261">
        <v>33</v>
      </c>
      <c r="N261">
        <v>11</v>
      </c>
      <c r="O261">
        <v>25</v>
      </c>
      <c r="P261">
        <v>2</v>
      </c>
      <c r="Q261">
        <v>10</v>
      </c>
      <c r="R261" t="s">
        <v>1748</v>
      </c>
      <c r="S261" t="s">
        <v>1676</v>
      </c>
      <c r="V261">
        <f t="shared" si="9"/>
        <v>0</v>
      </c>
      <c r="W261">
        <v>0</v>
      </c>
      <c r="X261">
        <v>0</v>
      </c>
      <c r="Y261">
        <v>0</v>
      </c>
      <c r="Z261">
        <v>0</v>
      </c>
    </row>
    <row r="262" spans="1:26">
      <c r="A262" s="1" t="s">
        <v>2207</v>
      </c>
      <c r="B262" t="s">
        <v>84</v>
      </c>
      <c r="C262" t="s">
        <v>2075</v>
      </c>
      <c r="D262" t="s">
        <v>1656</v>
      </c>
      <c r="E262" s="14">
        <v>13</v>
      </c>
      <c r="F262">
        <v>36</v>
      </c>
      <c r="G262">
        <v>38</v>
      </c>
      <c r="H262">
        <v>12</v>
      </c>
      <c r="I262">
        <v>25</v>
      </c>
      <c r="J262">
        <v>16</v>
      </c>
      <c r="K262">
        <v>0</v>
      </c>
      <c r="L262" s="14">
        <v>26</v>
      </c>
      <c r="M262">
        <v>33</v>
      </c>
      <c r="N262">
        <v>11</v>
      </c>
      <c r="O262">
        <v>25</v>
      </c>
      <c r="P262">
        <v>2</v>
      </c>
      <c r="Q262">
        <v>10</v>
      </c>
      <c r="R262" t="s">
        <v>1748</v>
      </c>
      <c r="S262" t="s">
        <v>1676</v>
      </c>
      <c r="V262">
        <f t="shared" si="9"/>
        <v>0</v>
      </c>
      <c r="W262">
        <v>0</v>
      </c>
      <c r="X262">
        <v>0</v>
      </c>
      <c r="Y262">
        <v>0</v>
      </c>
      <c r="Z262">
        <v>0</v>
      </c>
    </row>
    <row r="263" spans="1:26">
      <c r="A263" s="1" t="s">
        <v>2208</v>
      </c>
      <c r="B263" t="s">
        <v>84</v>
      </c>
      <c r="C263" t="s">
        <v>2077</v>
      </c>
      <c r="D263" t="s">
        <v>1656</v>
      </c>
      <c r="E263" s="14">
        <v>13</v>
      </c>
      <c r="F263">
        <v>37</v>
      </c>
      <c r="G263">
        <v>38</v>
      </c>
      <c r="H263">
        <v>12</v>
      </c>
      <c r="I263">
        <v>36</v>
      </c>
      <c r="J263">
        <v>16</v>
      </c>
      <c r="K263">
        <v>0</v>
      </c>
      <c r="L263" s="14">
        <v>26</v>
      </c>
      <c r="M263">
        <v>33</v>
      </c>
      <c r="N263">
        <v>11</v>
      </c>
      <c r="O263">
        <v>25</v>
      </c>
      <c r="P263">
        <v>2</v>
      </c>
      <c r="Q263">
        <v>10</v>
      </c>
      <c r="R263" t="s">
        <v>1748</v>
      </c>
      <c r="S263" t="s">
        <v>1676</v>
      </c>
      <c r="V263">
        <f t="shared" si="9"/>
        <v>0</v>
      </c>
      <c r="W263">
        <v>0</v>
      </c>
      <c r="X263">
        <v>0</v>
      </c>
      <c r="Y263">
        <v>0</v>
      </c>
      <c r="Z263">
        <v>0</v>
      </c>
    </row>
    <row r="264" spans="1:26">
      <c r="A264" s="1" t="s">
        <v>2209</v>
      </c>
      <c r="B264" t="s">
        <v>265</v>
      </c>
      <c r="C264" t="s">
        <v>2210</v>
      </c>
      <c r="D264" t="s">
        <v>1656</v>
      </c>
      <c r="E264" s="14">
        <v>5</v>
      </c>
      <c r="F264">
        <v>15</v>
      </c>
      <c r="G264">
        <v>11</v>
      </c>
      <c r="H264">
        <v>27</v>
      </c>
      <c r="I264">
        <v>5</v>
      </c>
      <c r="J264">
        <v>12</v>
      </c>
      <c r="K264">
        <v>20</v>
      </c>
      <c r="L264" s="14">
        <v>20</v>
      </c>
      <c r="M264">
        <v>41</v>
      </c>
      <c r="N264">
        <v>5</v>
      </c>
      <c r="O264">
        <v>35</v>
      </c>
      <c r="P264">
        <v>1</v>
      </c>
      <c r="Q264">
        <v>10</v>
      </c>
      <c r="R264" t="s">
        <v>1660</v>
      </c>
      <c r="V264">
        <f t="shared" si="9"/>
        <v>0</v>
      </c>
      <c r="W264">
        <v>0</v>
      </c>
      <c r="X264">
        <v>0</v>
      </c>
      <c r="Y264">
        <v>0</v>
      </c>
      <c r="Z264">
        <v>0</v>
      </c>
    </row>
    <row r="265" spans="1:26">
      <c r="A265" s="1" t="s">
        <v>2211</v>
      </c>
      <c r="B265" t="s">
        <v>29</v>
      </c>
      <c r="C265" t="s">
        <v>2212</v>
      </c>
      <c r="D265" t="s">
        <v>1656</v>
      </c>
      <c r="E265" s="14">
        <v>41</v>
      </c>
      <c r="F265">
        <v>62</v>
      </c>
      <c r="G265">
        <v>39</v>
      </c>
      <c r="H265">
        <v>0</v>
      </c>
      <c r="I265">
        <v>49</v>
      </c>
      <c r="J265">
        <v>69</v>
      </c>
      <c r="K265">
        <v>0</v>
      </c>
      <c r="L265" s="14">
        <v>50</v>
      </c>
      <c r="M265">
        <v>47</v>
      </c>
      <c r="N265">
        <v>44</v>
      </c>
      <c r="O265">
        <v>30</v>
      </c>
      <c r="P265">
        <v>2</v>
      </c>
      <c r="Q265">
        <v>20</v>
      </c>
      <c r="R265" t="s">
        <v>1705</v>
      </c>
      <c r="S265" t="s">
        <v>1706</v>
      </c>
      <c r="T265" t="s">
        <v>1707</v>
      </c>
      <c r="V265">
        <f t="shared" si="9"/>
        <v>75</v>
      </c>
      <c r="W265">
        <v>21</v>
      </c>
      <c r="X265">
        <v>21</v>
      </c>
      <c r="Y265">
        <v>21</v>
      </c>
      <c r="Z265">
        <v>12</v>
      </c>
    </row>
    <row r="266" spans="1:26">
      <c r="A266" s="1" t="s">
        <v>2213</v>
      </c>
      <c r="B266" t="s">
        <v>29</v>
      </c>
      <c r="C266" t="s">
        <v>2109</v>
      </c>
      <c r="D266" t="s">
        <v>1656</v>
      </c>
      <c r="E266" s="14">
        <v>41</v>
      </c>
      <c r="F266">
        <v>62</v>
      </c>
      <c r="G266">
        <v>39</v>
      </c>
      <c r="H266">
        <v>0</v>
      </c>
      <c r="I266">
        <v>49</v>
      </c>
      <c r="J266">
        <v>69</v>
      </c>
      <c r="K266">
        <v>0</v>
      </c>
      <c r="L266" s="14">
        <v>50</v>
      </c>
      <c r="M266">
        <v>49</v>
      </c>
      <c r="N266">
        <v>44</v>
      </c>
      <c r="O266">
        <v>30</v>
      </c>
      <c r="P266">
        <v>2</v>
      </c>
      <c r="Q266">
        <v>40</v>
      </c>
      <c r="R266" t="s">
        <v>1705</v>
      </c>
      <c r="S266" t="s">
        <v>1706</v>
      </c>
      <c r="T266" t="s">
        <v>1707</v>
      </c>
      <c r="V266">
        <f t="shared" si="9"/>
        <v>75</v>
      </c>
      <c r="W266">
        <v>21</v>
      </c>
      <c r="X266">
        <v>21</v>
      </c>
      <c r="Y266">
        <v>21</v>
      </c>
      <c r="Z266">
        <v>12</v>
      </c>
    </row>
    <row r="267" spans="1:26">
      <c r="A267" s="1" t="s">
        <v>2214</v>
      </c>
      <c r="B267" t="s">
        <v>84</v>
      </c>
      <c r="C267" t="s">
        <v>2215</v>
      </c>
      <c r="D267" t="s">
        <v>1656</v>
      </c>
      <c r="E267" s="14">
        <v>44</v>
      </c>
      <c r="F267">
        <v>45</v>
      </c>
      <c r="G267">
        <v>65</v>
      </c>
      <c r="H267">
        <v>59</v>
      </c>
      <c r="I267">
        <v>49</v>
      </c>
      <c r="J267">
        <v>64</v>
      </c>
      <c r="K267">
        <v>0</v>
      </c>
      <c r="L267" s="14">
        <v>52</v>
      </c>
      <c r="M267">
        <v>45</v>
      </c>
      <c r="N267">
        <v>28</v>
      </c>
      <c r="O267">
        <v>30</v>
      </c>
      <c r="P267">
        <v>2</v>
      </c>
      <c r="Q267">
        <v>20</v>
      </c>
      <c r="R267" t="s">
        <v>1748</v>
      </c>
      <c r="S267" t="s">
        <v>1715</v>
      </c>
      <c r="T267" t="s">
        <v>1679</v>
      </c>
      <c r="U267" t="s">
        <v>1716</v>
      </c>
      <c r="V267">
        <f t="shared" si="9"/>
        <v>12</v>
      </c>
      <c r="W267">
        <v>3</v>
      </c>
      <c r="X267">
        <v>3</v>
      </c>
      <c r="Y267">
        <v>3</v>
      </c>
      <c r="Z267">
        <v>3</v>
      </c>
    </row>
    <row r="268" spans="1:26">
      <c r="A268" s="1" t="s">
        <v>2216</v>
      </c>
      <c r="B268" t="s">
        <v>84</v>
      </c>
      <c r="C268" t="s">
        <v>2217</v>
      </c>
      <c r="D268" t="s">
        <v>1656</v>
      </c>
      <c r="E268" s="14">
        <v>44</v>
      </c>
      <c r="F268">
        <v>44</v>
      </c>
      <c r="G268">
        <v>65</v>
      </c>
      <c r="H268">
        <v>49</v>
      </c>
      <c r="I268">
        <v>49</v>
      </c>
      <c r="J268">
        <v>54</v>
      </c>
      <c r="K268">
        <v>0</v>
      </c>
      <c r="L268" s="14">
        <v>52</v>
      </c>
      <c r="M268">
        <v>45</v>
      </c>
      <c r="N268">
        <v>28</v>
      </c>
      <c r="O268">
        <v>30</v>
      </c>
      <c r="P268">
        <v>2</v>
      </c>
      <c r="Q268">
        <v>20</v>
      </c>
      <c r="R268" t="s">
        <v>1748</v>
      </c>
      <c r="S268" t="s">
        <v>1715</v>
      </c>
      <c r="T268" t="s">
        <v>1679</v>
      </c>
      <c r="U268" t="s">
        <v>1716</v>
      </c>
      <c r="V268">
        <f t="shared" si="9"/>
        <v>12</v>
      </c>
      <c r="W268">
        <v>3</v>
      </c>
      <c r="X268">
        <v>3</v>
      </c>
      <c r="Y268">
        <v>3</v>
      </c>
      <c r="Z268">
        <v>3</v>
      </c>
    </row>
    <row r="269" spans="1:26">
      <c r="A269" s="1" t="s">
        <v>2218</v>
      </c>
      <c r="B269" t="s">
        <v>265</v>
      </c>
      <c r="C269" t="s">
        <v>2219</v>
      </c>
      <c r="D269" t="s">
        <v>1656</v>
      </c>
      <c r="E269" s="14">
        <v>35</v>
      </c>
      <c r="F269">
        <v>15</v>
      </c>
      <c r="G269">
        <v>35</v>
      </c>
      <c r="H269">
        <v>69</v>
      </c>
      <c r="I269">
        <v>19</v>
      </c>
      <c r="J269">
        <v>39</v>
      </c>
      <c r="K269">
        <v>35</v>
      </c>
      <c r="L269" s="14">
        <v>45</v>
      </c>
      <c r="M269">
        <v>60</v>
      </c>
      <c r="N269">
        <v>12</v>
      </c>
      <c r="O269">
        <v>40</v>
      </c>
      <c r="P269">
        <v>2</v>
      </c>
      <c r="Q269">
        <v>20</v>
      </c>
      <c r="R269" t="s">
        <v>1660</v>
      </c>
      <c r="S269" t="s">
        <v>1663</v>
      </c>
      <c r="V269">
        <f t="shared" si="9"/>
        <v>0</v>
      </c>
      <c r="W269">
        <v>0</v>
      </c>
      <c r="X269">
        <v>0</v>
      </c>
      <c r="Y269">
        <v>0</v>
      </c>
      <c r="Z269">
        <v>0</v>
      </c>
    </row>
    <row r="270" spans="1:26">
      <c r="A270" s="1" t="s">
        <v>2220</v>
      </c>
      <c r="B270" t="s">
        <v>265</v>
      </c>
      <c r="C270" t="s">
        <v>2125</v>
      </c>
      <c r="D270" t="s">
        <v>1656</v>
      </c>
      <c r="E270" s="14">
        <v>35</v>
      </c>
      <c r="F270">
        <v>15</v>
      </c>
      <c r="G270">
        <v>35</v>
      </c>
      <c r="H270">
        <v>69</v>
      </c>
      <c r="I270">
        <v>19</v>
      </c>
      <c r="J270">
        <v>39</v>
      </c>
      <c r="K270">
        <v>35</v>
      </c>
      <c r="L270" s="14">
        <v>45</v>
      </c>
      <c r="M270">
        <v>60</v>
      </c>
      <c r="N270">
        <v>12</v>
      </c>
      <c r="O270">
        <v>40</v>
      </c>
      <c r="P270">
        <v>2</v>
      </c>
      <c r="Q270">
        <v>20</v>
      </c>
      <c r="R270" t="s">
        <v>1660</v>
      </c>
      <c r="S270" t="s">
        <v>1663</v>
      </c>
      <c r="V270">
        <f t="shared" si="9"/>
        <v>0</v>
      </c>
      <c r="W270">
        <v>0</v>
      </c>
      <c r="X270">
        <v>0</v>
      </c>
      <c r="Y270">
        <v>0</v>
      </c>
      <c r="Z270">
        <v>0</v>
      </c>
    </row>
    <row r="271" spans="1:26">
      <c r="A271" s="1" t="s">
        <v>2221</v>
      </c>
      <c r="B271" t="s">
        <v>84</v>
      </c>
      <c r="C271" t="s">
        <v>2222</v>
      </c>
      <c r="D271" t="s">
        <v>1656</v>
      </c>
      <c r="E271" s="14">
        <v>21</v>
      </c>
      <c r="F271">
        <v>60</v>
      </c>
      <c r="G271">
        <v>53</v>
      </c>
      <c r="H271">
        <v>24</v>
      </c>
      <c r="I271">
        <v>34</v>
      </c>
      <c r="J271">
        <v>18</v>
      </c>
      <c r="K271">
        <v>0</v>
      </c>
      <c r="L271" s="14">
        <v>33</v>
      </c>
      <c r="M271">
        <v>33</v>
      </c>
      <c r="N271">
        <v>12</v>
      </c>
      <c r="O271">
        <v>25</v>
      </c>
      <c r="P271">
        <v>2</v>
      </c>
      <c r="Q271">
        <v>10</v>
      </c>
      <c r="R271" t="s">
        <v>1748</v>
      </c>
      <c r="S271" t="s">
        <v>1676</v>
      </c>
      <c r="V271">
        <f t="shared" si="9"/>
        <v>12</v>
      </c>
      <c r="W271">
        <v>3</v>
      </c>
      <c r="X271">
        <v>3</v>
      </c>
      <c r="Y271">
        <v>3</v>
      </c>
      <c r="Z271">
        <v>3</v>
      </c>
    </row>
    <row r="272" spans="1:26">
      <c r="A272" s="1" t="s">
        <v>2223</v>
      </c>
      <c r="B272" t="s">
        <v>84</v>
      </c>
      <c r="C272" t="s">
        <v>2224</v>
      </c>
      <c r="D272" t="s">
        <v>1656</v>
      </c>
      <c r="E272" s="14">
        <v>17</v>
      </c>
      <c r="F272">
        <v>58</v>
      </c>
      <c r="G272">
        <v>47</v>
      </c>
      <c r="H272">
        <v>20</v>
      </c>
      <c r="I272">
        <v>32</v>
      </c>
      <c r="J272">
        <v>16</v>
      </c>
      <c r="K272">
        <v>0</v>
      </c>
      <c r="L272" s="14">
        <v>30</v>
      </c>
      <c r="M272">
        <v>33</v>
      </c>
      <c r="N272">
        <v>11</v>
      </c>
      <c r="O272">
        <v>25</v>
      </c>
      <c r="P272">
        <v>2</v>
      </c>
      <c r="Q272">
        <v>10</v>
      </c>
      <c r="R272" t="s">
        <v>1748</v>
      </c>
      <c r="S272" t="s">
        <v>1676</v>
      </c>
      <c r="V272">
        <f t="shared" si="9"/>
        <v>12</v>
      </c>
      <c r="W272">
        <v>3</v>
      </c>
      <c r="X272">
        <v>3</v>
      </c>
      <c r="Y272">
        <v>3</v>
      </c>
      <c r="Z272">
        <v>3</v>
      </c>
    </row>
    <row r="273" spans="1:26">
      <c r="A273" s="1" t="s">
        <v>2225</v>
      </c>
      <c r="B273" t="s">
        <v>84</v>
      </c>
      <c r="C273" t="s">
        <v>2226</v>
      </c>
      <c r="D273" t="s">
        <v>1656</v>
      </c>
      <c r="E273" s="14">
        <v>17</v>
      </c>
      <c r="F273">
        <v>58</v>
      </c>
      <c r="G273">
        <v>47</v>
      </c>
      <c r="H273">
        <v>20</v>
      </c>
      <c r="I273">
        <v>32</v>
      </c>
      <c r="J273">
        <v>16</v>
      </c>
      <c r="K273">
        <v>0</v>
      </c>
      <c r="L273" s="14">
        <v>30</v>
      </c>
      <c r="M273">
        <v>33</v>
      </c>
      <c r="N273">
        <v>11</v>
      </c>
      <c r="O273">
        <v>25</v>
      </c>
      <c r="P273">
        <v>2</v>
      </c>
      <c r="Q273">
        <v>10</v>
      </c>
      <c r="R273" t="s">
        <v>1748</v>
      </c>
      <c r="S273" t="s">
        <v>1676</v>
      </c>
      <c r="V273">
        <f t="shared" si="9"/>
        <v>12</v>
      </c>
      <c r="W273">
        <v>3</v>
      </c>
      <c r="X273">
        <v>3</v>
      </c>
      <c r="Y273">
        <v>3</v>
      </c>
      <c r="Z273">
        <v>3</v>
      </c>
    </row>
    <row r="274" spans="1:26">
      <c r="A274" s="1" t="s">
        <v>2227</v>
      </c>
      <c r="B274" t="s">
        <v>265</v>
      </c>
      <c r="C274" t="s">
        <v>2228</v>
      </c>
      <c r="D274" t="s">
        <v>1656</v>
      </c>
      <c r="E274" s="14">
        <v>15</v>
      </c>
      <c r="F274">
        <v>25</v>
      </c>
      <c r="G274">
        <v>11</v>
      </c>
      <c r="H274">
        <v>32</v>
      </c>
      <c r="I274">
        <v>8</v>
      </c>
      <c r="J274">
        <v>12</v>
      </c>
      <c r="K274">
        <v>38</v>
      </c>
      <c r="L274" s="14">
        <v>28</v>
      </c>
      <c r="M274">
        <v>40</v>
      </c>
      <c r="N274">
        <v>12</v>
      </c>
      <c r="O274">
        <v>35</v>
      </c>
      <c r="P274">
        <v>1</v>
      </c>
      <c r="Q274">
        <v>10</v>
      </c>
      <c r="R274" t="s">
        <v>1660</v>
      </c>
      <c r="S274" t="s">
        <v>1663</v>
      </c>
      <c r="T274" t="s">
        <v>1667</v>
      </c>
      <c r="V274">
        <f t="shared" si="9"/>
        <v>0</v>
      </c>
      <c r="W274">
        <v>0</v>
      </c>
      <c r="X274">
        <v>0</v>
      </c>
      <c r="Y274">
        <v>0</v>
      </c>
      <c r="Z274">
        <v>0</v>
      </c>
    </row>
    <row r="275" spans="1:26">
      <c r="A275" s="1" t="s">
        <v>2229</v>
      </c>
      <c r="B275" t="s">
        <v>37</v>
      </c>
      <c r="C275" t="s">
        <v>2179</v>
      </c>
      <c r="D275" t="s">
        <v>1656</v>
      </c>
      <c r="E275" s="14">
        <v>16</v>
      </c>
      <c r="F275">
        <v>88</v>
      </c>
      <c r="G275">
        <v>110</v>
      </c>
      <c r="H275">
        <v>0</v>
      </c>
      <c r="I275">
        <v>80</v>
      </c>
      <c r="J275">
        <v>25</v>
      </c>
      <c r="K275">
        <v>0</v>
      </c>
      <c r="L275" s="14">
        <v>29</v>
      </c>
      <c r="M275">
        <v>25</v>
      </c>
      <c r="N275">
        <v>14</v>
      </c>
      <c r="O275">
        <v>30</v>
      </c>
      <c r="P275">
        <v>3</v>
      </c>
      <c r="Q275">
        <v>10</v>
      </c>
      <c r="R275" t="s">
        <v>1758</v>
      </c>
      <c r="S275" t="s">
        <v>1758</v>
      </c>
      <c r="T275" t="s">
        <v>1759</v>
      </c>
      <c r="V275">
        <f t="shared" si="9"/>
        <v>0</v>
      </c>
      <c r="W275">
        <v>0</v>
      </c>
      <c r="X275">
        <v>0</v>
      </c>
      <c r="Y275">
        <v>0</v>
      </c>
      <c r="Z275">
        <v>0</v>
      </c>
    </row>
    <row r="276" spans="1:26">
      <c r="A276" s="1" t="s">
        <v>2230</v>
      </c>
      <c r="B276" t="s">
        <v>265</v>
      </c>
      <c r="C276" t="s">
        <v>2231</v>
      </c>
      <c r="D276" t="s">
        <v>1656</v>
      </c>
      <c r="E276" s="14">
        <v>15</v>
      </c>
      <c r="F276">
        <v>26</v>
      </c>
      <c r="G276">
        <v>13</v>
      </c>
      <c r="H276">
        <v>36</v>
      </c>
      <c r="I276">
        <v>8</v>
      </c>
      <c r="J276">
        <v>12</v>
      </c>
      <c r="K276">
        <v>40</v>
      </c>
      <c r="L276" s="14">
        <v>28</v>
      </c>
      <c r="M276">
        <v>40</v>
      </c>
      <c r="N276">
        <v>12</v>
      </c>
      <c r="O276">
        <v>35</v>
      </c>
      <c r="P276">
        <v>1</v>
      </c>
      <c r="Q276">
        <v>10</v>
      </c>
      <c r="R276" t="s">
        <v>1660</v>
      </c>
      <c r="S276" t="s">
        <v>1663</v>
      </c>
      <c r="T276" t="s">
        <v>1667</v>
      </c>
      <c r="V276">
        <f t="shared" si="9"/>
        <v>0</v>
      </c>
      <c r="W276">
        <v>0</v>
      </c>
      <c r="X276">
        <v>0</v>
      </c>
      <c r="Y276">
        <v>0</v>
      </c>
      <c r="Z276">
        <v>0</v>
      </c>
    </row>
    <row r="277" spans="1:26">
      <c r="A277" s="1" t="s">
        <v>2232</v>
      </c>
      <c r="B277" t="s">
        <v>84</v>
      </c>
      <c r="C277" t="s">
        <v>2222</v>
      </c>
      <c r="D277" t="s">
        <v>1656</v>
      </c>
      <c r="E277" s="14">
        <v>41</v>
      </c>
      <c r="F277">
        <v>34</v>
      </c>
      <c r="G277">
        <v>41</v>
      </c>
      <c r="H277">
        <v>12</v>
      </c>
      <c r="I277">
        <v>15</v>
      </c>
      <c r="J277">
        <v>54</v>
      </c>
      <c r="K277">
        <v>0</v>
      </c>
      <c r="L277" s="14">
        <v>50</v>
      </c>
      <c r="M277">
        <v>58</v>
      </c>
      <c r="N277">
        <v>28</v>
      </c>
      <c r="O277">
        <v>30</v>
      </c>
      <c r="P277">
        <v>2</v>
      </c>
      <c r="Q277">
        <v>20</v>
      </c>
      <c r="R277" t="s">
        <v>1748</v>
      </c>
      <c r="S277" t="s">
        <v>1715</v>
      </c>
      <c r="T277" t="s">
        <v>1679</v>
      </c>
      <c r="U277" t="s">
        <v>1716</v>
      </c>
      <c r="V277">
        <f t="shared" si="9"/>
        <v>12</v>
      </c>
      <c r="W277">
        <v>3</v>
      </c>
      <c r="X277">
        <v>3</v>
      </c>
      <c r="Y277">
        <v>3</v>
      </c>
      <c r="Z277">
        <v>3</v>
      </c>
    </row>
    <row r="278" spans="1:26">
      <c r="A278" s="1" t="s">
        <v>2233</v>
      </c>
      <c r="B278" t="s">
        <v>84</v>
      </c>
      <c r="C278" t="s">
        <v>2224</v>
      </c>
      <c r="D278" t="s">
        <v>1656</v>
      </c>
      <c r="E278" s="14">
        <v>40</v>
      </c>
      <c r="F278">
        <v>32</v>
      </c>
      <c r="G278">
        <v>41</v>
      </c>
      <c r="H278">
        <v>12</v>
      </c>
      <c r="I278">
        <v>15</v>
      </c>
      <c r="J278">
        <v>54</v>
      </c>
      <c r="K278">
        <v>0</v>
      </c>
      <c r="L278" s="14">
        <v>49</v>
      </c>
      <c r="M278">
        <v>53</v>
      </c>
      <c r="N278">
        <v>28</v>
      </c>
      <c r="O278">
        <v>30</v>
      </c>
      <c r="P278">
        <v>2</v>
      </c>
      <c r="Q278">
        <v>20</v>
      </c>
      <c r="R278" t="s">
        <v>1748</v>
      </c>
      <c r="S278" t="s">
        <v>1715</v>
      </c>
      <c r="T278" t="s">
        <v>1679</v>
      </c>
      <c r="U278" t="s">
        <v>1716</v>
      </c>
      <c r="V278">
        <f t="shared" si="9"/>
        <v>12</v>
      </c>
      <c r="W278">
        <v>3</v>
      </c>
      <c r="X278">
        <v>3</v>
      </c>
      <c r="Y278">
        <v>3</v>
      </c>
      <c r="Z278">
        <v>3</v>
      </c>
    </row>
    <row r="279" spans="1:26">
      <c r="A279" s="1" t="s">
        <v>2234</v>
      </c>
      <c r="B279" t="s">
        <v>84</v>
      </c>
      <c r="C279" t="s">
        <v>2226</v>
      </c>
      <c r="D279" t="s">
        <v>1656</v>
      </c>
      <c r="E279" s="14">
        <v>40</v>
      </c>
      <c r="F279">
        <v>32</v>
      </c>
      <c r="G279">
        <v>41</v>
      </c>
      <c r="H279">
        <v>12</v>
      </c>
      <c r="I279">
        <v>15</v>
      </c>
      <c r="J279">
        <v>54</v>
      </c>
      <c r="K279">
        <v>0</v>
      </c>
      <c r="L279" s="14">
        <v>49</v>
      </c>
      <c r="M279">
        <v>53</v>
      </c>
      <c r="N279">
        <v>28</v>
      </c>
      <c r="O279">
        <v>30</v>
      </c>
      <c r="P279">
        <v>2</v>
      </c>
      <c r="Q279">
        <v>20</v>
      </c>
      <c r="R279" t="s">
        <v>1748</v>
      </c>
      <c r="S279" t="s">
        <v>1715</v>
      </c>
      <c r="T279" t="s">
        <v>1679</v>
      </c>
      <c r="U279" t="s">
        <v>1716</v>
      </c>
      <c r="V279">
        <f t="shared" si="9"/>
        <v>12</v>
      </c>
      <c r="W279">
        <v>3</v>
      </c>
      <c r="X279">
        <v>3</v>
      </c>
      <c r="Y279">
        <v>3</v>
      </c>
      <c r="Z279">
        <v>3</v>
      </c>
    </row>
    <row r="280" spans="1:26">
      <c r="A280" s="1" t="s">
        <v>2235</v>
      </c>
      <c r="B280" t="s">
        <v>265</v>
      </c>
      <c r="C280" t="s">
        <v>2228</v>
      </c>
      <c r="D280" t="s">
        <v>1656</v>
      </c>
      <c r="E280" s="14">
        <v>35</v>
      </c>
      <c r="F280">
        <v>35</v>
      </c>
      <c r="G280">
        <v>24</v>
      </c>
      <c r="H280">
        <v>64</v>
      </c>
      <c r="I280">
        <v>12</v>
      </c>
      <c r="J280">
        <v>32</v>
      </c>
      <c r="K280">
        <v>15</v>
      </c>
      <c r="L280" s="14">
        <v>45</v>
      </c>
      <c r="M280">
        <v>60</v>
      </c>
      <c r="N280">
        <v>12</v>
      </c>
      <c r="O280">
        <v>40</v>
      </c>
      <c r="P280">
        <v>1</v>
      </c>
      <c r="Q280">
        <v>20</v>
      </c>
      <c r="R280" t="s">
        <v>1675</v>
      </c>
      <c r="S280" t="s">
        <v>1679</v>
      </c>
      <c r="T280" t="s">
        <v>1668</v>
      </c>
      <c r="V280">
        <f t="shared" si="9"/>
        <v>0</v>
      </c>
      <c r="W280">
        <v>0</v>
      </c>
      <c r="X280">
        <v>0</v>
      </c>
      <c r="Y280">
        <v>0</v>
      </c>
      <c r="Z280">
        <v>0</v>
      </c>
    </row>
    <row r="281" spans="1:26">
      <c r="A281" s="1" t="s">
        <v>2236</v>
      </c>
      <c r="B281" t="s">
        <v>265</v>
      </c>
      <c r="C281" t="s">
        <v>2231</v>
      </c>
      <c r="D281" t="s">
        <v>1656</v>
      </c>
      <c r="E281" s="14">
        <v>35</v>
      </c>
      <c r="F281">
        <v>35</v>
      </c>
      <c r="G281">
        <v>24</v>
      </c>
      <c r="H281">
        <v>64</v>
      </c>
      <c r="I281">
        <v>12</v>
      </c>
      <c r="J281">
        <v>32</v>
      </c>
      <c r="K281">
        <v>15</v>
      </c>
      <c r="L281" s="14">
        <v>45</v>
      </c>
      <c r="M281">
        <v>60</v>
      </c>
      <c r="N281">
        <v>12</v>
      </c>
      <c r="O281">
        <v>40</v>
      </c>
      <c r="P281">
        <v>1</v>
      </c>
      <c r="Q281">
        <v>20</v>
      </c>
      <c r="R281" t="s">
        <v>1675</v>
      </c>
      <c r="S281" t="s">
        <v>1679</v>
      </c>
      <c r="T281" t="s">
        <v>1668</v>
      </c>
      <c r="V281">
        <f t="shared" si="9"/>
        <v>0</v>
      </c>
      <c r="W281">
        <v>0</v>
      </c>
      <c r="X281">
        <v>0</v>
      </c>
      <c r="Y281">
        <v>0</v>
      </c>
      <c r="Z281">
        <v>0</v>
      </c>
    </row>
    <row r="282" spans="1:26">
      <c r="A282" s="1" t="s">
        <v>2237</v>
      </c>
      <c r="B282" t="s">
        <v>131</v>
      </c>
      <c r="C282" t="s">
        <v>2238</v>
      </c>
      <c r="D282" t="s">
        <v>1656</v>
      </c>
      <c r="E282" s="14">
        <v>32</v>
      </c>
      <c r="F282">
        <v>50</v>
      </c>
      <c r="G282">
        <v>43</v>
      </c>
      <c r="H282">
        <v>66</v>
      </c>
      <c r="I282">
        <v>28</v>
      </c>
      <c r="J282">
        <v>28</v>
      </c>
      <c r="K282">
        <v>16</v>
      </c>
      <c r="L282" s="14">
        <v>42</v>
      </c>
      <c r="M282">
        <v>48</v>
      </c>
      <c r="N282">
        <v>20</v>
      </c>
      <c r="O282">
        <v>30</v>
      </c>
      <c r="P282">
        <v>2</v>
      </c>
      <c r="Q282">
        <v>20</v>
      </c>
      <c r="R282" t="s">
        <v>1715</v>
      </c>
      <c r="S282" t="s">
        <v>1663</v>
      </c>
      <c r="T282" t="s">
        <v>1668</v>
      </c>
      <c r="V282">
        <f t="shared" si="9"/>
        <v>6</v>
      </c>
      <c r="W282">
        <v>2</v>
      </c>
      <c r="X282">
        <v>2</v>
      </c>
      <c r="Y282">
        <v>2</v>
      </c>
      <c r="Z282">
        <v>0</v>
      </c>
    </row>
    <row r="283" s="16" customFormat="1" spans="1:30">
      <c r="A283" s="24" t="s">
        <v>2239</v>
      </c>
      <c r="B283" s="16" t="s">
        <v>1950</v>
      </c>
      <c r="C283" s="16" t="s">
        <v>1951</v>
      </c>
      <c r="D283" s="16" t="s">
        <v>1656</v>
      </c>
      <c r="E283" s="25">
        <v>75</v>
      </c>
      <c r="F283" s="16">
        <v>333</v>
      </c>
      <c r="G283" s="16">
        <v>160</v>
      </c>
      <c r="H283" s="16">
        <v>0</v>
      </c>
      <c r="I283" s="16">
        <v>0</v>
      </c>
      <c r="J283" s="25">
        <v>50</v>
      </c>
      <c r="K283" s="16">
        <v>0</v>
      </c>
      <c r="L283" s="25">
        <v>85</v>
      </c>
      <c r="M283" s="25">
        <v>10</v>
      </c>
      <c r="N283" s="25">
        <v>45</v>
      </c>
      <c r="O283" s="25">
        <v>1</v>
      </c>
      <c r="P283" s="25">
        <v>4</v>
      </c>
      <c r="Q283" s="25">
        <v>40</v>
      </c>
      <c r="R283" s="27" t="s">
        <v>1762</v>
      </c>
      <c r="S283" s="27" t="s">
        <v>2018</v>
      </c>
      <c r="T283" s="27" t="s">
        <v>2018</v>
      </c>
      <c r="U283" s="16" t="s">
        <v>1885</v>
      </c>
      <c r="V283" s="16">
        <f t="shared" ref="V283:V316" si="10">SUM($W283:$Z283)</f>
        <v>47</v>
      </c>
      <c r="W283" s="16">
        <v>15</v>
      </c>
      <c r="X283" s="16">
        <v>15</v>
      </c>
      <c r="Y283" s="16">
        <v>15</v>
      </c>
      <c r="Z283" s="16">
        <v>2</v>
      </c>
      <c r="AD283" s="16" t="s">
        <v>2240</v>
      </c>
    </row>
    <row r="284" s="16" customFormat="1" spans="1:30">
      <c r="A284" s="24" t="s">
        <v>2241</v>
      </c>
      <c r="B284" s="16" t="s">
        <v>1950</v>
      </c>
      <c r="C284" s="16" t="s">
        <v>2242</v>
      </c>
      <c r="D284" s="16" t="s">
        <v>1656</v>
      </c>
      <c r="E284" s="25">
        <v>100</v>
      </c>
      <c r="F284" s="16">
        <v>666</v>
      </c>
      <c r="G284" s="16">
        <v>200</v>
      </c>
      <c r="H284" s="16">
        <v>0</v>
      </c>
      <c r="I284" s="16">
        <v>0</v>
      </c>
      <c r="J284" s="25">
        <v>100</v>
      </c>
      <c r="K284" s="16">
        <v>0</v>
      </c>
      <c r="L284" s="26">
        <v>120</v>
      </c>
      <c r="M284" s="25">
        <v>10</v>
      </c>
      <c r="N284" s="25">
        <v>60</v>
      </c>
      <c r="O284" s="25">
        <v>1</v>
      </c>
      <c r="P284" s="25">
        <v>4</v>
      </c>
      <c r="Q284" s="25">
        <v>60</v>
      </c>
      <c r="R284" s="27" t="s">
        <v>2067</v>
      </c>
      <c r="S284" s="27" t="s">
        <v>2067</v>
      </c>
      <c r="T284" s="27" t="s">
        <v>2018</v>
      </c>
      <c r="U284" s="16" t="s">
        <v>2018</v>
      </c>
      <c r="V284" s="16">
        <f t="shared" si="10"/>
        <v>60</v>
      </c>
      <c r="W284" s="16">
        <v>15</v>
      </c>
      <c r="X284" s="16">
        <v>15</v>
      </c>
      <c r="Y284" s="16">
        <v>15</v>
      </c>
      <c r="Z284" s="16">
        <v>15</v>
      </c>
      <c r="AD284" s="16" t="s">
        <v>2240</v>
      </c>
    </row>
    <row r="285" s="16" customFormat="1" spans="1:30">
      <c r="A285" s="24" t="s">
        <v>2243</v>
      </c>
      <c r="B285" s="16" t="s">
        <v>105</v>
      </c>
      <c r="C285" s="16" t="s">
        <v>2008</v>
      </c>
      <c r="D285" s="16" t="s">
        <v>1656</v>
      </c>
      <c r="E285" s="16">
        <v>100</v>
      </c>
      <c r="F285" s="16">
        <v>188</v>
      </c>
      <c r="G285" s="16">
        <v>120</v>
      </c>
      <c r="H285" s="16">
        <v>0</v>
      </c>
      <c r="I285" s="16">
        <v>88</v>
      </c>
      <c r="J285" s="25">
        <v>50</v>
      </c>
      <c r="K285" s="16">
        <v>0</v>
      </c>
      <c r="L285" s="25">
        <v>110</v>
      </c>
      <c r="M285" s="16">
        <v>90</v>
      </c>
      <c r="N285" s="16">
        <v>60</v>
      </c>
      <c r="O285" s="16">
        <v>35</v>
      </c>
      <c r="P285" s="16">
        <v>3</v>
      </c>
      <c r="Q285" s="16">
        <v>60</v>
      </c>
      <c r="R285" s="27" t="s">
        <v>1894</v>
      </c>
      <c r="S285" s="27" t="s">
        <v>1895</v>
      </c>
      <c r="T285" s="27" t="s">
        <v>1895</v>
      </c>
      <c r="V285" s="16">
        <f t="shared" si="10"/>
        <v>32</v>
      </c>
      <c r="W285" s="16">
        <v>8</v>
      </c>
      <c r="X285" s="16">
        <v>8</v>
      </c>
      <c r="Y285" s="16">
        <v>8</v>
      </c>
      <c r="Z285" s="16">
        <v>8</v>
      </c>
      <c r="AA285" s="24"/>
      <c r="AD285" s="16" t="s">
        <v>2244</v>
      </c>
    </row>
    <row r="286" s="16" customFormat="1" spans="1:30">
      <c r="A286" s="24" t="s">
        <v>2245</v>
      </c>
      <c r="B286" s="16" t="s">
        <v>105</v>
      </c>
      <c r="C286" s="16" t="s">
        <v>2246</v>
      </c>
      <c r="D286" s="16" t="s">
        <v>1656</v>
      </c>
      <c r="E286" s="16">
        <v>100</v>
      </c>
      <c r="F286" s="16">
        <v>158</v>
      </c>
      <c r="G286" s="16">
        <v>88</v>
      </c>
      <c r="H286" s="16">
        <v>90</v>
      </c>
      <c r="I286" s="16">
        <v>88</v>
      </c>
      <c r="J286" s="25">
        <v>50</v>
      </c>
      <c r="K286" s="16">
        <v>0</v>
      </c>
      <c r="L286" s="25">
        <v>100</v>
      </c>
      <c r="M286" s="16">
        <v>90</v>
      </c>
      <c r="N286" s="16">
        <v>40</v>
      </c>
      <c r="O286" s="16">
        <v>35</v>
      </c>
      <c r="P286" s="16">
        <v>3</v>
      </c>
      <c r="Q286" s="16">
        <v>40</v>
      </c>
      <c r="R286" s="27" t="s">
        <v>1894</v>
      </c>
      <c r="S286" s="27" t="s">
        <v>1895</v>
      </c>
      <c r="T286" s="27" t="s">
        <v>1895</v>
      </c>
      <c r="V286" s="16">
        <f t="shared" si="10"/>
        <v>32</v>
      </c>
      <c r="W286" s="16">
        <v>8</v>
      </c>
      <c r="X286" s="16">
        <v>8</v>
      </c>
      <c r="Y286" s="16">
        <v>8</v>
      </c>
      <c r="Z286" s="16">
        <v>8</v>
      </c>
      <c r="AA286" s="24"/>
      <c r="AD286" s="16" t="s">
        <v>2244</v>
      </c>
    </row>
    <row r="287" s="16" customFormat="1" spans="1:30">
      <c r="A287" s="24" t="s">
        <v>2247</v>
      </c>
      <c r="B287" s="16" t="s">
        <v>44</v>
      </c>
      <c r="C287" s="16" t="s">
        <v>1995</v>
      </c>
      <c r="D287" s="16" t="s">
        <v>1656</v>
      </c>
      <c r="E287" s="25">
        <v>100</v>
      </c>
      <c r="F287" s="16">
        <v>300</v>
      </c>
      <c r="G287" s="16">
        <v>110</v>
      </c>
      <c r="H287" s="16">
        <v>0</v>
      </c>
      <c r="I287" s="16">
        <v>150</v>
      </c>
      <c r="J287" s="25">
        <v>95</v>
      </c>
      <c r="K287" s="16">
        <v>0</v>
      </c>
      <c r="L287" s="25">
        <v>100</v>
      </c>
      <c r="M287" s="25">
        <v>60</v>
      </c>
      <c r="N287" s="25">
        <v>50</v>
      </c>
      <c r="O287" s="25">
        <v>38</v>
      </c>
      <c r="P287" s="25">
        <v>3</v>
      </c>
      <c r="Q287" s="25">
        <v>60</v>
      </c>
      <c r="R287" s="27" t="s">
        <v>2018</v>
      </c>
      <c r="S287" s="27" t="s">
        <v>2018</v>
      </c>
      <c r="T287" s="27" t="s">
        <v>2248</v>
      </c>
      <c r="U287" s="16" t="s">
        <v>2019</v>
      </c>
      <c r="V287" s="16">
        <f t="shared" si="10"/>
        <v>192</v>
      </c>
      <c r="W287" s="16">
        <v>48</v>
      </c>
      <c r="X287" s="16">
        <v>48</v>
      </c>
      <c r="Y287" s="16">
        <v>48</v>
      </c>
      <c r="Z287" s="16">
        <v>48</v>
      </c>
      <c r="AD287" s="16" t="s">
        <v>2244</v>
      </c>
    </row>
    <row r="288" s="16" customFormat="1" spans="1:30">
      <c r="A288" s="24" t="s">
        <v>2249</v>
      </c>
      <c r="B288" s="16" t="s">
        <v>37</v>
      </c>
      <c r="C288" s="16" t="s">
        <v>2031</v>
      </c>
      <c r="D288" s="16" t="s">
        <v>1656</v>
      </c>
      <c r="E288" s="25">
        <v>100</v>
      </c>
      <c r="F288" s="16">
        <v>300</v>
      </c>
      <c r="G288" s="16">
        <v>230</v>
      </c>
      <c r="H288" s="16">
        <v>0</v>
      </c>
      <c r="I288" s="16">
        <v>150</v>
      </c>
      <c r="J288" s="25">
        <v>90</v>
      </c>
      <c r="K288" s="16">
        <v>0</v>
      </c>
      <c r="L288" s="25">
        <v>100</v>
      </c>
      <c r="M288" s="25">
        <v>60</v>
      </c>
      <c r="N288" s="25">
        <v>85</v>
      </c>
      <c r="O288" s="25">
        <v>31</v>
      </c>
      <c r="P288" s="25">
        <v>4</v>
      </c>
      <c r="Q288" s="25">
        <v>60</v>
      </c>
      <c r="R288" s="27" t="s">
        <v>2002</v>
      </c>
      <c r="S288" s="27" t="s">
        <v>2002</v>
      </c>
      <c r="T288" s="27" t="s">
        <v>2006</v>
      </c>
      <c r="U288" s="16" t="s">
        <v>1762</v>
      </c>
      <c r="V288" s="16">
        <f t="shared" si="10"/>
        <v>48</v>
      </c>
      <c r="W288" s="16">
        <v>12</v>
      </c>
      <c r="X288" s="16">
        <v>12</v>
      </c>
      <c r="Y288" s="16">
        <v>12</v>
      </c>
      <c r="Z288" s="16">
        <v>12</v>
      </c>
      <c r="AD288" s="16" t="s">
        <v>2244</v>
      </c>
    </row>
    <row r="289" s="16" customFormat="1" spans="1:30">
      <c r="A289" s="24" t="s">
        <v>2250</v>
      </c>
      <c r="B289" s="16" t="s">
        <v>37</v>
      </c>
      <c r="C289" s="16" t="s">
        <v>2251</v>
      </c>
      <c r="D289" s="16" t="s">
        <v>1656</v>
      </c>
      <c r="E289" s="25">
        <v>100</v>
      </c>
      <c r="F289" s="16">
        <v>233</v>
      </c>
      <c r="G289" s="16">
        <v>5</v>
      </c>
      <c r="H289" s="16">
        <v>0</v>
      </c>
      <c r="I289" s="16">
        <v>100</v>
      </c>
      <c r="J289" s="25">
        <v>0</v>
      </c>
      <c r="K289" s="16">
        <v>0</v>
      </c>
      <c r="L289" s="25">
        <v>0</v>
      </c>
      <c r="M289" s="25">
        <v>1</v>
      </c>
      <c r="N289" s="25">
        <v>45</v>
      </c>
      <c r="O289" s="25">
        <v>28</v>
      </c>
      <c r="P289" s="25">
        <v>3</v>
      </c>
      <c r="Q289" s="25">
        <v>0</v>
      </c>
      <c r="R289" s="27"/>
      <c r="S289" s="27"/>
      <c r="T289" s="27"/>
      <c r="V289" s="16">
        <f t="shared" si="10"/>
        <v>12</v>
      </c>
      <c r="W289" s="16">
        <v>3</v>
      </c>
      <c r="X289" s="16">
        <v>3</v>
      </c>
      <c r="Y289" s="16">
        <v>3</v>
      </c>
      <c r="Z289" s="16">
        <v>3</v>
      </c>
      <c r="AD289" s="16" t="s">
        <v>2252</v>
      </c>
    </row>
    <row r="290" s="16" customFormat="1" spans="1:30">
      <c r="A290" s="24" t="s">
        <v>2253</v>
      </c>
      <c r="B290" s="16" t="s">
        <v>265</v>
      </c>
      <c r="C290" s="16" t="s">
        <v>2254</v>
      </c>
      <c r="D290" s="16" t="s">
        <v>1656</v>
      </c>
      <c r="E290" s="25">
        <v>95</v>
      </c>
      <c r="F290" s="16">
        <v>148</v>
      </c>
      <c r="G290" s="16">
        <v>72</v>
      </c>
      <c r="H290" s="16">
        <v>132</v>
      </c>
      <c r="I290" s="16">
        <v>72</v>
      </c>
      <c r="J290" s="25">
        <v>72</v>
      </c>
      <c r="K290" s="16">
        <v>95</v>
      </c>
      <c r="L290" s="25">
        <v>95</v>
      </c>
      <c r="M290" s="25">
        <v>100</v>
      </c>
      <c r="N290" s="25">
        <v>40</v>
      </c>
      <c r="O290" s="25">
        <v>45</v>
      </c>
      <c r="P290" s="25">
        <v>2</v>
      </c>
      <c r="Q290" s="25">
        <v>40</v>
      </c>
      <c r="R290" s="27" t="s">
        <v>1731</v>
      </c>
      <c r="S290" s="27" t="s">
        <v>1838</v>
      </c>
      <c r="T290" s="27"/>
      <c r="V290" s="16">
        <f t="shared" si="10"/>
        <v>0</v>
      </c>
      <c r="W290" s="16">
        <v>0</v>
      </c>
      <c r="X290" s="16">
        <v>0</v>
      </c>
      <c r="Y290" s="16">
        <v>0</v>
      </c>
      <c r="Z290" s="16">
        <v>0</v>
      </c>
      <c r="AA290" s="24">
        <v>103771</v>
      </c>
      <c r="AD290" s="16" t="s">
        <v>2252</v>
      </c>
    </row>
    <row r="291" s="16" customFormat="1" spans="1:30">
      <c r="A291" s="24" t="s">
        <v>2255</v>
      </c>
      <c r="B291" s="16" t="s">
        <v>265</v>
      </c>
      <c r="C291" s="16" t="s">
        <v>2256</v>
      </c>
      <c r="D291" s="16" t="s">
        <v>1656</v>
      </c>
      <c r="E291" s="25">
        <v>95</v>
      </c>
      <c r="F291" s="16">
        <v>148</v>
      </c>
      <c r="G291" s="16">
        <v>72</v>
      </c>
      <c r="H291" s="16">
        <v>132</v>
      </c>
      <c r="I291" s="16">
        <v>72</v>
      </c>
      <c r="J291" s="25">
        <v>72</v>
      </c>
      <c r="K291" s="16">
        <v>95</v>
      </c>
      <c r="L291" s="25">
        <v>95</v>
      </c>
      <c r="M291" s="25">
        <v>100</v>
      </c>
      <c r="N291" s="25">
        <v>40</v>
      </c>
      <c r="O291" s="25">
        <v>45</v>
      </c>
      <c r="P291" s="25">
        <v>2</v>
      </c>
      <c r="Q291" s="25">
        <v>40</v>
      </c>
      <c r="R291" s="27" t="s">
        <v>1731</v>
      </c>
      <c r="S291" s="27" t="s">
        <v>1838</v>
      </c>
      <c r="T291" s="27"/>
      <c r="V291" s="16">
        <f t="shared" si="10"/>
        <v>0</v>
      </c>
      <c r="W291" s="16">
        <v>0</v>
      </c>
      <c r="X291" s="16">
        <v>0</v>
      </c>
      <c r="Y291" s="16">
        <v>0</v>
      </c>
      <c r="Z291" s="16">
        <v>0</v>
      </c>
      <c r="AA291" s="24">
        <v>103771</v>
      </c>
      <c r="AD291" s="16" t="s">
        <v>2252</v>
      </c>
    </row>
    <row r="292" s="16" customFormat="1" spans="1:30">
      <c r="A292" s="24" t="s">
        <v>2257</v>
      </c>
      <c r="B292" s="16" t="s">
        <v>37</v>
      </c>
      <c r="C292" s="16" t="s">
        <v>1974</v>
      </c>
      <c r="D292" s="16" t="s">
        <v>1656</v>
      </c>
      <c r="E292" s="25">
        <v>100</v>
      </c>
      <c r="F292" s="16">
        <v>312</v>
      </c>
      <c r="G292" s="16">
        <v>232</v>
      </c>
      <c r="H292" s="16">
        <v>0</v>
      </c>
      <c r="I292" s="16">
        <v>160</v>
      </c>
      <c r="J292" s="25">
        <v>102</v>
      </c>
      <c r="K292" s="16">
        <v>0</v>
      </c>
      <c r="L292" s="25">
        <v>120</v>
      </c>
      <c r="M292" s="25">
        <v>55</v>
      </c>
      <c r="N292" s="25">
        <v>49</v>
      </c>
      <c r="O292" s="25">
        <v>31</v>
      </c>
      <c r="P292" s="25">
        <v>4</v>
      </c>
      <c r="Q292" s="25">
        <v>50</v>
      </c>
      <c r="R292" s="27" t="s">
        <v>1960</v>
      </c>
      <c r="S292" s="27" t="s">
        <v>1961</v>
      </c>
      <c r="T292" s="27" t="s">
        <v>1762</v>
      </c>
      <c r="U292" s="16" t="s">
        <v>1962</v>
      </c>
      <c r="V292" s="16">
        <f t="shared" si="10"/>
        <v>12</v>
      </c>
      <c r="W292" s="16">
        <v>3</v>
      </c>
      <c r="X292" s="16">
        <v>3</v>
      </c>
      <c r="Y292" s="16">
        <v>3</v>
      </c>
      <c r="Z292" s="16">
        <v>3</v>
      </c>
      <c r="AA292" s="24"/>
      <c r="AD292" s="16" t="s">
        <v>2252</v>
      </c>
    </row>
    <row r="293" s="16" customFormat="1" spans="1:30">
      <c r="A293" s="24" t="s">
        <v>2258</v>
      </c>
      <c r="B293" s="16" t="s">
        <v>37</v>
      </c>
      <c r="C293" s="16" t="s">
        <v>1971</v>
      </c>
      <c r="D293" s="16" t="s">
        <v>1656</v>
      </c>
      <c r="E293" s="25">
        <v>100</v>
      </c>
      <c r="F293" s="16">
        <v>306</v>
      </c>
      <c r="G293" s="16">
        <v>228</v>
      </c>
      <c r="H293" s="16">
        <v>0</v>
      </c>
      <c r="I293" s="16">
        <v>155</v>
      </c>
      <c r="J293" s="25">
        <v>102</v>
      </c>
      <c r="K293" s="16">
        <v>0</v>
      </c>
      <c r="L293" s="25">
        <v>120</v>
      </c>
      <c r="M293" s="25">
        <v>60</v>
      </c>
      <c r="N293" s="25">
        <v>49</v>
      </c>
      <c r="O293" s="25">
        <v>30</v>
      </c>
      <c r="P293" s="25">
        <v>4</v>
      </c>
      <c r="Q293" s="25">
        <v>50</v>
      </c>
      <c r="R293" s="27" t="s">
        <v>1960</v>
      </c>
      <c r="S293" s="27" t="s">
        <v>1961</v>
      </c>
      <c r="T293" s="27" t="s">
        <v>1762</v>
      </c>
      <c r="U293" s="16" t="s">
        <v>1962</v>
      </c>
      <c r="V293" s="16">
        <f t="shared" si="10"/>
        <v>12</v>
      </c>
      <c r="W293" s="16">
        <v>3</v>
      </c>
      <c r="X293" s="16">
        <v>3</v>
      </c>
      <c r="Y293" s="16">
        <v>3</v>
      </c>
      <c r="Z293" s="16">
        <v>3</v>
      </c>
      <c r="AD293" s="16" t="s">
        <v>2252</v>
      </c>
    </row>
    <row r="294" s="16" customFormat="1" spans="1:30">
      <c r="A294" s="24" t="s">
        <v>2259</v>
      </c>
      <c r="B294" s="16" t="s">
        <v>1998</v>
      </c>
      <c r="C294" s="16" t="s">
        <v>2066</v>
      </c>
      <c r="D294" s="16" t="s">
        <v>1656</v>
      </c>
      <c r="E294" s="25">
        <v>100</v>
      </c>
      <c r="F294" s="16">
        <v>333</v>
      </c>
      <c r="G294" s="16">
        <v>5</v>
      </c>
      <c r="H294" s="16">
        <v>0</v>
      </c>
      <c r="I294" s="16">
        <v>0</v>
      </c>
      <c r="J294" s="25">
        <v>150</v>
      </c>
      <c r="K294" s="16">
        <v>0</v>
      </c>
      <c r="L294" s="25">
        <v>0</v>
      </c>
      <c r="M294" s="25">
        <v>0</v>
      </c>
      <c r="N294" s="25">
        <v>60</v>
      </c>
      <c r="O294" s="25">
        <v>1</v>
      </c>
      <c r="P294" s="25">
        <v>3</v>
      </c>
      <c r="Q294" s="25">
        <v>0</v>
      </c>
      <c r="R294" s="27" t="s">
        <v>2018</v>
      </c>
      <c r="S294" s="27" t="s">
        <v>2018</v>
      </c>
      <c r="T294" s="27" t="s">
        <v>2018</v>
      </c>
      <c r="U294" s="16" t="s">
        <v>2018</v>
      </c>
      <c r="V294" s="16">
        <f t="shared" si="10"/>
        <v>60</v>
      </c>
      <c r="W294" s="16">
        <v>15</v>
      </c>
      <c r="X294" s="16">
        <v>15</v>
      </c>
      <c r="Y294" s="16">
        <v>15</v>
      </c>
      <c r="Z294" s="16">
        <v>15</v>
      </c>
      <c r="AD294" s="16" t="s">
        <v>2260</v>
      </c>
    </row>
    <row r="295" s="16" customFormat="1" spans="1:30">
      <c r="A295" s="24" t="s">
        <v>2261</v>
      </c>
      <c r="B295" s="16" t="s">
        <v>1998</v>
      </c>
      <c r="C295" s="16" t="s">
        <v>2066</v>
      </c>
      <c r="D295" s="16" t="s">
        <v>1656</v>
      </c>
      <c r="E295" s="25">
        <v>100</v>
      </c>
      <c r="F295" s="16">
        <v>396</v>
      </c>
      <c r="G295" s="16">
        <v>150</v>
      </c>
      <c r="H295" s="16">
        <v>0</v>
      </c>
      <c r="I295" s="16">
        <v>50</v>
      </c>
      <c r="J295" s="25">
        <v>150</v>
      </c>
      <c r="K295" s="16">
        <v>0</v>
      </c>
      <c r="L295" s="25">
        <v>120</v>
      </c>
      <c r="M295" s="25">
        <v>0</v>
      </c>
      <c r="N295" s="25">
        <v>60</v>
      </c>
      <c r="O295" s="25">
        <v>1</v>
      </c>
      <c r="P295" s="25">
        <v>3</v>
      </c>
      <c r="Q295" s="25">
        <v>60</v>
      </c>
      <c r="R295" s="27" t="s">
        <v>2067</v>
      </c>
      <c r="S295" s="27" t="s">
        <v>2067</v>
      </c>
      <c r="T295" s="27" t="s">
        <v>2018</v>
      </c>
      <c r="U295" s="16" t="s">
        <v>2018</v>
      </c>
      <c r="V295" s="16">
        <f t="shared" si="10"/>
        <v>60</v>
      </c>
      <c r="W295" s="16">
        <v>15</v>
      </c>
      <c r="X295" s="16">
        <v>15</v>
      </c>
      <c r="Y295" s="16">
        <v>15</v>
      </c>
      <c r="Z295" s="16">
        <v>15</v>
      </c>
      <c r="AD295" s="16" t="s">
        <v>2260</v>
      </c>
    </row>
    <row r="296" s="16" customFormat="1" spans="1:30">
      <c r="A296" s="24" t="s">
        <v>2262</v>
      </c>
      <c r="B296" s="16" t="s">
        <v>44</v>
      </c>
      <c r="C296" s="16" t="s">
        <v>1995</v>
      </c>
      <c r="D296" s="16" t="s">
        <v>1656</v>
      </c>
      <c r="E296" s="25">
        <v>100</v>
      </c>
      <c r="F296" s="16">
        <v>450</v>
      </c>
      <c r="G296" s="16">
        <v>210</v>
      </c>
      <c r="H296" s="16">
        <v>0</v>
      </c>
      <c r="I296" s="16">
        <v>200</v>
      </c>
      <c r="J296" s="25">
        <v>95</v>
      </c>
      <c r="K296" s="16">
        <v>0</v>
      </c>
      <c r="L296" s="25">
        <v>130</v>
      </c>
      <c r="M296" s="25">
        <v>80</v>
      </c>
      <c r="N296" s="25">
        <v>50</v>
      </c>
      <c r="O296" s="25">
        <v>38</v>
      </c>
      <c r="P296" s="25">
        <v>3</v>
      </c>
      <c r="Q296" s="25">
        <v>60</v>
      </c>
      <c r="R296" s="27" t="s">
        <v>2018</v>
      </c>
      <c r="S296" s="27" t="s">
        <v>2018</v>
      </c>
      <c r="T296" s="27" t="s">
        <v>2248</v>
      </c>
      <c r="U296" s="16" t="s">
        <v>2019</v>
      </c>
      <c r="V296" s="16">
        <f t="shared" si="10"/>
        <v>192</v>
      </c>
      <c r="W296" s="16">
        <v>48</v>
      </c>
      <c r="X296" s="16">
        <v>48</v>
      </c>
      <c r="Y296" s="16">
        <v>48</v>
      </c>
      <c r="Z296" s="16">
        <v>48</v>
      </c>
      <c r="AD296" s="16" t="s">
        <v>2260</v>
      </c>
    </row>
    <row r="297" s="16" customFormat="1" spans="1:30">
      <c r="A297" s="24" t="s">
        <v>2263</v>
      </c>
      <c r="B297" s="16" t="s">
        <v>29</v>
      </c>
      <c r="C297" s="16" t="s">
        <v>2212</v>
      </c>
      <c r="D297" s="16" t="s">
        <v>1656</v>
      </c>
      <c r="E297" s="25">
        <v>100</v>
      </c>
      <c r="F297" s="16">
        <v>266</v>
      </c>
      <c r="G297" s="16">
        <v>133</v>
      </c>
      <c r="H297" s="16">
        <v>0</v>
      </c>
      <c r="I297" s="16">
        <v>150</v>
      </c>
      <c r="J297" s="25">
        <v>120</v>
      </c>
      <c r="K297" s="16">
        <v>0</v>
      </c>
      <c r="L297" s="25">
        <v>120</v>
      </c>
      <c r="M297" s="25">
        <v>77</v>
      </c>
      <c r="N297" s="25">
        <v>69</v>
      </c>
      <c r="O297" s="25">
        <v>34</v>
      </c>
      <c r="P297" s="25">
        <v>1</v>
      </c>
      <c r="Q297" s="25">
        <v>60</v>
      </c>
      <c r="R297" s="27" t="s">
        <v>2067</v>
      </c>
      <c r="S297" s="27" t="s">
        <v>2067</v>
      </c>
      <c r="T297" s="27" t="s">
        <v>2264</v>
      </c>
      <c r="U297" s="16" t="s">
        <v>2265</v>
      </c>
      <c r="V297" s="16">
        <f t="shared" si="10"/>
        <v>168</v>
      </c>
      <c r="W297" s="16">
        <v>48</v>
      </c>
      <c r="X297" s="16">
        <v>48</v>
      </c>
      <c r="Y297" s="16">
        <v>48</v>
      </c>
      <c r="Z297" s="16">
        <v>24</v>
      </c>
      <c r="AD297" s="16" t="s">
        <v>2260</v>
      </c>
    </row>
    <row r="298" s="16" customFormat="1" spans="1:30">
      <c r="A298" s="24" t="s">
        <v>2266</v>
      </c>
      <c r="B298" s="16" t="s">
        <v>265</v>
      </c>
      <c r="C298" s="16" t="s">
        <v>2267</v>
      </c>
      <c r="D298" s="16" t="s">
        <v>1656</v>
      </c>
      <c r="E298" s="25">
        <v>115</v>
      </c>
      <c r="F298" s="16">
        <v>84</v>
      </c>
      <c r="G298" s="16">
        <v>52</v>
      </c>
      <c r="H298" s="16">
        <v>140</v>
      </c>
      <c r="I298" s="16">
        <v>65</v>
      </c>
      <c r="J298" s="25">
        <v>130</v>
      </c>
      <c r="K298" s="16">
        <v>96</v>
      </c>
      <c r="L298" s="25">
        <v>130</v>
      </c>
      <c r="M298" s="25">
        <v>145</v>
      </c>
      <c r="N298" s="25">
        <v>40</v>
      </c>
      <c r="O298" s="25">
        <v>35</v>
      </c>
      <c r="P298" s="25">
        <v>3</v>
      </c>
      <c r="Q298" s="25">
        <v>600</v>
      </c>
      <c r="R298" s="27" t="s">
        <v>1758</v>
      </c>
      <c r="S298" s="27" t="s">
        <v>1838</v>
      </c>
      <c r="T298" s="27" t="s">
        <v>1841</v>
      </c>
      <c r="U298" s="16" t="s">
        <v>1671</v>
      </c>
      <c r="V298" s="16">
        <f t="shared" si="10"/>
        <v>0</v>
      </c>
      <c r="W298" s="16">
        <v>0</v>
      </c>
      <c r="X298" s="16">
        <v>0</v>
      </c>
      <c r="Y298" s="16">
        <v>0</v>
      </c>
      <c r="Z298" s="16">
        <v>0</v>
      </c>
      <c r="AA298" s="24" t="s">
        <v>2268</v>
      </c>
      <c r="AD298" s="16" t="s">
        <v>2260</v>
      </c>
    </row>
    <row r="299" s="16" customFormat="1" spans="1:30">
      <c r="A299" s="24" t="s">
        <v>2269</v>
      </c>
      <c r="B299" s="16" t="s">
        <v>29</v>
      </c>
      <c r="C299" s="16" t="s">
        <v>2109</v>
      </c>
      <c r="D299" s="16" t="s">
        <v>1656</v>
      </c>
      <c r="E299" s="25">
        <v>95</v>
      </c>
      <c r="F299" s="16">
        <v>324</v>
      </c>
      <c r="G299" s="16">
        <v>200</v>
      </c>
      <c r="H299" s="16">
        <v>0</v>
      </c>
      <c r="I299" s="16">
        <v>200</v>
      </c>
      <c r="J299" s="25">
        <v>275</v>
      </c>
      <c r="K299" s="16">
        <v>0</v>
      </c>
      <c r="L299" s="25">
        <v>110</v>
      </c>
      <c r="M299" s="25">
        <v>71</v>
      </c>
      <c r="N299" s="25">
        <v>65</v>
      </c>
      <c r="O299" s="25">
        <v>30</v>
      </c>
      <c r="P299" s="25">
        <v>1</v>
      </c>
      <c r="Q299" s="25">
        <v>70</v>
      </c>
      <c r="R299" s="27" t="s">
        <v>2067</v>
      </c>
      <c r="S299" s="27" t="s">
        <v>2067</v>
      </c>
      <c r="T299" s="27" t="s">
        <v>2264</v>
      </c>
      <c r="U299" s="16" t="s">
        <v>2265</v>
      </c>
      <c r="V299" s="16">
        <f t="shared" si="10"/>
        <v>180</v>
      </c>
      <c r="W299" s="16">
        <v>48</v>
      </c>
      <c r="X299" s="16">
        <v>48</v>
      </c>
      <c r="Y299" s="16">
        <v>48</v>
      </c>
      <c r="Z299" s="16">
        <v>36</v>
      </c>
      <c r="AD299" s="16" t="s">
        <v>2260</v>
      </c>
    </row>
    <row r="300" s="16" customFormat="1" spans="1:30">
      <c r="A300" s="24" t="s">
        <v>2270</v>
      </c>
      <c r="B300" s="16" t="s">
        <v>237</v>
      </c>
      <c r="C300" s="16" t="s">
        <v>2271</v>
      </c>
      <c r="D300" s="16" t="s">
        <v>1656</v>
      </c>
      <c r="E300" s="25">
        <v>95</v>
      </c>
      <c r="F300" s="16">
        <v>164</v>
      </c>
      <c r="G300" s="16">
        <v>106</v>
      </c>
      <c r="H300" s="16">
        <v>0</v>
      </c>
      <c r="I300" s="16">
        <v>121</v>
      </c>
      <c r="J300" s="25">
        <v>100</v>
      </c>
      <c r="K300" s="16">
        <v>0</v>
      </c>
      <c r="L300" s="25">
        <v>100</v>
      </c>
      <c r="M300" s="25">
        <v>52</v>
      </c>
      <c r="N300" s="25">
        <v>48</v>
      </c>
      <c r="O300" s="25">
        <v>26</v>
      </c>
      <c r="P300" s="25">
        <v>1</v>
      </c>
      <c r="Q300" s="25">
        <v>60</v>
      </c>
      <c r="R300" s="27" t="s">
        <v>2067</v>
      </c>
      <c r="S300" s="27" t="s">
        <v>2018</v>
      </c>
      <c r="T300" s="27" t="s">
        <v>2018</v>
      </c>
      <c r="U300" s="16" t="s">
        <v>2265</v>
      </c>
      <c r="V300" s="16">
        <f t="shared" si="10"/>
        <v>128</v>
      </c>
      <c r="W300" s="16">
        <v>36</v>
      </c>
      <c r="X300" s="16">
        <v>36</v>
      </c>
      <c r="Y300" s="16">
        <v>36</v>
      </c>
      <c r="Z300" s="16">
        <v>20</v>
      </c>
      <c r="AD300" s="16" t="s">
        <v>2260</v>
      </c>
    </row>
    <row r="301" s="16" customFormat="1" spans="1:30">
      <c r="A301" s="24" t="s">
        <v>2272</v>
      </c>
      <c r="B301" s="16" t="s">
        <v>1883</v>
      </c>
      <c r="C301" s="16" t="s">
        <v>2273</v>
      </c>
      <c r="D301" s="16" t="s">
        <v>1656</v>
      </c>
      <c r="E301" s="25">
        <v>95</v>
      </c>
      <c r="F301" s="16">
        <v>180</v>
      </c>
      <c r="G301" s="16">
        <v>144</v>
      </c>
      <c r="H301" s="16">
        <v>0</v>
      </c>
      <c r="I301" s="16">
        <v>107</v>
      </c>
      <c r="J301" s="25">
        <v>90</v>
      </c>
      <c r="K301" s="16">
        <v>0</v>
      </c>
      <c r="L301" s="25">
        <v>100</v>
      </c>
      <c r="M301" s="25">
        <v>53</v>
      </c>
      <c r="N301" s="25">
        <v>36</v>
      </c>
      <c r="O301" s="25">
        <v>21</v>
      </c>
      <c r="P301" s="25">
        <v>3</v>
      </c>
      <c r="Q301" s="25">
        <v>60</v>
      </c>
      <c r="R301" s="27" t="s">
        <v>2274</v>
      </c>
      <c r="S301" s="27" t="s">
        <v>2274</v>
      </c>
      <c r="T301" s="27" t="s">
        <v>2275</v>
      </c>
      <c r="U301" s="16" t="s">
        <v>2019</v>
      </c>
      <c r="V301" s="16">
        <f t="shared" si="10"/>
        <v>60</v>
      </c>
      <c r="W301" s="16">
        <v>0</v>
      </c>
      <c r="X301" s="16">
        <v>0</v>
      </c>
      <c r="Y301" s="16">
        <v>0</v>
      </c>
      <c r="Z301" s="16">
        <v>60</v>
      </c>
      <c r="AD301" s="16" t="s">
        <v>2260</v>
      </c>
    </row>
    <row r="302" s="16" customFormat="1" spans="1:30">
      <c r="A302" s="24" t="s">
        <v>2276</v>
      </c>
      <c r="B302" s="16" t="s">
        <v>1883</v>
      </c>
      <c r="C302" s="16" t="s">
        <v>2277</v>
      </c>
      <c r="D302" s="16" t="s">
        <v>1656</v>
      </c>
      <c r="E302" s="25">
        <v>95</v>
      </c>
      <c r="F302" s="16">
        <v>180</v>
      </c>
      <c r="G302" s="16">
        <v>144</v>
      </c>
      <c r="H302" s="16">
        <v>0</v>
      </c>
      <c r="I302" s="16">
        <v>107</v>
      </c>
      <c r="J302" s="25">
        <v>90</v>
      </c>
      <c r="K302" s="16">
        <v>0</v>
      </c>
      <c r="L302" s="25">
        <v>100</v>
      </c>
      <c r="M302" s="25">
        <v>53</v>
      </c>
      <c r="N302" s="25">
        <v>36</v>
      </c>
      <c r="O302" s="25">
        <v>21</v>
      </c>
      <c r="P302" s="25">
        <v>3</v>
      </c>
      <c r="Q302" s="25">
        <v>60</v>
      </c>
      <c r="R302" s="27" t="s">
        <v>2274</v>
      </c>
      <c r="S302" s="27" t="s">
        <v>2274</v>
      </c>
      <c r="T302" s="27" t="s">
        <v>2275</v>
      </c>
      <c r="U302" s="16" t="s">
        <v>2019</v>
      </c>
      <c r="V302" s="16">
        <f t="shared" si="10"/>
        <v>60</v>
      </c>
      <c r="W302" s="16">
        <v>0</v>
      </c>
      <c r="X302" s="16">
        <v>0</v>
      </c>
      <c r="Y302" s="16">
        <v>0</v>
      </c>
      <c r="Z302" s="16">
        <v>60</v>
      </c>
      <c r="AD302" s="16" t="s">
        <v>2260</v>
      </c>
    </row>
    <row r="303" s="16" customFormat="1" spans="1:30">
      <c r="A303" s="24" t="s">
        <v>2278</v>
      </c>
      <c r="B303" s="16" t="s">
        <v>37</v>
      </c>
      <c r="C303" s="16" t="s">
        <v>2279</v>
      </c>
      <c r="D303" s="16" t="s">
        <v>1656</v>
      </c>
      <c r="E303" s="25">
        <v>100</v>
      </c>
      <c r="F303" s="16">
        <v>450</v>
      </c>
      <c r="G303" s="16">
        <v>450</v>
      </c>
      <c r="H303" s="16">
        <v>0</v>
      </c>
      <c r="I303" s="16">
        <v>233</v>
      </c>
      <c r="J303" s="25">
        <v>151</v>
      </c>
      <c r="K303" s="16">
        <v>0</v>
      </c>
      <c r="L303" s="25">
        <v>120</v>
      </c>
      <c r="M303" s="25">
        <v>60</v>
      </c>
      <c r="N303" s="25">
        <v>38</v>
      </c>
      <c r="O303" s="25">
        <v>28</v>
      </c>
      <c r="P303" s="25">
        <v>4</v>
      </c>
      <c r="Q303" s="25">
        <v>60</v>
      </c>
      <c r="R303" s="27" t="s">
        <v>2002</v>
      </c>
      <c r="S303" s="27" t="s">
        <v>2002</v>
      </c>
      <c r="T303" s="27" t="s">
        <v>1716</v>
      </c>
      <c r="U303" s="16" t="s">
        <v>2006</v>
      </c>
      <c r="V303" s="16">
        <f t="shared" si="10"/>
        <v>0</v>
      </c>
      <c r="W303" s="16">
        <v>0</v>
      </c>
      <c r="X303" s="16">
        <v>0</v>
      </c>
      <c r="Y303" s="16">
        <v>0</v>
      </c>
      <c r="Z303" s="16">
        <v>0</v>
      </c>
      <c r="AD303" s="16" t="s">
        <v>2260</v>
      </c>
    </row>
    <row r="304" s="16" customFormat="1" spans="1:30">
      <c r="A304" s="24" t="s">
        <v>2280</v>
      </c>
      <c r="B304" s="16" t="s">
        <v>37</v>
      </c>
      <c r="C304" s="16" t="s">
        <v>2281</v>
      </c>
      <c r="D304" s="16" t="s">
        <v>1656</v>
      </c>
      <c r="E304" s="25">
        <v>100</v>
      </c>
      <c r="F304" s="16">
        <v>333</v>
      </c>
      <c r="G304" s="16">
        <v>450</v>
      </c>
      <c r="H304" s="16">
        <v>0</v>
      </c>
      <c r="I304" s="16">
        <v>200</v>
      </c>
      <c r="J304" s="25">
        <v>151</v>
      </c>
      <c r="K304" s="16">
        <v>0</v>
      </c>
      <c r="L304" s="25">
        <v>120</v>
      </c>
      <c r="M304" s="25">
        <v>60</v>
      </c>
      <c r="N304" s="25">
        <v>38</v>
      </c>
      <c r="O304" s="25">
        <v>28</v>
      </c>
      <c r="P304" s="25">
        <v>4</v>
      </c>
      <c r="Q304" s="25">
        <v>60</v>
      </c>
      <c r="R304" s="27" t="s">
        <v>2002</v>
      </c>
      <c r="S304" s="27" t="s">
        <v>2002</v>
      </c>
      <c r="T304" s="27" t="s">
        <v>1716</v>
      </c>
      <c r="U304" s="16" t="s">
        <v>2006</v>
      </c>
      <c r="V304" s="16">
        <f t="shared" si="10"/>
        <v>0</v>
      </c>
      <c r="W304" s="16">
        <v>0</v>
      </c>
      <c r="X304" s="16">
        <v>0</v>
      </c>
      <c r="Y304" s="16">
        <v>0</v>
      </c>
      <c r="Z304" s="16">
        <v>0</v>
      </c>
      <c r="AD304" s="16" t="s">
        <v>2260</v>
      </c>
    </row>
    <row r="305" s="16" customFormat="1" spans="1:30">
      <c r="A305" s="24" t="s">
        <v>2282</v>
      </c>
      <c r="B305" s="16" t="s">
        <v>84</v>
      </c>
      <c r="C305" s="16" t="s">
        <v>2283</v>
      </c>
      <c r="D305" s="16" t="s">
        <v>1656</v>
      </c>
      <c r="E305" s="25">
        <v>95</v>
      </c>
      <c r="F305" s="16">
        <v>154</v>
      </c>
      <c r="G305" s="16">
        <v>250</v>
      </c>
      <c r="H305" s="16">
        <v>82</v>
      </c>
      <c r="I305" s="16">
        <v>125</v>
      </c>
      <c r="J305" s="25">
        <v>151</v>
      </c>
      <c r="K305" s="16">
        <v>0</v>
      </c>
      <c r="L305" s="25">
        <v>120</v>
      </c>
      <c r="M305" s="25">
        <v>70</v>
      </c>
      <c r="N305" s="25">
        <v>55</v>
      </c>
      <c r="O305" s="25">
        <v>28</v>
      </c>
      <c r="P305" s="25">
        <v>3</v>
      </c>
      <c r="Q305" s="25">
        <v>60</v>
      </c>
      <c r="R305" s="27" t="s">
        <v>2284</v>
      </c>
      <c r="S305" s="27" t="s">
        <v>2284</v>
      </c>
      <c r="T305" s="27" t="s">
        <v>2285</v>
      </c>
      <c r="U305" s="16" t="s">
        <v>2286</v>
      </c>
      <c r="V305" s="16">
        <f t="shared" si="10"/>
        <v>0</v>
      </c>
      <c r="W305" s="16">
        <v>0</v>
      </c>
      <c r="X305" s="16">
        <v>0</v>
      </c>
      <c r="Y305" s="16">
        <v>0</v>
      </c>
      <c r="Z305" s="16">
        <v>0</v>
      </c>
      <c r="AD305" s="16" t="s">
        <v>2260</v>
      </c>
    </row>
    <row r="306" s="16" customFormat="1" spans="1:30">
      <c r="A306" s="24" t="s">
        <v>2287</v>
      </c>
      <c r="B306" s="16" t="s">
        <v>87</v>
      </c>
      <c r="C306" s="16" t="s">
        <v>2288</v>
      </c>
      <c r="D306" s="16" t="s">
        <v>1656</v>
      </c>
      <c r="E306" s="25">
        <v>100</v>
      </c>
      <c r="F306" s="16">
        <v>88</v>
      </c>
      <c r="G306" s="16">
        <v>0</v>
      </c>
      <c r="H306" s="16">
        <v>168</v>
      </c>
      <c r="I306" s="16">
        <v>50</v>
      </c>
      <c r="J306" s="25">
        <v>0</v>
      </c>
      <c r="K306" s="16">
        <v>0</v>
      </c>
      <c r="L306" s="25">
        <v>105</v>
      </c>
      <c r="M306" s="25">
        <v>105</v>
      </c>
      <c r="N306" s="25">
        <v>30</v>
      </c>
      <c r="O306" s="25">
        <v>25</v>
      </c>
      <c r="P306" s="25">
        <v>1</v>
      </c>
      <c r="Q306" s="25">
        <v>150</v>
      </c>
      <c r="R306" s="27" t="s">
        <v>1679</v>
      </c>
      <c r="S306" s="27" t="s">
        <v>1679</v>
      </c>
      <c r="T306" s="27"/>
      <c r="V306" s="16">
        <f t="shared" si="10"/>
        <v>0</v>
      </c>
      <c r="W306" s="16">
        <v>0</v>
      </c>
      <c r="X306" s="16">
        <v>0</v>
      </c>
      <c r="Y306" s="16">
        <v>0</v>
      </c>
      <c r="Z306" s="16">
        <v>0</v>
      </c>
      <c r="AD306" s="16" t="s">
        <v>2260</v>
      </c>
    </row>
    <row r="307" s="16" customFormat="1" spans="1:30">
      <c r="A307" s="24" t="s">
        <v>2289</v>
      </c>
      <c r="B307" s="16" t="s">
        <v>37</v>
      </c>
      <c r="C307" s="16" t="s">
        <v>2031</v>
      </c>
      <c r="D307" s="16" t="s">
        <v>1656</v>
      </c>
      <c r="E307" s="25">
        <v>100</v>
      </c>
      <c r="F307" s="16">
        <v>450</v>
      </c>
      <c r="G307" s="16">
        <v>330</v>
      </c>
      <c r="H307" s="16">
        <v>0</v>
      </c>
      <c r="I307" s="16">
        <v>250</v>
      </c>
      <c r="J307" s="25">
        <v>95</v>
      </c>
      <c r="K307" s="16">
        <v>0</v>
      </c>
      <c r="L307" s="25">
        <v>130</v>
      </c>
      <c r="M307" s="25">
        <v>80</v>
      </c>
      <c r="N307" s="25">
        <v>43</v>
      </c>
      <c r="O307" s="25">
        <v>27</v>
      </c>
      <c r="P307" s="25">
        <v>4</v>
      </c>
      <c r="Q307" s="25">
        <v>120</v>
      </c>
      <c r="R307" s="27" t="s">
        <v>2002</v>
      </c>
      <c r="S307" s="27" t="s">
        <v>2002</v>
      </c>
      <c r="T307" s="27" t="s">
        <v>2006</v>
      </c>
      <c r="U307" s="16" t="s">
        <v>1762</v>
      </c>
      <c r="V307" s="16">
        <f t="shared" si="10"/>
        <v>48</v>
      </c>
      <c r="W307" s="16">
        <v>12</v>
      </c>
      <c r="X307" s="16">
        <v>12</v>
      </c>
      <c r="Y307" s="16">
        <v>12</v>
      </c>
      <c r="Z307" s="16">
        <v>12</v>
      </c>
      <c r="AD307" s="16" t="s">
        <v>2260</v>
      </c>
    </row>
    <row r="308" s="16" customFormat="1" spans="1:30">
      <c r="A308" s="24" t="s">
        <v>2290</v>
      </c>
      <c r="B308" s="16" t="s">
        <v>37</v>
      </c>
      <c r="C308" s="16" t="s">
        <v>2005</v>
      </c>
      <c r="D308" s="16" t="s">
        <v>1656</v>
      </c>
      <c r="E308" s="25">
        <v>100</v>
      </c>
      <c r="F308" s="16">
        <v>300</v>
      </c>
      <c r="G308" s="16">
        <v>270</v>
      </c>
      <c r="H308" s="16">
        <v>0</v>
      </c>
      <c r="I308" s="16">
        <v>180</v>
      </c>
      <c r="J308" s="25">
        <v>81</v>
      </c>
      <c r="K308" s="16">
        <v>0</v>
      </c>
      <c r="L308" s="25">
        <v>130</v>
      </c>
      <c r="M308" s="25">
        <v>45</v>
      </c>
      <c r="N308" s="25">
        <v>36</v>
      </c>
      <c r="O308" s="25">
        <v>27</v>
      </c>
      <c r="P308" s="25">
        <v>4</v>
      </c>
      <c r="Q308" s="25">
        <v>60</v>
      </c>
      <c r="R308" s="27" t="s">
        <v>2002</v>
      </c>
      <c r="S308" s="27" t="s">
        <v>2002</v>
      </c>
      <c r="T308" s="27" t="s">
        <v>2006</v>
      </c>
      <c r="U308" s="16" t="s">
        <v>1762</v>
      </c>
      <c r="V308" s="16">
        <f t="shared" si="10"/>
        <v>20</v>
      </c>
      <c r="W308" s="16">
        <v>5</v>
      </c>
      <c r="X308" s="16">
        <v>5</v>
      </c>
      <c r="Y308" s="16">
        <v>5</v>
      </c>
      <c r="Z308" s="16">
        <v>5</v>
      </c>
      <c r="AD308" s="16" t="s">
        <v>2260</v>
      </c>
    </row>
    <row r="309" s="16" customFormat="1" spans="1:30">
      <c r="A309" s="24" t="s">
        <v>2291</v>
      </c>
      <c r="B309" s="16" t="s">
        <v>37</v>
      </c>
      <c r="C309" s="16" t="s">
        <v>2292</v>
      </c>
      <c r="D309" s="16" t="s">
        <v>1656</v>
      </c>
      <c r="E309" s="25">
        <v>100</v>
      </c>
      <c r="F309" s="16">
        <v>300</v>
      </c>
      <c r="G309" s="16">
        <v>200</v>
      </c>
      <c r="H309" s="16">
        <v>0</v>
      </c>
      <c r="I309" s="16">
        <v>180</v>
      </c>
      <c r="J309" s="25">
        <v>131</v>
      </c>
      <c r="K309" s="16">
        <v>0</v>
      </c>
      <c r="L309" s="25">
        <v>130</v>
      </c>
      <c r="M309" s="25">
        <v>49</v>
      </c>
      <c r="N309" s="25">
        <v>53</v>
      </c>
      <c r="O309" s="25">
        <v>27</v>
      </c>
      <c r="P309" s="25">
        <v>4</v>
      </c>
      <c r="Q309" s="25">
        <v>60</v>
      </c>
      <c r="R309" s="27" t="s">
        <v>2002</v>
      </c>
      <c r="S309" s="27" t="s">
        <v>2002</v>
      </c>
      <c r="T309" s="27" t="s">
        <v>2006</v>
      </c>
      <c r="U309" s="16" t="s">
        <v>1762</v>
      </c>
      <c r="V309" s="16">
        <f t="shared" si="10"/>
        <v>0</v>
      </c>
      <c r="W309" s="16">
        <v>0</v>
      </c>
      <c r="X309" s="16">
        <v>0</v>
      </c>
      <c r="Y309" s="16">
        <v>0</v>
      </c>
      <c r="Z309" s="16">
        <v>0</v>
      </c>
      <c r="AD309" s="16" t="s">
        <v>2260</v>
      </c>
    </row>
    <row r="310" s="16" customFormat="1" spans="1:30">
      <c r="A310" s="24" t="s">
        <v>2293</v>
      </c>
      <c r="B310" s="16" t="s">
        <v>51</v>
      </c>
      <c r="C310" s="16" t="s">
        <v>2073</v>
      </c>
      <c r="D310" s="16" t="s">
        <v>1656</v>
      </c>
      <c r="E310" s="25">
        <v>100</v>
      </c>
      <c r="F310" s="16">
        <v>300</v>
      </c>
      <c r="G310" s="16">
        <v>220</v>
      </c>
      <c r="H310" s="16">
        <v>0</v>
      </c>
      <c r="I310" s="16">
        <v>180</v>
      </c>
      <c r="J310" s="25">
        <v>150</v>
      </c>
      <c r="K310" s="16">
        <v>0</v>
      </c>
      <c r="L310" s="25">
        <v>130</v>
      </c>
      <c r="M310" s="25">
        <v>47</v>
      </c>
      <c r="N310" s="25">
        <v>60</v>
      </c>
      <c r="O310" s="25">
        <v>28</v>
      </c>
      <c r="P310" s="25">
        <v>3</v>
      </c>
      <c r="Q310" s="25">
        <v>60</v>
      </c>
      <c r="R310" s="27" t="s">
        <v>2294</v>
      </c>
      <c r="S310" s="27" t="s">
        <v>2295</v>
      </c>
      <c r="T310" s="27" t="s">
        <v>2296</v>
      </c>
      <c r="V310" s="16">
        <f t="shared" si="10"/>
        <v>0</v>
      </c>
      <c r="W310" s="16">
        <v>0</v>
      </c>
      <c r="X310" s="16">
        <v>0</v>
      </c>
      <c r="Y310" s="16">
        <v>0</v>
      </c>
      <c r="Z310" s="16">
        <v>0</v>
      </c>
      <c r="AD310" s="16" t="s">
        <v>2260</v>
      </c>
    </row>
    <row r="311" s="16" customFormat="1" spans="1:30">
      <c r="A311" s="24" t="s">
        <v>2297</v>
      </c>
      <c r="B311" s="16" t="s">
        <v>37</v>
      </c>
      <c r="C311" s="16" t="s">
        <v>2001</v>
      </c>
      <c r="D311" s="16" t="s">
        <v>1656</v>
      </c>
      <c r="E311" s="25">
        <v>100</v>
      </c>
      <c r="F311" s="16">
        <v>450</v>
      </c>
      <c r="G311" s="16">
        <v>500</v>
      </c>
      <c r="H311" s="16">
        <v>0</v>
      </c>
      <c r="I311" s="16">
        <v>250</v>
      </c>
      <c r="J311" s="25">
        <v>118</v>
      </c>
      <c r="K311" s="16">
        <v>0</v>
      </c>
      <c r="L311" s="25">
        <v>150</v>
      </c>
      <c r="M311" s="25">
        <v>47</v>
      </c>
      <c r="N311" s="25">
        <v>50</v>
      </c>
      <c r="O311" s="25">
        <v>27</v>
      </c>
      <c r="P311" s="25">
        <v>4</v>
      </c>
      <c r="Q311" s="25">
        <v>150</v>
      </c>
      <c r="R311" s="27" t="s">
        <v>2002</v>
      </c>
      <c r="S311" s="27" t="s">
        <v>2002</v>
      </c>
      <c r="T311" s="27" t="s">
        <v>1759</v>
      </c>
      <c r="U311" s="16" t="s">
        <v>2298</v>
      </c>
      <c r="V311" s="16">
        <f t="shared" si="10"/>
        <v>28</v>
      </c>
      <c r="W311" s="16">
        <v>7</v>
      </c>
      <c r="X311" s="16">
        <v>7</v>
      </c>
      <c r="Y311" s="16">
        <v>7</v>
      </c>
      <c r="Z311" s="16">
        <v>7</v>
      </c>
      <c r="AA311" s="24" t="s">
        <v>2299</v>
      </c>
      <c r="AD311" s="16" t="s">
        <v>2260</v>
      </c>
    </row>
    <row r="312" s="16" customFormat="1" spans="1:30">
      <c r="A312" s="24" t="s">
        <v>2300</v>
      </c>
      <c r="B312" s="16" t="s">
        <v>1950</v>
      </c>
      <c r="C312" s="16" t="s">
        <v>2031</v>
      </c>
      <c r="D312" s="16" t="s">
        <v>1656</v>
      </c>
      <c r="E312" s="25">
        <v>100</v>
      </c>
      <c r="F312" s="16">
        <v>450</v>
      </c>
      <c r="G312" s="16">
        <v>500</v>
      </c>
      <c r="H312" s="16">
        <v>0</v>
      </c>
      <c r="I312" s="16">
        <v>250</v>
      </c>
      <c r="J312" s="25">
        <v>110</v>
      </c>
      <c r="K312" s="16">
        <v>0</v>
      </c>
      <c r="L312" s="25">
        <v>150</v>
      </c>
      <c r="M312" s="25">
        <v>50</v>
      </c>
      <c r="N312" s="25">
        <v>60</v>
      </c>
      <c r="O312" s="25">
        <v>1</v>
      </c>
      <c r="P312" s="25">
        <v>4</v>
      </c>
      <c r="Q312" s="25">
        <v>80</v>
      </c>
      <c r="R312" s="27" t="s">
        <v>2002</v>
      </c>
      <c r="S312" s="27" t="s">
        <v>2002</v>
      </c>
      <c r="T312" s="27" t="s">
        <v>1705</v>
      </c>
      <c r="U312" s="16" t="s">
        <v>2301</v>
      </c>
      <c r="V312" s="16">
        <f t="shared" si="10"/>
        <v>25</v>
      </c>
      <c r="W312" s="16">
        <v>0</v>
      </c>
      <c r="X312" s="16">
        <v>0</v>
      </c>
      <c r="Y312" s="16">
        <v>5</v>
      </c>
      <c r="Z312" s="16">
        <v>20</v>
      </c>
      <c r="AD312" s="16" t="s">
        <v>2260</v>
      </c>
    </row>
    <row r="313" s="16" customFormat="1" spans="1:30">
      <c r="A313" s="24" t="s">
        <v>2302</v>
      </c>
      <c r="B313" s="16" t="s">
        <v>131</v>
      </c>
      <c r="C313" s="16" t="s">
        <v>2303</v>
      </c>
      <c r="D313" s="16" t="s">
        <v>1656</v>
      </c>
      <c r="E313" s="25">
        <v>100</v>
      </c>
      <c r="F313" s="16">
        <v>136</v>
      </c>
      <c r="G313" s="16">
        <v>94</v>
      </c>
      <c r="H313" s="16">
        <v>105</v>
      </c>
      <c r="I313" s="16">
        <v>100</v>
      </c>
      <c r="J313" s="25">
        <v>76</v>
      </c>
      <c r="K313" s="16">
        <v>115</v>
      </c>
      <c r="L313" s="25">
        <v>150</v>
      </c>
      <c r="M313" s="25">
        <v>82</v>
      </c>
      <c r="N313" s="25">
        <v>60</v>
      </c>
      <c r="O313" s="25">
        <v>35</v>
      </c>
      <c r="P313" s="25">
        <v>3</v>
      </c>
      <c r="Q313" s="25">
        <v>60</v>
      </c>
      <c r="R313" s="27" t="s">
        <v>1762</v>
      </c>
      <c r="S313" s="27" t="s">
        <v>1715</v>
      </c>
      <c r="T313" s="27" t="s">
        <v>1672</v>
      </c>
      <c r="U313" s="16" t="s">
        <v>1838</v>
      </c>
      <c r="V313" s="16">
        <f t="shared" si="10"/>
        <v>0</v>
      </c>
      <c r="W313" s="16">
        <v>0</v>
      </c>
      <c r="X313" s="16">
        <v>0</v>
      </c>
      <c r="Y313" s="16">
        <v>0</v>
      </c>
      <c r="Z313" s="16">
        <v>0</v>
      </c>
      <c r="AD313" s="16" t="s">
        <v>2260</v>
      </c>
    </row>
    <row r="314" s="16" customFormat="1" spans="1:30">
      <c r="A314" s="24" t="s">
        <v>2304</v>
      </c>
      <c r="B314" s="16" t="s">
        <v>44</v>
      </c>
      <c r="C314" s="16" t="s">
        <v>2111</v>
      </c>
      <c r="D314" s="16" t="s">
        <v>1656</v>
      </c>
      <c r="E314" s="25">
        <v>105</v>
      </c>
      <c r="F314" s="16">
        <v>250</v>
      </c>
      <c r="G314" s="16">
        <v>100</v>
      </c>
      <c r="H314" s="16">
        <v>0</v>
      </c>
      <c r="I314" s="16">
        <v>190</v>
      </c>
      <c r="J314" s="25">
        <v>70</v>
      </c>
      <c r="K314" s="16">
        <v>0</v>
      </c>
      <c r="L314" s="25">
        <v>130</v>
      </c>
      <c r="M314" s="25">
        <v>40</v>
      </c>
      <c r="N314" s="25">
        <v>60</v>
      </c>
      <c r="O314" s="25">
        <v>27</v>
      </c>
      <c r="P314" s="25">
        <v>3</v>
      </c>
      <c r="Q314" s="25">
        <v>60</v>
      </c>
      <c r="R314" s="27" t="s">
        <v>1712</v>
      </c>
      <c r="S314" s="27" t="s">
        <v>2067</v>
      </c>
      <c r="T314" s="27" t="s">
        <v>2067</v>
      </c>
      <c r="U314" s="16" t="s">
        <v>2067</v>
      </c>
      <c r="V314" s="16">
        <f t="shared" si="10"/>
        <v>48</v>
      </c>
      <c r="W314" s="16">
        <v>12</v>
      </c>
      <c r="X314" s="16">
        <v>12</v>
      </c>
      <c r="Y314" s="16">
        <v>12</v>
      </c>
      <c r="Z314" s="16">
        <v>12</v>
      </c>
      <c r="AD314" s="16" t="s">
        <v>2260</v>
      </c>
    </row>
    <row r="315" s="16" customFormat="1" spans="1:30">
      <c r="A315" s="24" t="s">
        <v>2305</v>
      </c>
      <c r="B315" s="16" t="s">
        <v>2306</v>
      </c>
      <c r="C315" s="16" t="s">
        <v>2307</v>
      </c>
      <c r="D315" s="16" t="s">
        <v>1656</v>
      </c>
      <c r="E315" s="25">
        <v>95</v>
      </c>
      <c r="F315" s="16">
        <v>180</v>
      </c>
      <c r="G315" s="16">
        <v>130</v>
      </c>
      <c r="H315" s="16">
        <v>150</v>
      </c>
      <c r="I315" s="16">
        <v>85</v>
      </c>
      <c r="J315" s="25">
        <v>100</v>
      </c>
      <c r="K315" s="16">
        <v>0</v>
      </c>
      <c r="L315" s="25">
        <v>100</v>
      </c>
      <c r="M315" s="25">
        <v>80</v>
      </c>
      <c r="N315" s="25">
        <v>60</v>
      </c>
      <c r="O315" s="25">
        <v>40</v>
      </c>
      <c r="P315" s="25">
        <v>3</v>
      </c>
      <c r="Q315" s="25">
        <v>40</v>
      </c>
      <c r="R315" s="27" t="s">
        <v>1762</v>
      </c>
      <c r="S315" s="27" t="s">
        <v>1762</v>
      </c>
      <c r="T315" s="27" t="s">
        <v>1679</v>
      </c>
      <c r="U315" s="16" t="s">
        <v>2308</v>
      </c>
      <c r="V315" s="16">
        <f t="shared" si="10"/>
        <v>10</v>
      </c>
      <c r="W315" s="16">
        <v>0</v>
      </c>
      <c r="X315" s="16">
        <v>0</v>
      </c>
      <c r="Y315" s="16">
        <v>0</v>
      </c>
      <c r="Z315" s="16">
        <v>10</v>
      </c>
      <c r="AD315" s="16" t="s">
        <v>2309</v>
      </c>
    </row>
    <row r="316" s="16" customFormat="1" spans="1:30">
      <c r="A316" s="24" t="s">
        <v>2310</v>
      </c>
      <c r="B316" s="16" t="s">
        <v>87</v>
      </c>
      <c r="C316" s="16" t="s">
        <v>2311</v>
      </c>
      <c r="D316" s="16" t="s">
        <v>1656</v>
      </c>
      <c r="E316" s="25">
        <v>95</v>
      </c>
      <c r="F316" s="16">
        <v>74</v>
      </c>
      <c r="G316" s="16">
        <v>0</v>
      </c>
      <c r="H316" s="16">
        <v>168</v>
      </c>
      <c r="I316" s="16">
        <v>50</v>
      </c>
      <c r="J316" s="25">
        <v>0</v>
      </c>
      <c r="K316" s="16">
        <v>0</v>
      </c>
      <c r="L316" s="25">
        <v>105</v>
      </c>
      <c r="M316" s="25">
        <v>80</v>
      </c>
      <c r="N316" s="25">
        <v>30</v>
      </c>
      <c r="O316" s="25">
        <v>25</v>
      </c>
      <c r="P316" s="25">
        <v>1</v>
      </c>
      <c r="Q316" s="25">
        <v>150</v>
      </c>
      <c r="R316" s="27" t="s">
        <v>1679</v>
      </c>
      <c r="S316" s="27" t="s">
        <v>1679</v>
      </c>
      <c r="T316" s="27"/>
      <c r="V316" s="16">
        <f t="shared" si="10"/>
        <v>0</v>
      </c>
      <c r="W316" s="16">
        <v>0</v>
      </c>
      <c r="X316" s="16">
        <v>0</v>
      </c>
      <c r="Y316" s="16">
        <v>0</v>
      </c>
      <c r="Z316" s="16">
        <v>0</v>
      </c>
      <c r="AD316" s="16" t="s">
        <v>2309</v>
      </c>
    </row>
    <row r="317" s="16" customFormat="1" spans="1:30">
      <c r="A317" s="24" t="s">
        <v>2312</v>
      </c>
      <c r="B317" s="16" t="s">
        <v>1776</v>
      </c>
      <c r="C317" s="16" t="s">
        <v>2313</v>
      </c>
      <c r="D317" s="16" t="s">
        <v>1656</v>
      </c>
      <c r="E317" s="25">
        <v>113</v>
      </c>
      <c r="F317" s="16">
        <v>360</v>
      </c>
      <c r="G317" s="16">
        <v>150</v>
      </c>
      <c r="H317" s="16">
        <v>158</v>
      </c>
      <c r="I317" s="16">
        <v>150</v>
      </c>
      <c r="J317" s="16">
        <v>120</v>
      </c>
      <c r="K317" s="16">
        <v>110</v>
      </c>
      <c r="L317" s="25">
        <v>110</v>
      </c>
      <c r="M317" s="16">
        <v>55</v>
      </c>
      <c r="N317" s="16">
        <v>90</v>
      </c>
      <c r="O317" s="16">
        <v>36</v>
      </c>
      <c r="P317" s="16">
        <v>3</v>
      </c>
      <c r="Q317" s="16">
        <v>80</v>
      </c>
      <c r="R317" s="27" t="s">
        <v>1762</v>
      </c>
      <c r="S317" s="27" t="s">
        <v>1759</v>
      </c>
      <c r="T317" s="27" t="s">
        <v>1707</v>
      </c>
      <c r="U317" s="16" t="s">
        <v>1778</v>
      </c>
      <c r="V317" s="16">
        <f t="shared" ref="V317:V330" si="11">SUM(W317:Z317)</f>
        <v>100</v>
      </c>
      <c r="W317" s="16">
        <v>0</v>
      </c>
      <c r="X317" s="16">
        <v>0</v>
      </c>
      <c r="Y317" s="16">
        <v>50</v>
      </c>
      <c r="Z317" s="16">
        <v>50</v>
      </c>
      <c r="AD317" s="16" t="s">
        <v>2309</v>
      </c>
    </row>
    <row r="318" s="16" customFormat="1" spans="1:30">
      <c r="A318" s="24" t="s">
        <v>2314</v>
      </c>
      <c r="B318" s="16" t="s">
        <v>2306</v>
      </c>
      <c r="C318" s="16" t="s">
        <v>2315</v>
      </c>
      <c r="D318" s="16" t="s">
        <v>1656</v>
      </c>
      <c r="E318" s="25">
        <v>130</v>
      </c>
      <c r="F318" s="16">
        <v>270</v>
      </c>
      <c r="G318" s="16">
        <v>150</v>
      </c>
      <c r="H318" s="16">
        <v>120</v>
      </c>
      <c r="I318" s="16">
        <v>130</v>
      </c>
      <c r="J318" s="25">
        <v>120</v>
      </c>
      <c r="K318" s="16">
        <v>0</v>
      </c>
      <c r="L318" s="25">
        <v>130</v>
      </c>
      <c r="M318" s="25">
        <v>100</v>
      </c>
      <c r="N318" s="25">
        <v>80</v>
      </c>
      <c r="O318" s="25">
        <v>40</v>
      </c>
      <c r="P318" s="25">
        <v>3</v>
      </c>
      <c r="Q318" s="25">
        <v>80</v>
      </c>
      <c r="R318" s="27" t="s">
        <v>1933</v>
      </c>
      <c r="S318" s="27" t="s">
        <v>1934</v>
      </c>
      <c r="T318" s="27" t="s">
        <v>1934</v>
      </c>
      <c r="U318" s="16" t="s">
        <v>1778</v>
      </c>
      <c r="V318" s="16">
        <f t="shared" si="11"/>
        <v>80</v>
      </c>
      <c r="W318" s="16">
        <v>20</v>
      </c>
      <c r="X318" s="16">
        <v>20</v>
      </c>
      <c r="Y318" s="16">
        <v>20</v>
      </c>
      <c r="Z318" s="16">
        <v>20</v>
      </c>
      <c r="AD318" s="16" t="s">
        <v>2309</v>
      </c>
    </row>
    <row r="319" s="16" customFormat="1" spans="1:30">
      <c r="A319" s="24" t="s">
        <v>2316</v>
      </c>
      <c r="B319" s="16" t="s">
        <v>2306</v>
      </c>
      <c r="C319" s="16" t="s">
        <v>2317</v>
      </c>
      <c r="D319" s="16" t="s">
        <v>1656</v>
      </c>
      <c r="E319" s="25">
        <v>130</v>
      </c>
      <c r="F319" s="16">
        <v>270</v>
      </c>
      <c r="G319" s="16">
        <v>150</v>
      </c>
      <c r="H319" s="16">
        <v>120</v>
      </c>
      <c r="I319" s="16">
        <v>100</v>
      </c>
      <c r="J319" s="25">
        <v>140</v>
      </c>
      <c r="K319" s="16">
        <v>0</v>
      </c>
      <c r="L319" s="25">
        <v>130</v>
      </c>
      <c r="M319" s="25">
        <v>80</v>
      </c>
      <c r="N319" s="25">
        <v>90</v>
      </c>
      <c r="O319" s="25">
        <v>40</v>
      </c>
      <c r="P319" s="25">
        <v>3</v>
      </c>
      <c r="Q319" s="25">
        <v>60</v>
      </c>
      <c r="R319" s="27" t="s">
        <v>1705</v>
      </c>
      <c r="S319" s="27" t="s">
        <v>1705</v>
      </c>
      <c r="T319" s="27" t="s">
        <v>1778</v>
      </c>
      <c r="U319" s="16" t="s">
        <v>1778</v>
      </c>
      <c r="V319" s="16">
        <f t="shared" si="11"/>
        <v>80</v>
      </c>
      <c r="W319" s="16">
        <v>20</v>
      </c>
      <c r="X319" s="16">
        <v>20</v>
      </c>
      <c r="Y319" s="16">
        <v>20</v>
      </c>
      <c r="Z319" s="16">
        <v>20</v>
      </c>
      <c r="AD319" s="16" t="s">
        <v>2309</v>
      </c>
    </row>
    <row r="320" s="16" customFormat="1" spans="1:30">
      <c r="A320" s="24" t="s">
        <v>2318</v>
      </c>
      <c r="B320" s="16" t="s">
        <v>2306</v>
      </c>
      <c r="C320" s="16" t="s">
        <v>2319</v>
      </c>
      <c r="D320" s="16" t="s">
        <v>1656</v>
      </c>
      <c r="E320" s="25">
        <v>130</v>
      </c>
      <c r="F320" s="16">
        <v>270</v>
      </c>
      <c r="G320" s="16">
        <v>180</v>
      </c>
      <c r="H320" s="16">
        <v>120</v>
      </c>
      <c r="I320" s="16">
        <v>115</v>
      </c>
      <c r="J320" s="25">
        <v>80</v>
      </c>
      <c r="K320" s="16">
        <v>0</v>
      </c>
      <c r="L320" s="25">
        <v>130</v>
      </c>
      <c r="M320" s="25">
        <v>60</v>
      </c>
      <c r="N320" s="25">
        <v>70</v>
      </c>
      <c r="O320" s="25">
        <v>40</v>
      </c>
      <c r="P320" s="25">
        <v>3</v>
      </c>
      <c r="Q320" s="25">
        <v>100</v>
      </c>
      <c r="R320" s="27" t="s">
        <v>2320</v>
      </c>
      <c r="S320" s="27" t="s">
        <v>2321</v>
      </c>
      <c r="T320" s="27" t="s">
        <v>2321</v>
      </c>
      <c r="U320" s="16" t="s">
        <v>2322</v>
      </c>
      <c r="V320" s="16">
        <f t="shared" si="11"/>
        <v>80</v>
      </c>
      <c r="W320" s="16">
        <v>20</v>
      </c>
      <c r="X320" s="16">
        <v>20</v>
      </c>
      <c r="Y320" s="16">
        <v>20</v>
      </c>
      <c r="Z320" s="16">
        <v>20</v>
      </c>
      <c r="AD320" s="16" t="s">
        <v>2309</v>
      </c>
    </row>
    <row r="321" s="16" customFormat="1" spans="1:30">
      <c r="A321" s="24" t="s">
        <v>2323</v>
      </c>
      <c r="B321" s="16" t="s">
        <v>87</v>
      </c>
      <c r="C321" s="16" t="s">
        <v>2311</v>
      </c>
      <c r="D321" s="16" t="s">
        <v>1656</v>
      </c>
      <c r="E321" s="25">
        <v>95</v>
      </c>
      <c r="F321" s="16">
        <v>74</v>
      </c>
      <c r="G321" s="16">
        <v>0</v>
      </c>
      <c r="H321" s="16">
        <v>168</v>
      </c>
      <c r="I321" s="16">
        <v>50</v>
      </c>
      <c r="J321" s="25">
        <v>0</v>
      </c>
      <c r="K321" s="16">
        <v>0</v>
      </c>
      <c r="L321" s="25">
        <v>105</v>
      </c>
      <c r="M321" s="25">
        <v>80</v>
      </c>
      <c r="N321" s="25">
        <v>30</v>
      </c>
      <c r="O321" s="25">
        <v>25</v>
      </c>
      <c r="P321" s="25">
        <v>1</v>
      </c>
      <c r="Q321" s="25">
        <v>150</v>
      </c>
      <c r="R321" s="27" t="s">
        <v>1679</v>
      </c>
      <c r="S321" s="27" t="s">
        <v>1679</v>
      </c>
      <c r="T321" s="27"/>
      <c r="V321" s="16">
        <f t="shared" si="11"/>
        <v>0</v>
      </c>
      <c r="W321" s="16">
        <v>0</v>
      </c>
      <c r="X321" s="16">
        <v>0</v>
      </c>
      <c r="Y321" s="16">
        <v>0</v>
      </c>
      <c r="Z321" s="16">
        <v>0</v>
      </c>
      <c r="AD321" s="16" t="s">
        <v>2309</v>
      </c>
    </row>
    <row r="322" s="16" customFormat="1" spans="1:30">
      <c r="A322" s="24" t="s">
        <v>2324</v>
      </c>
      <c r="B322" s="16" t="s">
        <v>2306</v>
      </c>
      <c r="C322" s="16" t="s">
        <v>2325</v>
      </c>
      <c r="D322" s="16" t="s">
        <v>1656</v>
      </c>
      <c r="E322" s="25">
        <v>100</v>
      </c>
      <c r="F322" s="16">
        <v>540</v>
      </c>
      <c r="G322" s="16">
        <v>300</v>
      </c>
      <c r="H322" s="16">
        <v>150</v>
      </c>
      <c r="I322" s="16">
        <v>180</v>
      </c>
      <c r="J322" s="25">
        <v>100</v>
      </c>
      <c r="K322" s="16">
        <v>0</v>
      </c>
      <c r="L322" s="25">
        <v>150</v>
      </c>
      <c r="M322" s="25">
        <v>90</v>
      </c>
      <c r="N322" s="25">
        <v>99</v>
      </c>
      <c r="O322" s="25">
        <v>999</v>
      </c>
      <c r="P322" s="25">
        <v>3</v>
      </c>
      <c r="Q322" s="25">
        <v>120</v>
      </c>
      <c r="R322" s="27" t="s">
        <v>1778</v>
      </c>
      <c r="S322" s="27" t="s">
        <v>1778</v>
      </c>
      <c r="T322" s="27" t="s">
        <v>1778</v>
      </c>
      <c r="U322" s="16" t="s">
        <v>1778</v>
      </c>
      <c r="V322" s="16">
        <f t="shared" si="11"/>
        <v>100</v>
      </c>
      <c r="W322" s="16">
        <v>25</v>
      </c>
      <c r="X322" s="16">
        <v>25</v>
      </c>
      <c r="Y322" s="16">
        <v>25</v>
      </c>
      <c r="Z322" s="16">
        <v>25</v>
      </c>
      <c r="AD322" s="16" t="s">
        <v>2309</v>
      </c>
    </row>
    <row r="323" s="16" customFormat="1" spans="1:30">
      <c r="A323" s="24" t="s">
        <v>2326</v>
      </c>
      <c r="B323" s="16" t="s">
        <v>37</v>
      </c>
      <c r="C323" s="16" t="s">
        <v>2010</v>
      </c>
      <c r="D323" s="16" t="s">
        <v>1656</v>
      </c>
      <c r="E323" s="25">
        <v>100</v>
      </c>
      <c r="F323" s="16">
        <v>320</v>
      </c>
      <c r="G323" s="16">
        <v>177</v>
      </c>
      <c r="H323" s="16">
        <v>0</v>
      </c>
      <c r="I323" s="16">
        <v>250</v>
      </c>
      <c r="J323" s="25">
        <v>70</v>
      </c>
      <c r="K323" s="16">
        <v>0</v>
      </c>
      <c r="L323" s="25">
        <v>140</v>
      </c>
      <c r="M323" s="25">
        <v>43</v>
      </c>
      <c r="N323" s="25">
        <v>36</v>
      </c>
      <c r="O323" s="25">
        <v>28</v>
      </c>
      <c r="P323" s="25">
        <v>3</v>
      </c>
      <c r="Q323" s="25">
        <v>60</v>
      </c>
      <c r="R323" s="27" t="s">
        <v>1762</v>
      </c>
      <c r="S323" s="27" t="s">
        <v>1762</v>
      </c>
      <c r="T323" s="27" t="s">
        <v>1666</v>
      </c>
      <c r="U323" s="16" t="s">
        <v>1755</v>
      </c>
      <c r="V323" s="16">
        <f t="shared" si="11"/>
        <v>20</v>
      </c>
      <c r="W323" s="16">
        <v>5</v>
      </c>
      <c r="X323" s="16">
        <v>5</v>
      </c>
      <c r="Y323" s="16">
        <v>5</v>
      </c>
      <c r="Z323" s="16">
        <v>5</v>
      </c>
      <c r="AD323" s="16" t="s">
        <v>2309</v>
      </c>
    </row>
    <row r="324" s="16" customFormat="1" spans="1:30">
      <c r="A324" s="24" t="s">
        <v>2327</v>
      </c>
      <c r="B324" s="16" t="s">
        <v>87</v>
      </c>
      <c r="C324" s="16" t="s">
        <v>2328</v>
      </c>
      <c r="D324" s="16" t="s">
        <v>1656</v>
      </c>
      <c r="E324" s="25">
        <v>95</v>
      </c>
      <c r="F324" s="16">
        <v>666</v>
      </c>
      <c r="G324" s="16">
        <v>0</v>
      </c>
      <c r="H324" s="16">
        <v>140</v>
      </c>
      <c r="I324" s="16">
        <v>58</v>
      </c>
      <c r="J324" s="25">
        <v>0</v>
      </c>
      <c r="K324" s="16">
        <v>0</v>
      </c>
      <c r="L324" s="25">
        <v>100</v>
      </c>
      <c r="M324" s="25">
        <v>35</v>
      </c>
      <c r="N324" s="25">
        <v>12</v>
      </c>
      <c r="O324" s="25">
        <v>25</v>
      </c>
      <c r="P324" s="25">
        <v>1</v>
      </c>
      <c r="Q324" s="25">
        <v>150</v>
      </c>
      <c r="R324" s="27" t="s">
        <v>2285</v>
      </c>
      <c r="S324" s="27" t="s">
        <v>1679</v>
      </c>
      <c r="T324" s="27" t="s">
        <v>1679</v>
      </c>
      <c r="V324" s="16">
        <f t="shared" si="11"/>
        <v>0</v>
      </c>
      <c r="W324" s="16">
        <v>0</v>
      </c>
      <c r="X324" s="16">
        <v>0</v>
      </c>
      <c r="Y324" s="16">
        <v>0</v>
      </c>
      <c r="Z324" s="16">
        <v>0</v>
      </c>
      <c r="AD324" s="16" t="s">
        <v>2329</v>
      </c>
    </row>
    <row r="325" s="16" customFormat="1" spans="1:30">
      <c r="A325" s="24" t="s">
        <v>2330</v>
      </c>
      <c r="B325" s="16" t="s">
        <v>1950</v>
      </c>
      <c r="C325" s="16" t="s">
        <v>2331</v>
      </c>
      <c r="D325" s="16" t="s">
        <v>1656</v>
      </c>
      <c r="E325" s="25">
        <v>110</v>
      </c>
      <c r="F325" s="16">
        <v>9999</v>
      </c>
      <c r="G325" s="16">
        <v>220</v>
      </c>
      <c r="H325" s="16">
        <v>0</v>
      </c>
      <c r="I325" s="16">
        <v>250</v>
      </c>
      <c r="J325" s="25">
        <v>10</v>
      </c>
      <c r="K325" s="16">
        <v>0</v>
      </c>
      <c r="L325" s="25">
        <v>180</v>
      </c>
      <c r="M325" s="25">
        <v>1</v>
      </c>
      <c r="N325" s="25">
        <v>65</v>
      </c>
      <c r="O325" s="25">
        <v>1</v>
      </c>
      <c r="P325" s="25">
        <v>4</v>
      </c>
      <c r="Q325" s="25">
        <v>30</v>
      </c>
      <c r="R325" s="27" t="s">
        <v>2332</v>
      </c>
      <c r="S325" s="27" t="s">
        <v>2332</v>
      </c>
      <c r="T325" s="27" t="s">
        <v>2332</v>
      </c>
      <c r="U325" s="16" t="s">
        <v>2301</v>
      </c>
      <c r="V325" s="16">
        <f t="shared" si="11"/>
        <v>120</v>
      </c>
      <c r="W325" s="16">
        <v>30</v>
      </c>
      <c r="X325" s="16">
        <v>30</v>
      </c>
      <c r="Y325" s="16">
        <v>30</v>
      </c>
      <c r="Z325" s="16">
        <v>30</v>
      </c>
      <c r="AA325" s="24" t="s">
        <v>2333</v>
      </c>
      <c r="AD325" s="16" t="s">
        <v>2329</v>
      </c>
    </row>
    <row r="326" s="16" customFormat="1" spans="1:30">
      <c r="A326" s="24" t="s">
        <v>2334</v>
      </c>
      <c r="B326" s="16" t="s">
        <v>1950</v>
      </c>
      <c r="C326" s="16" t="s">
        <v>1964</v>
      </c>
      <c r="D326" s="16" t="s">
        <v>1656</v>
      </c>
      <c r="E326" s="25">
        <v>100</v>
      </c>
      <c r="F326" s="16">
        <v>666</v>
      </c>
      <c r="G326" s="16">
        <v>400</v>
      </c>
      <c r="H326" s="16">
        <v>0</v>
      </c>
      <c r="I326" s="16">
        <v>100</v>
      </c>
      <c r="J326" s="25">
        <v>100</v>
      </c>
      <c r="K326" s="16">
        <v>0</v>
      </c>
      <c r="L326" s="25">
        <v>140</v>
      </c>
      <c r="M326" s="25">
        <v>14</v>
      </c>
      <c r="N326" s="25">
        <v>60</v>
      </c>
      <c r="O326" s="25">
        <v>1</v>
      </c>
      <c r="P326" s="25">
        <v>4</v>
      </c>
      <c r="Q326" s="25">
        <v>80</v>
      </c>
      <c r="R326" s="27" t="s">
        <v>2067</v>
      </c>
      <c r="S326" s="27" t="s">
        <v>2067</v>
      </c>
      <c r="T326" s="27" t="s">
        <v>2067</v>
      </c>
      <c r="U326" s="16" t="s">
        <v>1778</v>
      </c>
      <c r="V326" s="16">
        <f t="shared" si="11"/>
        <v>60</v>
      </c>
      <c r="W326" s="16">
        <v>15</v>
      </c>
      <c r="X326" s="16">
        <v>15</v>
      </c>
      <c r="Y326" s="16">
        <v>15</v>
      </c>
      <c r="Z326" s="16">
        <v>15</v>
      </c>
      <c r="AD326" s="16" t="s">
        <v>2329</v>
      </c>
    </row>
    <row r="327" s="16" customFormat="1" spans="1:30">
      <c r="A327" s="24" t="s">
        <v>2335</v>
      </c>
      <c r="B327" s="16" t="s">
        <v>1807</v>
      </c>
      <c r="C327" s="16" t="s">
        <v>2336</v>
      </c>
      <c r="D327" s="16" t="s">
        <v>1656</v>
      </c>
      <c r="E327" s="25">
        <v>99</v>
      </c>
      <c r="F327" s="16">
        <v>80</v>
      </c>
      <c r="G327" s="16">
        <v>85</v>
      </c>
      <c r="H327" s="16">
        <v>170</v>
      </c>
      <c r="I327" s="16">
        <v>75</v>
      </c>
      <c r="J327" s="25">
        <v>55</v>
      </c>
      <c r="K327" s="16">
        <v>60</v>
      </c>
      <c r="L327" s="25">
        <v>150</v>
      </c>
      <c r="M327" s="25">
        <v>88</v>
      </c>
      <c r="N327" s="25">
        <v>20</v>
      </c>
      <c r="O327" s="25">
        <v>40</v>
      </c>
      <c r="P327" s="25">
        <v>2</v>
      </c>
      <c r="Q327" s="25">
        <v>80</v>
      </c>
      <c r="R327" s="27" t="s">
        <v>1715</v>
      </c>
      <c r="S327" s="27" t="s">
        <v>1679</v>
      </c>
      <c r="T327" s="27" t="s">
        <v>1679</v>
      </c>
      <c r="U327" s="16" t="s">
        <v>1657</v>
      </c>
      <c r="V327" s="16">
        <f t="shared" si="11"/>
        <v>6</v>
      </c>
      <c r="W327" s="16">
        <v>2</v>
      </c>
      <c r="X327" s="16">
        <v>2</v>
      </c>
      <c r="Y327" s="16">
        <v>2</v>
      </c>
      <c r="Z327" s="16">
        <v>0</v>
      </c>
      <c r="AD327" s="16" t="s">
        <v>2329</v>
      </c>
    </row>
    <row r="328" s="16" customFormat="1" spans="1:30">
      <c r="A328" s="24" t="s">
        <v>2337</v>
      </c>
      <c r="B328" s="16" t="s">
        <v>37</v>
      </c>
      <c r="C328" s="16" t="s">
        <v>2338</v>
      </c>
      <c r="D328" s="16" t="s">
        <v>1656</v>
      </c>
      <c r="E328" s="25">
        <v>100</v>
      </c>
      <c r="F328" s="16">
        <v>406</v>
      </c>
      <c r="G328" s="16">
        <v>250</v>
      </c>
      <c r="H328" s="16">
        <v>0</v>
      </c>
      <c r="I328" s="16">
        <v>200</v>
      </c>
      <c r="J328" s="25">
        <v>70</v>
      </c>
      <c r="K328" s="16">
        <v>0</v>
      </c>
      <c r="L328" s="25">
        <v>120</v>
      </c>
      <c r="M328" s="25">
        <v>43</v>
      </c>
      <c r="N328" s="25">
        <v>36</v>
      </c>
      <c r="O328" s="25">
        <v>28</v>
      </c>
      <c r="P328" s="25">
        <v>3</v>
      </c>
      <c r="Q328" s="25">
        <v>60</v>
      </c>
      <c r="R328" s="27" t="s">
        <v>1762</v>
      </c>
      <c r="S328" s="27" t="s">
        <v>1762</v>
      </c>
      <c r="T328" s="27" t="s">
        <v>1666</v>
      </c>
      <c r="U328" s="16" t="s">
        <v>1755</v>
      </c>
      <c r="V328" s="16">
        <f t="shared" si="11"/>
        <v>20</v>
      </c>
      <c r="W328" s="16">
        <v>5</v>
      </c>
      <c r="X328" s="16">
        <v>5</v>
      </c>
      <c r="Y328" s="16">
        <v>5</v>
      </c>
      <c r="Z328" s="16">
        <v>5</v>
      </c>
      <c r="AD328" s="16" t="s">
        <v>2329</v>
      </c>
    </row>
    <row r="329" s="16" customFormat="1" spans="1:30">
      <c r="A329" s="24" t="s">
        <v>2339</v>
      </c>
      <c r="B329" s="16" t="s">
        <v>1950</v>
      </c>
      <c r="C329" s="16" t="s">
        <v>2340</v>
      </c>
      <c r="D329" s="16" t="s">
        <v>1656</v>
      </c>
      <c r="E329" s="25">
        <v>100</v>
      </c>
      <c r="F329" s="16">
        <v>666</v>
      </c>
      <c r="G329" s="16">
        <v>500</v>
      </c>
      <c r="H329" s="16">
        <v>0</v>
      </c>
      <c r="I329" s="16">
        <v>150</v>
      </c>
      <c r="J329" s="25">
        <v>150</v>
      </c>
      <c r="K329" s="16">
        <v>0</v>
      </c>
      <c r="L329" s="25">
        <v>150</v>
      </c>
      <c r="M329" s="25">
        <v>1</v>
      </c>
      <c r="N329" s="25">
        <v>65</v>
      </c>
      <c r="O329" s="25">
        <v>1</v>
      </c>
      <c r="P329" s="25">
        <v>4</v>
      </c>
      <c r="Q329" s="25">
        <v>90</v>
      </c>
      <c r="R329" s="27" t="s">
        <v>1778</v>
      </c>
      <c r="S329" s="27" t="s">
        <v>1778</v>
      </c>
      <c r="T329" s="27" t="s">
        <v>1977</v>
      </c>
      <c r="U329" s="16" t="s">
        <v>1977</v>
      </c>
      <c r="V329" s="16">
        <f t="shared" si="11"/>
        <v>70</v>
      </c>
      <c r="W329" s="16">
        <v>20</v>
      </c>
      <c r="X329" s="16">
        <v>20</v>
      </c>
      <c r="Y329" s="16">
        <v>15</v>
      </c>
      <c r="Z329" s="16">
        <v>15</v>
      </c>
      <c r="AD329" s="16" t="s">
        <v>2329</v>
      </c>
    </row>
    <row r="330" s="16" customFormat="1" spans="1:30">
      <c r="A330" s="24" t="s">
        <v>2341</v>
      </c>
      <c r="B330" s="16" t="s">
        <v>1950</v>
      </c>
      <c r="C330" s="16" t="s">
        <v>1976</v>
      </c>
      <c r="D330" s="16" t="s">
        <v>1656</v>
      </c>
      <c r="E330" s="25">
        <v>100</v>
      </c>
      <c r="F330" s="16">
        <v>666</v>
      </c>
      <c r="G330" s="16">
        <v>700</v>
      </c>
      <c r="H330" s="16">
        <v>0</v>
      </c>
      <c r="I330" s="16">
        <v>150</v>
      </c>
      <c r="J330" s="25">
        <v>150</v>
      </c>
      <c r="K330" s="16">
        <v>0</v>
      </c>
      <c r="L330" s="25">
        <v>150</v>
      </c>
      <c r="M330" s="25">
        <v>10</v>
      </c>
      <c r="N330" s="25">
        <v>60</v>
      </c>
      <c r="O330" s="25">
        <v>1</v>
      </c>
      <c r="P330" s="25">
        <v>4</v>
      </c>
      <c r="Q330" s="25">
        <v>90</v>
      </c>
      <c r="R330" s="27" t="s">
        <v>1778</v>
      </c>
      <c r="S330" s="27" t="s">
        <v>1977</v>
      </c>
      <c r="T330" s="27" t="s">
        <v>1977</v>
      </c>
      <c r="U330" s="16" t="s">
        <v>1977</v>
      </c>
      <c r="V330" s="16">
        <f t="shared" si="11"/>
        <v>60</v>
      </c>
      <c r="W330" s="16">
        <v>15</v>
      </c>
      <c r="X330" s="16">
        <v>15</v>
      </c>
      <c r="Y330" s="16">
        <v>15</v>
      </c>
      <c r="Z330" s="16">
        <v>15</v>
      </c>
      <c r="AD330" s="16" t="s">
        <v>2329</v>
      </c>
    </row>
    <row r="331" s="16" customFormat="1" spans="1:30">
      <c r="A331" s="24" t="s">
        <v>2342</v>
      </c>
      <c r="B331" s="16" t="s">
        <v>37</v>
      </c>
      <c r="C331" s="16" t="s">
        <v>2031</v>
      </c>
      <c r="D331" s="16" t="s">
        <v>1656</v>
      </c>
      <c r="E331" s="25">
        <v>100</v>
      </c>
      <c r="F331" s="16">
        <v>450</v>
      </c>
      <c r="G331" s="16">
        <v>280</v>
      </c>
      <c r="H331" s="16">
        <v>0</v>
      </c>
      <c r="I331" s="16">
        <v>200</v>
      </c>
      <c r="J331" s="25">
        <v>75</v>
      </c>
      <c r="K331" s="16">
        <v>0</v>
      </c>
      <c r="L331" s="25">
        <v>130</v>
      </c>
      <c r="M331" s="25">
        <v>80</v>
      </c>
      <c r="N331" s="25">
        <v>38</v>
      </c>
      <c r="O331" s="25">
        <v>27</v>
      </c>
      <c r="P331" s="25">
        <v>4</v>
      </c>
      <c r="Q331" s="25">
        <v>60</v>
      </c>
      <c r="R331" s="27" t="s">
        <v>2002</v>
      </c>
      <c r="S331" s="27" t="s">
        <v>2002</v>
      </c>
      <c r="T331" s="27" t="s">
        <v>2006</v>
      </c>
      <c r="U331" s="16" t="s">
        <v>1762</v>
      </c>
      <c r="V331" s="16">
        <f t="shared" ref="V331:V381" si="12">SUM($W331:$Z331)</f>
        <v>48</v>
      </c>
      <c r="W331" s="16">
        <v>12</v>
      </c>
      <c r="X331" s="16">
        <v>12</v>
      </c>
      <c r="Y331" s="16">
        <v>12</v>
      </c>
      <c r="Z331" s="16">
        <v>12</v>
      </c>
      <c r="AD331" s="16" t="s">
        <v>2329</v>
      </c>
    </row>
    <row r="332" s="16" customFormat="1" spans="1:30">
      <c r="A332" s="24" t="s">
        <v>2343</v>
      </c>
      <c r="B332" s="16" t="s">
        <v>37</v>
      </c>
      <c r="C332" s="16" t="s">
        <v>2031</v>
      </c>
      <c r="D332" s="16" t="s">
        <v>1656</v>
      </c>
      <c r="E332" s="25">
        <v>100</v>
      </c>
      <c r="F332" s="16">
        <v>300</v>
      </c>
      <c r="G332" s="16">
        <v>250</v>
      </c>
      <c r="H332" s="16">
        <v>0</v>
      </c>
      <c r="I332" s="16">
        <v>200</v>
      </c>
      <c r="J332" s="25">
        <v>60</v>
      </c>
      <c r="K332" s="16">
        <v>0</v>
      </c>
      <c r="L332" s="25">
        <v>100</v>
      </c>
      <c r="M332" s="25">
        <v>90</v>
      </c>
      <c r="N332" s="25">
        <v>33</v>
      </c>
      <c r="O332" s="25">
        <v>27</v>
      </c>
      <c r="P332" s="25">
        <v>4</v>
      </c>
      <c r="Q332" s="25">
        <v>30</v>
      </c>
      <c r="R332" s="27" t="s">
        <v>2002</v>
      </c>
      <c r="S332" s="27" t="s">
        <v>2002</v>
      </c>
      <c r="T332" s="27" t="s">
        <v>2006</v>
      </c>
      <c r="U332" s="16" t="s">
        <v>1762</v>
      </c>
      <c r="V332" s="16">
        <f t="shared" si="12"/>
        <v>28</v>
      </c>
      <c r="W332" s="16">
        <v>7</v>
      </c>
      <c r="X332" s="16">
        <v>7</v>
      </c>
      <c r="Y332" s="16">
        <v>7</v>
      </c>
      <c r="Z332" s="16">
        <v>7</v>
      </c>
      <c r="AD332" s="16" t="s">
        <v>2329</v>
      </c>
    </row>
    <row r="333" s="16" customFormat="1" spans="1:30">
      <c r="A333" s="24" t="s">
        <v>2344</v>
      </c>
      <c r="B333" s="16" t="s">
        <v>29</v>
      </c>
      <c r="C333" s="16" t="s">
        <v>2345</v>
      </c>
      <c r="D333" s="16" t="s">
        <v>1656</v>
      </c>
      <c r="E333" s="25">
        <v>85</v>
      </c>
      <c r="F333" s="16">
        <v>420</v>
      </c>
      <c r="G333" s="16">
        <v>100</v>
      </c>
      <c r="H333" s="16">
        <v>0</v>
      </c>
      <c r="I333" s="16">
        <v>150</v>
      </c>
      <c r="J333" s="25">
        <v>101</v>
      </c>
      <c r="K333" s="16">
        <v>0</v>
      </c>
      <c r="L333" s="25">
        <v>100</v>
      </c>
      <c r="M333" s="25">
        <v>80</v>
      </c>
      <c r="N333" s="25">
        <v>70</v>
      </c>
      <c r="O333" s="25">
        <v>31</v>
      </c>
      <c r="P333" s="25">
        <v>3</v>
      </c>
      <c r="Q333" s="25">
        <v>60</v>
      </c>
      <c r="R333" s="27" t="s">
        <v>2018</v>
      </c>
      <c r="S333" s="27" t="s">
        <v>2018</v>
      </c>
      <c r="T333" s="27" t="s">
        <v>2248</v>
      </c>
      <c r="U333" s="16" t="s">
        <v>2018</v>
      </c>
      <c r="V333" s="16">
        <f t="shared" si="12"/>
        <v>60</v>
      </c>
      <c r="W333" s="16">
        <v>15</v>
      </c>
      <c r="X333" s="16">
        <v>15</v>
      </c>
      <c r="Y333" s="16">
        <v>15</v>
      </c>
      <c r="Z333" s="16">
        <v>15</v>
      </c>
      <c r="AD333" s="16" t="s">
        <v>2346</v>
      </c>
    </row>
    <row r="334" s="16" customFormat="1" spans="1:30">
      <c r="A334" s="24" t="s">
        <v>2347</v>
      </c>
      <c r="B334" s="16" t="s">
        <v>29</v>
      </c>
      <c r="C334" s="16" t="s">
        <v>2348</v>
      </c>
      <c r="D334" s="16" t="s">
        <v>1656</v>
      </c>
      <c r="E334" s="25">
        <v>85</v>
      </c>
      <c r="F334" s="16">
        <v>380</v>
      </c>
      <c r="G334" s="16">
        <v>100</v>
      </c>
      <c r="H334" s="16">
        <v>0</v>
      </c>
      <c r="I334" s="16">
        <v>165</v>
      </c>
      <c r="J334" s="25">
        <v>101</v>
      </c>
      <c r="K334" s="16">
        <v>0</v>
      </c>
      <c r="L334" s="25">
        <v>100</v>
      </c>
      <c r="M334" s="25">
        <v>80</v>
      </c>
      <c r="N334" s="25">
        <v>70</v>
      </c>
      <c r="O334" s="25">
        <v>28</v>
      </c>
      <c r="P334" s="25">
        <v>3</v>
      </c>
      <c r="Q334" s="25">
        <v>60</v>
      </c>
      <c r="R334" s="27" t="s">
        <v>2018</v>
      </c>
      <c r="S334" s="27" t="s">
        <v>2018</v>
      </c>
      <c r="T334" s="27" t="s">
        <v>2248</v>
      </c>
      <c r="U334" s="16" t="s">
        <v>2018</v>
      </c>
      <c r="V334" s="16">
        <f t="shared" si="12"/>
        <v>60</v>
      </c>
      <c r="W334" s="16">
        <v>15</v>
      </c>
      <c r="X334" s="16">
        <v>15</v>
      </c>
      <c r="Y334" s="16">
        <v>15</v>
      </c>
      <c r="Z334" s="16">
        <v>15</v>
      </c>
      <c r="AD334" s="16" t="s">
        <v>2346</v>
      </c>
    </row>
    <row r="335" s="16" customFormat="1" spans="1:30">
      <c r="A335" s="24" t="s">
        <v>2349</v>
      </c>
      <c r="B335" s="16" t="s">
        <v>29</v>
      </c>
      <c r="C335" s="16" t="s">
        <v>2350</v>
      </c>
      <c r="D335" s="16" t="s">
        <v>1656</v>
      </c>
      <c r="E335" s="25">
        <v>85</v>
      </c>
      <c r="F335" s="16">
        <v>233</v>
      </c>
      <c r="G335" s="16">
        <v>100</v>
      </c>
      <c r="H335" s="16">
        <v>0</v>
      </c>
      <c r="I335" s="16">
        <v>120</v>
      </c>
      <c r="J335" s="25">
        <v>101</v>
      </c>
      <c r="K335" s="16">
        <v>0</v>
      </c>
      <c r="L335" s="25">
        <v>100</v>
      </c>
      <c r="M335" s="25">
        <v>80</v>
      </c>
      <c r="N335" s="25">
        <v>60</v>
      </c>
      <c r="O335" s="25">
        <v>34</v>
      </c>
      <c r="P335" s="25">
        <v>1</v>
      </c>
      <c r="Q335" s="25">
        <v>60</v>
      </c>
      <c r="R335" s="27" t="s">
        <v>2018</v>
      </c>
      <c r="S335" s="27" t="s">
        <v>2351</v>
      </c>
      <c r="T335" s="27" t="s">
        <v>2351</v>
      </c>
      <c r="U335" s="16" t="s">
        <v>2351</v>
      </c>
      <c r="V335" s="16">
        <f t="shared" si="12"/>
        <v>60</v>
      </c>
      <c r="W335" s="16">
        <v>15</v>
      </c>
      <c r="X335" s="16">
        <v>15</v>
      </c>
      <c r="Y335" s="16">
        <v>15</v>
      </c>
      <c r="Z335" s="16">
        <v>15</v>
      </c>
      <c r="AD335" s="16" t="s">
        <v>2346</v>
      </c>
    </row>
    <row r="336" s="16" customFormat="1" spans="1:30">
      <c r="A336" s="24" t="s">
        <v>2352</v>
      </c>
      <c r="B336" s="16" t="s">
        <v>29</v>
      </c>
      <c r="C336" s="16" t="s">
        <v>2353</v>
      </c>
      <c r="D336" s="16" t="s">
        <v>1656</v>
      </c>
      <c r="E336" s="25">
        <v>85</v>
      </c>
      <c r="F336" s="16">
        <v>233</v>
      </c>
      <c r="G336" s="16">
        <v>100</v>
      </c>
      <c r="H336" s="16">
        <v>0</v>
      </c>
      <c r="I336" s="16">
        <v>120</v>
      </c>
      <c r="J336" s="25">
        <v>101</v>
      </c>
      <c r="K336" s="16">
        <v>0</v>
      </c>
      <c r="L336" s="25">
        <v>100</v>
      </c>
      <c r="M336" s="25">
        <v>80</v>
      </c>
      <c r="N336" s="25">
        <v>60</v>
      </c>
      <c r="O336" s="25">
        <v>34</v>
      </c>
      <c r="P336" s="25">
        <v>1</v>
      </c>
      <c r="Q336" s="25">
        <v>60</v>
      </c>
      <c r="R336" s="27" t="s">
        <v>2018</v>
      </c>
      <c r="S336" s="27" t="s">
        <v>2354</v>
      </c>
      <c r="T336" s="27" t="s">
        <v>2354</v>
      </c>
      <c r="U336" s="16" t="s">
        <v>2354</v>
      </c>
      <c r="V336" s="16">
        <f t="shared" si="12"/>
        <v>60</v>
      </c>
      <c r="W336" s="16">
        <v>15</v>
      </c>
      <c r="X336" s="16">
        <v>15</v>
      </c>
      <c r="Y336" s="16">
        <v>15</v>
      </c>
      <c r="Z336" s="16">
        <v>15</v>
      </c>
      <c r="AD336" s="16" t="s">
        <v>2346</v>
      </c>
    </row>
    <row r="337" s="16" customFormat="1" spans="1:30">
      <c r="A337" s="24" t="s">
        <v>2355</v>
      </c>
      <c r="B337" s="16" t="s">
        <v>29</v>
      </c>
      <c r="C337" s="16" t="s">
        <v>2212</v>
      </c>
      <c r="D337" s="16" t="s">
        <v>1656</v>
      </c>
      <c r="E337" s="25">
        <v>85</v>
      </c>
      <c r="F337" s="16">
        <v>333</v>
      </c>
      <c r="G337" s="16">
        <v>100</v>
      </c>
      <c r="H337" s="16">
        <v>0</v>
      </c>
      <c r="I337" s="16">
        <v>135</v>
      </c>
      <c r="J337" s="25">
        <v>101</v>
      </c>
      <c r="K337" s="16">
        <v>0</v>
      </c>
      <c r="L337" s="25">
        <v>100</v>
      </c>
      <c r="M337" s="25">
        <v>80</v>
      </c>
      <c r="N337" s="25">
        <v>65</v>
      </c>
      <c r="O337" s="25">
        <v>34</v>
      </c>
      <c r="P337" s="25">
        <v>3</v>
      </c>
      <c r="Q337" s="25">
        <v>60</v>
      </c>
      <c r="R337" s="27" t="s">
        <v>2067</v>
      </c>
      <c r="S337" s="27" t="s">
        <v>2067</v>
      </c>
      <c r="T337" s="27" t="s">
        <v>2018</v>
      </c>
      <c r="U337" s="16" t="s">
        <v>2018</v>
      </c>
      <c r="V337" s="16">
        <f t="shared" si="12"/>
        <v>60</v>
      </c>
      <c r="W337" s="16">
        <v>15</v>
      </c>
      <c r="X337" s="16">
        <v>15</v>
      </c>
      <c r="Y337" s="16">
        <v>15</v>
      </c>
      <c r="Z337" s="16">
        <v>15</v>
      </c>
      <c r="AD337" s="16" t="s">
        <v>2346</v>
      </c>
    </row>
    <row r="338" s="16" customFormat="1" spans="1:30">
      <c r="A338" s="24" t="s">
        <v>2356</v>
      </c>
      <c r="B338" s="16" t="s">
        <v>29</v>
      </c>
      <c r="C338" s="16" t="s">
        <v>2109</v>
      </c>
      <c r="D338" s="16" t="s">
        <v>1656</v>
      </c>
      <c r="E338" s="25">
        <v>85</v>
      </c>
      <c r="F338" s="16">
        <v>333</v>
      </c>
      <c r="G338" s="16">
        <v>100</v>
      </c>
      <c r="H338" s="16">
        <v>0</v>
      </c>
      <c r="I338" s="16">
        <v>135</v>
      </c>
      <c r="J338" s="25">
        <v>101</v>
      </c>
      <c r="K338" s="16">
        <v>0</v>
      </c>
      <c r="L338" s="25">
        <v>100</v>
      </c>
      <c r="M338" s="25">
        <v>80</v>
      </c>
      <c r="N338" s="25">
        <v>65</v>
      </c>
      <c r="O338" s="25">
        <v>34</v>
      </c>
      <c r="P338" s="25">
        <v>3</v>
      </c>
      <c r="Q338" s="25">
        <v>60</v>
      </c>
      <c r="R338" s="27" t="s">
        <v>2067</v>
      </c>
      <c r="S338" s="27" t="s">
        <v>2067</v>
      </c>
      <c r="T338" s="27" t="s">
        <v>2018</v>
      </c>
      <c r="U338" s="16" t="s">
        <v>2018</v>
      </c>
      <c r="V338" s="16">
        <f t="shared" si="12"/>
        <v>60</v>
      </c>
      <c r="W338" s="16">
        <v>15</v>
      </c>
      <c r="X338" s="16">
        <v>15</v>
      </c>
      <c r="Y338" s="16">
        <v>15</v>
      </c>
      <c r="Z338" s="16">
        <v>15</v>
      </c>
      <c r="AD338" s="16" t="s">
        <v>2346</v>
      </c>
    </row>
    <row r="339" s="16" customFormat="1" spans="1:30">
      <c r="A339" s="24" t="s">
        <v>2357</v>
      </c>
      <c r="B339" s="16" t="s">
        <v>1998</v>
      </c>
      <c r="C339" s="16" t="s">
        <v>1999</v>
      </c>
      <c r="D339" s="16" t="s">
        <v>1656</v>
      </c>
      <c r="E339" s="25">
        <v>100</v>
      </c>
      <c r="F339" s="16">
        <v>450</v>
      </c>
      <c r="G339" s="16">
        <v>144</v>
      </c>
      <c r="H339" s="16">
        <v>0</v>
      </c>
      <c r="I339" s="16">
        <v>150</v>
      </c>
      <c r="J339" s="16">
        <v>200</v>
      </c>
      <c r="K339" s="16">
        <v>0</v>
      </c>
      <c r="L339" s="25">
        <v>100</v>
      </c>
      <c r="M339" s="25">
        <v>1</v>
      </c>
      <c r="N339" s="25">
        <v>88</v>
      </c>
      <c r="O339" s="25">
        <v>1</v>
      </c>
      <c r="P339" s="25">
        <v>3</v>
      </c>
      <c r="Q339" s="25">
        <v>75</v>
      </c>
      <c r="R339" s="27" t="s">
        <v>2358</v>
      </c>
      <c r="S339" s="27" t="s">
        <v>2358</v>
      </c>
      <c r="T339" s="27" t="s">
        <v>2358</v>
      </c>
      <c r="U339" s="16" t="s">
        <v>1712</v>
      </c>
      <c r="V339" s="16">
        <f t="shared" si="12"/>
        <v>65</v>
      </c>
      <c r="W339" s="16">
        <v>15</v>
      </c>
      <c r="X339" s="16">
        <v>15</v>
      </c>
      <c r="Y339" s="16">
        <v>15</v>
      </c>
      <c r="Z339" s="16">
        <v>20</v>
      </c>
      <c r="AD339" s="16" t="s">
        <v>2359</v>
      </c>
    </row>
    <row r="340" s="16" customFormat="1" spans="1:30">
      <c r="A340" s="24" t="s">
        <v>2360</v>
      </c>
      <c r="B340" s="16" t="s">
        <v>1998</v>
      </c>
      <c r="C340" s="16" t="s">
        <v>2361</v>
      </c>
      <c r="D340" s="16" t="s">
        <v>1656</v>
      </c>
      <c r="E340" s="25">
        <v>100</v>
      </c>
      <c r="F340" s="16">
        <v>333</v>
      </c>
      <c r="G340" s="16">
        <v>150</v>
      </c>
      <c r="H340" s="16">
        <v>0</v>
      </c>
      <c r="I340" s="16">
        <v>50</v>
      </c>
      <c r="J340" s="16">
        <v>150</v>
      </c>
      <c r="K340" s="16">
        <v>0</v>
      </c>
      <c r="L340" s="25">
        <v>100</v>
      </c>
      <c r="M340" s="25">
        <v>1</v>
      </c>
      <c r="N340" s="25">
        <v>80</v>
      </c>
      <c r="O340" s="25">
        <v>1</v>
      </c>
      <c r="P340" s="25">
        <v>3</v>
      </c>
      <c r="Q340" s="25">
        <v>75</v>
      </c>
      <c r="R340" s="27" t="s">
        <v>1778</v>
      </c>
      <c r="S340" s="27" t="s">
        <v>1707</v>
      </c>
      <c r="T340" s="27" t="s">
        <v>1707</v>
      </c>
      <c r="U340" s="16" t="s">
        <v>1707</v>
      </c>
      <c r="V340" s="16">
        <f t="shared" si="12"/>
        <v>60</v>
      </c>
      <c r="W340" s="16">
        <v>15</v>
      </c>
      <c r="X340" s="16">
        <v>15</v>
      </c>
      <c r="Y340" s="16">
        <v>15</v>
      </c>
      <c r="Z340" s="16">
        <v>15</v>
      </c>
      <c r="AD340" s="16" t="s">
        <v>2359</v>
      </c>
    </row>
    <row r="341" s="16" customFormat="1" spans="1:30">
      <c r="A341" s="24" t="s">
        <v>2362</v>
      </c>
      <c r="B341" s="16" t="s">
        <v>1998</v>
      </c>
      <c r="C341" s="16" t="s">
        <v>2363</v>
      </c>
      <c r="D341" s="16" t="s">
        <v>1656</v>
      </c>
      <c r="E341" s="25">
        <v>100</v>
      </c>
      <c r="F341" s="16">
        <v>333</v>
      </c>
      <c r="G341" s="16">
        <v>150</v>
      </c>
      <c r="H341" s="16">
        <v>0</v>
      </c>
      <c r="I341" s="16">
        <v>50</v>
      </c>
      <c r="J341" s="16">
        <v>150</v>
      </c>
      <c r="K341" s="16">
        <v>0</v>
      </c>
      <c r="L341" s="25">
        <v>100</v>
      </c>
      <c r="M341" s="25">
        <v>1</v>
      </c>
      <c r="N341" s="25">
        <v>80</v>
      </c>
      <c r="O341" s="25">
        <v>1</v>
      </c>
      <c r="P341" s="25">
        <v>3</v>
      </c>
      <c r="Q341" s="25">
        <v>75</v>
      </c>
      <c r="R341" s="27" t="s">
        <v>1778</v>
      </c>
      <c r="S341" s="27" t="s">
        <v>1707</v>
      </c>
      <c r="T341" s="27" t="s">
        <v>1707</v>
      </c>
      <c r="U341" s="16" t="s">
        <v>1707</v>
      </c>
      <c r="V341" s="16">
        <f t="shared" si="12"/>
        <v>60</v>
      </c>
      <c r="W341" s="16">
        <v>15</v>
      </c>
      <c r="X341" s="16">
        <v>15</v>
      </c>
      <c r="Y341" s="16">
        <v>15</v>
      </c>
      <c r="Z341" s="16">
        <v>15</v>
      </c>
      <c r="AD341" s="16" t="s">
        <v>2359</v>
      </c>
    </row>
    <row r="342" s="16" customFormat="1" spans="1:30">
      <c r="A342" s="24" t="s">
        <v>2364</v>
      </c>
      <c r="B342" s="16" t="s">
        <v>51</v>
      </c>
      <c r="C342" s="16" t="s">
        <v>1912</v>
      </c>
      <c r="D342" s="16" t="s">
        <v>1656</v>
      </c>
      <c r="E342" s="25">
        <v>95</v>
      </c>
      <c r="F342" s="16">
        <v>253</v>
      </c>
      <c r="G342" s="16">
        <v>216</v>
      </c>
      <c r="H342" s="16">
        <v>0</v>
      </c>
      <c r="I342" s="16">
        <v>125</v>
      </c>
      <c r="J342" s="16">
        <v>101</v>
      </c>
      <c r="K342" s="16">
        <v>0</v>
      </c>
      <c r="L342" s="25">
        <v>100</v>
      </c>
      <c r="M342" s="25">
        <v>60</v>
      </c>
      <c r="N342" s="25">
        <v>29</v>
      </c>
      <c r="O342" s="25">
        <v>32</v>
      </c>
      <c r="P342" s="25">
        <v>3</v>
      </c>
      <c r="Q342" s="25">
        <v>75</v>
      </c>
      <c r="R342" s="27" t="s">
        <v>1762</v>
      </c>
      <c r="S342" s="27" t="s">
        <v>1762</v>
      </c>
      <c r="T342" s="27" t="s">
        <v>1666</v>
      </c>
      <c r="U342" s="16" t="s">
        <v>1755</v>
      </c>
      <c r="V342" s="16">
        <f t="shared" si="12"/>
        <v>12</v>
      </c>
      <c r="W342" s="16">
        <v>3</v>
      </c>
      <c r="X342" s="16">
        <v>3</v>
      </c>
      <c r="Y342" s="16">
        <v>3</v>
      </c>
      <c r="Z342" s="16">
        <v>3</v>
      </c>
      <c r="AD342" s="16" t="s">
        <v>2359</v>
      </c>
    </row>
    <row r="343" s="16" customFormat="1" spans="1:30">
      <c r="A343" s="24" t="s">
        <v>2365</v>
      </c>
      <c r="B343" s="16" t="s">
        <v>51</v>
      </c>
      <c r="C343" s="16" t="s">
        <v>1914</v>
      </c>
      <c r="D343" s="16" t="s">
        <v>1656</v>
      </c>
      <c r="E343" s="25">
        <v>95</v>
      </c>
      <c r="F343" s="16">
        <v>233</v>
      </c>
      <c r="G343" s="16">
        <v>196</v>
      </c>
      <c r="H343" s="16">
        <v>0</v>
      </c>
      <c r="I343" s="16">
        <v>125</v>
      </c>
      <c r="J343" s="16">
        <v>101</v>
      </c>
      <c r="K343" s="16">
        <v>0</v>
      </c>
      <c r="L343" s="25">
        <v>100</v>
      </c>
      <c r="M343" s="25">
        <v>60</v>
      </c>
      <c r="N343" s="25">
        <v>26</v>
      </c>
      <c r="O343" s="25">
        <v>32</v>
      </c>
      <c r="P343" s="25">
        <v>3</v>
      </c>
      <c r="Q343" s="25">
        <v>75</v>
      </c>
      <c r="R343" s="27" t="s">
        <v>1762</v>
      </c>
      <c r="S343" s="27" t="s">
        <v>1762</v>
      </c>
      <c r="T343" s="27" t="s">
        <v>1666</v>
      </c>
      <c r="U343" s="16" t="s">
        <v>1755</v>
      </c>
      <c r="V343" s="16">
        <f t="shared" si="12"/>
        <v>12</v>
      </c>
      <c r="W343" s="16">
        <v>3</v>
      </c>
      <c r="X343" s="16">
        <v>3</v>
      </c>
      <c r="Y343" s="16">
        <v>3</v>
      </c>
      <c r="Z343" s="16">
        <v>3</v>
      </c>
      <c r="AD343" s="16" t="s">
        <v>2359</v>
      </c>
    </row>
    <row r="344" s="16" customFormat="1" spans="1:30">
      <c r="A344" s="24" t="s">
        <v>2366</v>
      </c>
      <c r="B344" s="16" t="s">
        <v>84</v>
      </c>
      <c r="C344" s="16" t="s">
        <v>2024</v>
      </c>
      <c r="D344" s="16" t="s">
        <v>1656</v>
      </c>
      <c r="E344" s="25">
        <v>100</v>
      </c>
      <c r="F344" s="16">
        <v>298</v>
      </c>
      <c r="G344" s="16">
        <v>180</v>
      </c>
      <c r="H344" s="16">
        <v>85</v>
      </c>
      <c r="I344" s="16">
        <v>100</v>
      </c>
      <c r="J344" s="16">
        <v>101</v>
      </c>
      <c r="K344" s="16">
        <v>0</v>
      </c>
      <c r="L344" s="25">
        <v>100</v>
      </c>
      <c r="M344" s="25">
        <v>60</v>
      </c>
      <c r="N344" s="25">
        <v>56</v>
      </c>
      <c r="O344" s="25">
        <v>34</v>
      </c>
      <c r="P344" s="25">
        <v>3</v>
      </c>
      <c r="Q344" s="25">
        <v>75</v>
      </c>
      <c r="R344" s="27" t="s">
        <v>1758</v>
      </c>
      <c r="S344" s="27" t="s">
        <v>1679</v>
      </c>
      <c r="T344" s="27" t="s">
        <v>1679</v>
      </c>
      <c r="U344" s="16" t="s">
        <v>1755</v>
      </c>
      <c r="V344" s="16">
        <f t="shared" si="12"/>
        <v>12</v>
      </c>
      <c r="W344" s="16">
        <v>3</v>
      </c>
      <c r="X344" s="16">
        <v>3</v>
      </c>
      <c r="Y344" s="16">
        <v>3</v>
      </c>
      <c r="Z344" s="16">
        <v>3</v>
      </c>
      <c r="AD344" s="16" t="s">
        <v>2359</v>
      </c>
    </row>
    <row r="345" s="16" customFormat="1" spans="1:30">
      <c r="A345" s="24" t="s">
        <v>2367</v>
      </c>
      <c r="B345" s="16" t="s">
        <v>1950</v>
      </c>
      <c r="C345" s="16" t="s">
        <v>1976</v>
      </c>
      <c r="D345" s="16" t="s">
        <v>1656</v>
      </c>
      <c r="E345" s="25">
        <v>105</v>
      </c>
      <c r="F345" s="16">
        <v>666</v>
      </c>
      <c r="G345" s="16">
        <v>250</v>
      </c>
      <c r="H345" s="16">
        <v>0</v>
      </c>
      <c r="I345" s="16">
        <v>50</v>
      </c>
      <c r="J345" s="16">
        <v>101</v>
      </c>
      <c r="K345" s="16">
        <v>0</v>
      </c>
      <c r="L345" s="16">
        <v>120</v>
      </c>
      <c r="M345" s="25">
        <v>10</v>
      </c>
      <c r="N345" s="25">
        <v>77</v>
      </c>
      <c r="O345" s="25">
        <v>1</v>
      </c>
      <c r="P345" s="25">
        <v>4</v>
      </c>
      <c r="Q345" s="25">
        <v>90</v>
      </c>
      <c r="R345" s="27" t="s">
        <v>1762</v>
      </c>
      <c r="S345" s="27" t="s">
        <v>1762</v>
      </c>
      <c r="T345" s="27" t="s">
        <v>1712</v>
      </c>
      <c r="U345" s="16" t="s">
        <v>1965</v>
      </c>
      <c r="V345" s="16">
        <f t="shared" si="12"/>
        <v>200</v>
      </c>
      <c r="W345" s="16">
        <v>50</v>
      </c>
      <c r="X345" s="16">
        <v>50</v>
      </c>
      <c r="Y345" s="16">
        <v>50</v>
      </c>
      <c r="Z345" s="16">
        <v>50</v>
      </c>
      <c r="AD345" s="16" t="s">
        <v>2368</v>
      </c>
    </row>
    <row r="346" s="16" customFormat="1" spans="1:30">
      <c r="A346" s="24" t="s">
        <v>2369</v>
      </c>
      <c r="B346" s="16" t="s">
        <v>1998</v>
      </c>
      <c r="C346" s="16" t="s">
        <v>1999</v>
      </c>
      <c r="D346" s="16" t="s">
        <v>1656</v>
      </c>
      <c r="E346" s="25">
        <v>105</v>
      </c>
      <c r="F346" s="16">
        <v>365</v>
      </c>
      <c r="G346" s="16">
        <v>250</v>
      </c>
      <c r="H346" s="16">
        <v>0</v>
      </c>
      <c r="I346" s="16">
        <v>150</v>
      </c>
      <c r="J346" s="16">
        <v>101</v>
      </c>
      <c r="K346" s="16">
        <v>0</v>
      </c>
      <c r="L346" s="16">
        <v>120</v>
      </c>
      <c r="M346" s="25">
        <v>1</v>
      </c>
      <c r="N346" s="25">
        <v>80</v>
      </c>
      <c r="O346" s="25">
        <v>1</v>
      </c>
      <c r="P346" s="25">
        <v>3</v>
      </c>
      <c r="Q346" s="25">
        <v>90</v>
      </c>
      <c r="R346" s="27" t="s">
        <v>1712</v>
      </c>
      <c r="S346" s="27" t="s">
        <v>1712</v>
      </c>
      <c r="T346" s="27" t="s">
        <v>1778</v>
      </c>
      <c r="U346" s="16" t="s">
        <v>1712</v>
      </c>
      <c r="V346" s="16">
        <f t="shared" si="12"/>
        <v>60</v>
      </c>
      <c r="W346" s="16">
        <v>15</v>
      </c>
      <c r="X346" s="16">
        <v>15</v>
      </c>
      <c r="Y346" s="16">
        <v>15</v>
      </c>
      <c r="Z346" s="16">
        <v>15</v>
      </c>
      <c r="AD346" s="16" t="s">
        <v>2368</v>
      </c>
    </row>
    <row r="347" s="16" customFormat="1" spans="1:30">
      <c r="A347" s="24" t="s">
        <v>2370</v>
      </c>
      <c r="B347" s="16" t="s">
        <v>1950</v>
      </c>
      <c r="C347" s="16" t="s">
        <v>2371</v>
      </c>
      <c r="D347" s="16" t="s">
        <v>1656</v>
      </c>
      <c r="E347" s="25">
        <v>100</v>
      </c>
      <c r="F347" s="16">
        <v>666</v>
      </c>
      <c r="G347" s="16">
        <v>250</v>
      </c>
      <c r="H347" s="16">
        <v>0</v>
      </c>
      <c r="I347" s="16">
        <v>0</v>
      </c>
      <c r="J347" s="16">
        <v>101</v>
      </c>
      <c r="K347" s="16">
        <v>0</v>
      </c>
      <c r="L347" s="16">
        <v>120</v>
      </c>
      <c r="M347" s="25">
        <v>1</v>
      </c>
      <c r="N347" s="25">
        <v>80</v>
      </c>
      <c r="O347" s="25">
        <v>1</v>
      </c>
      <c r="P347" s="25">
        <v>4</v>
      </c>
      <c r="Q347" s="25">
        <v>90</v>
      </c>
      <c r="R347" s="27" t="s">
        <v>1762</v>
      </c>
      <c r="S347" s="27" t="s">
        <v>1762</v>
      </c>
      <c r="T347" s="27" t="s">
        <v>1707</v>
      </c>
      <c r="U347" s="16" t="s">
        <v>1778</v>
      </c>
      <c r="V347" s="16">
        <f t="shared" si="12"/>
        <v>60</v>
      </c>
      <c r="W347" s="16">
        <v>15</v>
      </c>
      <c r="X347" s="16">
        <v>15</v>
      </c>
      <c r="Y347" s="16">
        <v>15</v>
      </c>
      <c r="Z347" s="16">
        <v>15</v>
      </c>
      <c r="AD347" s="16" t="s">
        <v>2368</v>
      </c>
    </row>
    <row r="348" s="16" customFormat="1" spans="1:30">
      <c r="A348" s="24" t="s">
        <v>2372</v>
      </c>
      <c r="B348" s="16" t="s">
        <v>1776</v>
      </c>
      <c r="C348" s="16" t="s">
        <v>195</v>
      </c>
      <c r="D348" s="16" t="s">
        <v>1656</v>
      </c>
      <c r="E348" s="25">
        <v>100</v>
      </c>
      <c r="F348" s="16">
        <v>298</v>
      </c>
      <c r="G348" s="16">
        <v>180</v>
      </c>
      <c r="H348" s="16">
        <v>120</v>
      </c>
      <c r="I348" s="16">
        <v>180</v>
      </c>
      <c r="J348" s="16">
        <v>101</v>
      </c>
      <c r="K348" s="16">
        <v>93</v>
      </c>
      <c r="L348" s="16">
        <v>120</v>
      </c>
      <c r="M348" s="25">
        <v>70</v>
      </c>
      <c r="N348" s="25">
        <v>60</v>
      </c>
      <c r="O348" s="25">
        <v>34</v>
      </c>
      <c r="P348" s="25">
        <v>3</v>
      </c>
      <c r="Q348" s="25">
        <v>90</v>
      </c>
      <c r="R348" s="27" t="s">
        <v>1762</v>
      </c>
      <c r="S348" s="27" t="s">
        <v>1759</v>
      </c>
      <c r="T348" s="27" t="s">
        <v>1837</v>
      </c>
      <c r="U348" s="16" t="s">
        <v>1778</v>
      </c>
      <c r="V348" s="16">
        <f t="shared" si="12"/>
        <v>90</v>
      </c>
      <c r="W348" s="16">
        <v>0</v>
      </c>
      <c r="X348" s="16">
        <v>0</v>
      </c>
      <c r="Y348" s="16">
        <v>0</v>
      </c>
      <c r="Z348" s="16">
        <v>90</v>
      </c>
      <c r="AD348" s="16" t="s">
        <v>2368</v>
      </c>
    </row>
    <row r="349" s="16" customFormat="1" spans="1:30">
      <c r="A349" s="24" t="s">
        <v>2373</v>
      </c>
      <c r="B349" s="16" t="s">
        <v>44</v>
      </c>
      <c r="C349" s="16" t="s">
        <v>2017</v>
      </c>
      <c r="D349" s="16" t="s">
        <v>1656</v>
      </c>
      <c r="E349" s="25">
        <v>100</v>
      </c>
      <c r="F349" s="16">
        <v>233</v>
      </c>
      <c r="G349" s="16">
        <v>50</v>
      </c>
      <c r="H349" s="16">
        <v>0</v>
      </c>
      <c r="I349" s="16">
        <v>180</v>
      </c>
      <c r="J349" s="16">
        <v>101</v>
      </c>
      <c r="K349" s="16">
        <v>0</v>
      </c>
      <c r="L349" s="16">
        <v>120</v>
      </c>
      <c r="M349" s="25">
        <v>70</v>
      </c>
      <c r="N349" s="25">
        <v>60</v>
      </c>
      <c r="O349" s="25">
        <v>33</v>
      </c>
      <c r="P349" s="25">
        <v>1</v>
      </c>
      <c r="Q349" s="25">
        <v>90</v>
      </c>
      <c r="R349" s="27" t="s">
        <v>1712</v>
      </c>
      <c r="S349" s="27" t="s">
        <v>1707</v>
      </c>
      <c r="T349" s="27" t="s">
        <v>1707</v>
      </c>
      <c r="U349" s="16" t="s">
        <v>1707</v>
      </c>
      <c r="V349" s="16">
        <f t="shared" si="12"/>
        <v>192</v>
      </c>
      <c r="W349" s="16">
        <v>48</v>
      </c>
      <c r="X349" s="16">
        <v>48</v>
      </c>
      <c r="Y349" s="16">
        <v>48</v>
      </c>
      <c r="Z349" s="16">
        <v>48</v>
      </c>
      <c r="AD349" s="16" t="s">
        <v>2368</v>
      </c>
    </row>
    <row r="350" s="16" customFormat="1" spans="1:30">
      <c r="A350" s="24" t="s">
        <v>2374</v>
      </c>
      <c r="B350" s="16" t="s">
        <v>92</v>
      </c>
      <c r="C350" s="16" t="s">
        <v>2375</v>
      </c>
      <c r="D350" s="16" t="s">
        <v>1656</v>
      </c>
      <c r="E350" s="25">
        <v>100</v>
      </c>
      <c r="F350" s="16">
        <v>108</v>
      </c>
      <c r="G350" s="16">
        <v>108</v>
      </c>
      <c r="H350" s="16">
        <v>0</v>
      </c>
      <c r="I350" s="16">
        <v>100</v>
      </c>
      <c r="J350" s="16">
        <v>101</v>
      </c>
      <c r="K350" s="16">
        <v>100</v>
      </c>
      <c r="L350" s="16">
        <v>120</v>
      </c>
      <c r="M350" s="25">
        <v>70</v>
      </c>
      <c r="N350" s="25">
        <v>40</v>
      </c>
      <c r="O350" s="25">
        <v>33</v>
      </c>
      <c r="P350" s="25">
        <v>1</v>
      </c>
      <c r="Q350" s="25">
        <v>90</v>
      </c>
      <c r="R350" s="27" t="s">
        <v>1923</v>
      </c>
      <c r="S350" s="27" t="s">
        <v>1924</v>
      </c>
      <c r="T350" s="27" t="s">
        <v>1924</v>
      </c>
      <c r="V350" s="16">
        <f t="shared" si="12"/>
        <v>24</v>
      </c>
      <c r="W350" s="16">
        <v>8</v>
      </c>
      <c r="X350" s="16">
        <v>8</v>
      </c>
      <c r="Y350" s="16">
        <v>8</v>
      </c>
      <c r="Z350" s="16">
        <v>0</v>
      </c>
      <c r="AD350" s="16" t="s">
        <v>2368</v>
      </c>
    </row>
    <row r="351" s="16" customFormat="1" spans="1:30">
      <c r="A351" s="24" t="s">
        <v>2376</v>
      </c>
      <c r="B351" s="16" t="s">
        <v>37</v>
      </c>
      <c r="C351" s="16" t="s">
        <v>2081</v>
      </c>
      <c r="D351" s="16" t="s">
        <v>1656</v>
      </c>
      <c r="E351" s="25">
        <v>110</v>
      </c>
      <c r="F351" s="16">
        <v>540</v>
      </c>
      <c r="G351" s="16">
        <v>350</v>
      </c>
      <c r="H351" s="16">
        <v>0</v>
      </c>
      <c r="I351" s="16">
        <v>250</v>
      </c>
      <c r="J351" s="16">
        <v>30</v>
      </c>
      <c r="K351" s="16">
        <v>0</v>
      </c>
      <c r="L351" s="16">
        <v>130</v>
      </c>
      <c r="M351" s="25">
        <v>90</v>
      </c>
      <c r="N351" s="25">
        <v>66</v>
      </c>
      <c r="O351" s="25">
        <v>35</v>
      </c>
      <c r="P351" s="25">
        <v>4</v>
      </c>
      <c r="Q351" s="25">
        <v>105</v>
      </c>
      <c r="R351" s="27" t="s">
        <v>2002</v>
      </c>
      <c r="S351" s="27" t="s">
        <v>2002</v>
      </c>
      <c r="T351" s="27" t="s">
        <v>2002</v>
      </c>
      <c r="U351" s="16" t="s">
        <v>2377</v>
      </c>
      <c r="V351" s="16">
        <f t="shared" si="12"/>
        <v>12</v>
      </c>
      <c r="W351" s="16">
        <v>3</v>
      </c>
      <c r="X351" s="16">
        <v>3</v>
      </c>
      <c r="Y351" s="16">
        <v>3</v>
      </c>
      <c r="Z351" s="16">
        <v>3</v>
      </c>
      <c r="AD351" s="16" t="s">
        <v>2378</v>
      </c>
    </row>
    <row r="352" s="16" customFormat="1" spans="1:30">
      <c r="A352" s="24" t="s">
        <v>2379</v>
      </c>
      <c r="B352" s="16" t="s">
        <v>1776</v>
      </c>
      <c r="C352" s="16" t="s">
        <v>2063</v>
      </c>
      <c r="D352" s="16" t="s">
        <v>1656</v>
      </c>
      <c r="E352" s="25">
        <v>110</v>
      </c>
      <c r="F352" s="16">
        <v>385</v>
      </c>
      <c r="G352" s="16">
        <v>350</v>
      </c>
      <c r="H352" s="16">
        <v>0</v>
      </c>
      <c r="I352" s="16">
        <v>250</v>
      </c>
      <c r="J352" s="16">
        <v>30</v>
      </c>
      <c r="K352" s="16">
        <v>0</v>
      </c>
      <c r="L352" s="16">
        <v>130</v>
      </c>
      <c r="M352" s="25">
        <v>90</v>
      </c>
      <c r="N352" s="25">
        <v>66</v>
      </c>
      <c r="O352" s="25">
        <v>28</v>
      </c>
      <c r="P352" s="25">
        <v>4</v>
      </c>
      <c r="Q352" s="25">
        <v>105</v>
      </c>
      <c r="R352" s="27" t="s">
        <v>2002</v>
      </c>
      <c r="S352" s="27" t="s">
        <v>2002</v>
      </c>
      <c r="T352" s="27" t="s">
        <v>2002</v>
      </c>
      <c r="U352" s="16" t="s">
        <v>2358</v>
      </c>
      <c r="V352" s="16">
        <f t="shared" si="12"/>
        <v>50</v>
      </c>
      <c r="W352" s="16">
        <v>0</v>
      </c>
      <c r="X352" s="16">
        <v>0</v>
      </c>
      <c r="Y352" s="16">
        <v>0</v>
      </c>
      <c r="Z352" s="16">
        <v>50</v>
      </c>
      <c r="AD352" s="16" t="s">
        <v>2378</v>
      </c>
    </row>
    <row r="353" s="16" customFormat="1" spans="1:30">
      <c r="A353" s="24" t="s">
        <v>2380</v>
      </c>
      <c r="B353" s="16" t="s">
        <v>44</v>
      </c>
      <c r="C353" s="16" t="s">
        <v>2121</v>
      </c>
      <c r="D353" s="16" t="s">
        <v>1656</v>
      </c>
      <c r="E353" s="25">
        <v>110</v>
      </c>
      <c r="F353" s="16">
        <v>480</v>
      </c>
      <c r="G353" s="16">
        <v>200</v>
      </c>
      <c r="H353" s="16">
        <v>0</v>
      </c>
      <c r="I353" s="16">
        <v>250</v>
      </c>
      <c r="J353" s="16">
        <v>30</v>
      </c>
      <c r="K353" s="16">
        <v>0</v>
      </c>
      <c r="L353" s="16">
        <v>130</v>
      </c>
      <c r="M353" s="25">
        <v>87</v>
      </c>
      <c r="N353" s="25">
        <v>66</v>
      </c>
      <c r="O353" s="25">
        <v>35</v>
      </c>
      <c r="P353" s="25">
        <v>3</v>
      </c>
      <c r="Q353" s="25">
        <v>105</v>
      </c>
      <c r="R353" s="27" t="s">
        <v>2067</v>
      </c>
      <c r="S353" s="27" t="s">
        <v>2067</v>
      </c>
      <c r="T353" s="27" t="s">
        <v>2248</v>
      </c>
      <c r="U353" s="16" t="s">
        <v>2265</v>
      </c>
      <c r="V353" s="16">
        <f t="shared" si="12"/>
        <v>80</v>
      </c>
      <c r="W353" s="16">
        <v>20</v>
      </c>
      <c r="X353" s="16">
        <v>20</v>
      </c>
      <c r="Y353" s="16">
        <v>20</v>
      </c>
      <c r="Z353" s="16">
        <v>20</v>
      </c>
      <c r="AD353" s="16" t="s">
        <v>2378</v>
      </c>
    </row>
    <row r="354" s="16" customFormat="1" spans="1:30">
      <c r="A354" s="24" t="s">
        <v>2381</v>
      </c>
      <c r="B354" s="16" t="s">
        <v>1998</v>
      </c>
      <c r="C354" s="16" t="s">
        <v>2066</v>
      </c>
      <c r="D354" s="16" t="s">
        <v>1656</v>
      </c>
      <c r="E354" s="25">
        <v>110</v>
      </c>
      <c r="F354" s="16">
        <v>396</v>
      </c>
      <c r="G354" s="16">
        <v>200</v>
      </c>
      <c r="H354" s="16">
        <v>0</v>
      </c>
      <c r="I354" s="16">
        <v>50</v>
      </c>
      <c r="J354" s="16">
        <v>50</v>
      </c>
      <c r="K354" s="16">
        <v>0</v>
      </c>
      <c r="L354" s="16">
        <v>130</v>
      </c>
      <c r="M354" s="25">
        <v>40</v>
      </c>
      <c r="N354" s="25">
        <v>40</v>
      </c>
      <c r="O354" s="25">
        <v>1</v>
      </c>
      <c r="P354" s="25">
        <v>3</v>
      </c>
      <c r="Q354" s="25">
        <v>105</v>
      </c>
      <c r="R354" s="27" t="s">
        <v>2358</v>
      </c>
      <c r="S354" s="27" t="s">
        <v>2358</v>
      </c>
      <c r="T354" s="27" t="s">
        <v>2358</v>
      </c>
      <c r="U354" s="16" t="s">
        <v>2358</v>
      </c>
      <c r="V354" s="16">
        <f t="shared" si="12"/>
        <v>60</v>
      </c>
      <c r="W354" s="16">
        <v>15</v>
      </c>
      <c r="X354" s="16">
        <v>15</v>
      </c>
      <c r="Y354" s="16">
        <v>15</v>
      </c>
      <c r="Z354" s="16">
        <v>15</v>
      </c>
      <c r="AD354" s="16" t="s">
        <v>2378</v>
      </c>
    </row>
    <row r="355" s="16" customFormat="1" spans="1:30">
      <c r="A355" s="24" t="s">
        <v>2382</v>
      </c>
      <c r="B355" s="16" t="s">
        <v>37</v>
      </c>
      <c r="C355" s="24">
        <v>111</v>
      </c>
      <c r="D355" s="16" t="s">
        <v>1656</v>
      </c>
      <c r="E355" s="25">
        <v>110</v>
      </c>
      <c r="F355" s="16">
        <v>385</v>
      </c>
      <c r="G355" s="16">
        <v>350</v>
      </c>
      <c r="H355" s="16">
        <v>0</v>
      </c>
      <c r="I355" s="16">
        <v>250</v>
      </c>
      <c r="J355" s="16">
        <v>30</v>
      </c>
      <c r="K355" s="16">
        <v>0</v>
      </c>
      <c r="L355" s="16">
        <v>130</v>
      </c>
      <c r="M355" s="25">
        <v>90</v>
      </c>
      <c r="N355" s="25">
        <v>66</v>
      </c>
      <c r="O355" s="25">
        <v>28</v>
      </c>
      <c r="P355" s="25">
        <v>4</v>
      </c>
      <c r="Q355" s="25">
        <v>105</v>
      </c>
      <c r="R355" s="27" t="s">
        <v>2002</v>
      </c>
      <c r="S355" s="27" t="s">
        <v>2002</v>
      </c>
      <c r="T355" s="27" t="s">
        <v>2002</v>
      </c>
      <c r="U355" s="16" t="s">
        <v>2377</v>
      </c>
      <c r="V355" s="16">
        <f t="shared" si="12"/>
        <v>12</v>
      </c>
      <c r="W355" s="16">
        <v>3</v>
      </c>
      <c r="X355" s="16">
        <v>3</v>
      </c>
      <c r="Y355" s="16">
        <v>3</v>
      </c>
      <c r="Z355" s="16">
        <v>3</v>
      </c>
      <c r="AD355" s="16" t="s">
        <v>2378</v>
      </c>
    </row>
    <row r="356" s="16" customFormat="1" spans="1:30">
      <c r="A356" s="24" t="s">
        <v>2383</v>
      </c>
      <c r="B356" s="16" t="s">
        <v>265</v>
      </c>
      <c r="C356" s="16" t="s">
        <v>2267</v>
      </c>
      <c r="D356" s="16" t="s">
        <v>1656</v>
      </c>
      <c r="E356" s="25">
        <v>110</v>
      </c>
      <c r="F356" s="16">
        <v>128</v>
      </c>
      <c r="G356" s="16">
        <v>200</v>
      </c>
      <c r="H356" s="16">
        <v>170</v>
      </c>
      <c r="I356" s="16">
        <v>50</v>
      </c>
      <c r="J356" s="16">
        <v>100</v>
      </c>
      <c r="K356" s="16">
        <v>139</v>
      </c>
      <c r="L356" s="16">
        <v>130</v>
      </c>
      <c r="M356" s="25">
        <v>150</v>
      </c>
      <c r="N356" s="25">
        <v>68</v>
      </c>
      <c r="O356" s="25">
        <v>35</v>
      </c>
      <c r="P356" s="25">
        <v>1</v>
      </c>
      <c r="Q356" s="25">
        <v>600</v>
      </c>
      <c r="R356" s="27" t="s">
        <v>2384</v>
      </c>
      <c r="S356" s="27" t="s">
        <v>1838</v>
      </c>
      <c r="T356" s="27" t="s">
        <v>2385</v>
      </c>
      <c r="U356" s="16" t="s">
        <v>2386</v>
      </c>
      <c r="V356" s="16">
        <f t="shared" si="12"/>
        <v>0</v>
      </c>
      <c r="W356" s="16">
        <v>0</v>
      </c>
      <c r="X356" s="16">
        <v>0</v>
      </c>
      <c r="Y356" s="16">
        <v>0</v>
      </c>
      <c r="Z356" s="16">
        <v>0</v>
      </c>
      <c r="AD356" s="16" t="s">
        <v>2378</v>
      </c>
    </row>
    <row r="357" s="16" customFormat="1" spans="1:30">
      <c r="A357" s="24" t="s">
        <v>2387</v>
      </c>
      <c r="B357" s="16" t="s">
        <v>1998</v>
      </c>
      <c r="C357" s="16" t="s">
        <v>2388</v>
      </c>
      <c r="D357" s="16" t="s">
        <v>1656</v>
      </c>
      <c r="E357" s="25">
        <v>115</v>
      </c>
      <c r="F357" s="16">
        <v>666</v>
      </c>
      <c r="G357" s="16">
        <v>200</v>
      </c>
      <c r="H357" s="16">
        <v>0</v>
      </c>
      <c r="I357" s="16">
        <v>150</v>
      </c>
      <c r="J357" s="16">
        <v>150</v>
      </c>
      <c r="K357" s="16">
        <v>0</v>
      </c>
      <c r="L357" s="16">
        <v>150</v>
      </c>
      <c r="M357" s="25">
        <v>90</v>
      </c>
      <c r="N357" s="25">
        <v>60</v>
      </c>
      <c r="O357" s="25">
        <v>1</v>
      </c>
      <c r="P357" s="25">
        <v>4</v>
      </c>
      <c r="Q357" s="25">
        <v>120</v>
      </c>
      <c r="R357" s="27" t="s">
        <v>1977</v>
      </c>
      <c r="S357" s="27" t="s">
        <v>1977</v>
      </c>
      <c r="T357" s="27" t="s">
        <v>1977</v>
      </c>
      <c r="U357" s="16" t="s">
        <v>1977</v>
      </c>
      <c r="V357" s="16">
        <f t="shared" si="12"/>
        <v>80</v>
      </c>
      <c r="W357" s="16">
        <v>20</v>
      </c>
      <c r="X357" s="16">
        <v>20</v>
      </c>
      <c r="Y357" s="16">
        <v>20</v>
      </c>
      <c r="Z357" s="16">
        <v>20</v>
      </c>
      <c r="AD357" s="16" t="s">
        <v>2389</v>
      </c>
    </row>
    <row r="358" s="16" customFormat="1" spans="1:30">
      <c r="A358" s="24" t="s">
        <v>2390</v>
      </c>
      <c r="B358" s="16" t="s">
        <v>2306</v>
      </c>
      <c r="C358" s="16" t="s">
        <v>2325</v>
      </c>
      <c r="D358" s="16" t="s">
        <v>1656</v>
      </c>
      <c r="E358" s="25">
        <v>115</v>
      </c>
      <c r="F358" s="16">
        <v>540</v>
      </c>
      <c r="G358" s="16">
        <v>200</v>
      </c>
      <c r="H358" s="16">
        <v>150</v>
      </c>
      <c r="I358" s="16">
        <v>180</v>
      </c>
      <c r="J358" s="16">
        <v>120</v>
      </c>
      <c r="K358" s="16">
        <v>0</v>
      </c>
      <c r="L358" s="16">
        <v>150</v>
      </c>
      <c r="M358" s="25">
        <v>90</v>
      </c>
      <c r="N358" s="25">
        <v>70</v>
      </c>
      <c r="O358" s="25">
        <v>90</v>
      </c>
      <c r="P358" s="25">
        <v>3</v>
      </c>
      <c r="Q358" s="25">
        <v>120</v>
      </c>
      <c r="R358" s="27" t="s">
        <v>1894</v>
      </c>
      <c r="S358" s="27" t="s">
        <v>1895</v>
      </c>
      <c r="T358" s="27" t="s">
        <v>1895</v>
      </c>
      <c r="U358" s="16" t="s">
        <v>1778</v>
      </c>
      <c r="V358" s="16">
        <f t="shared" si="12"/>
        <v>39</v>
      </c>
      <c r="W358" s="16">
        <v>8</v>
      </c>
      <c r="X358" s="16">
        <v>8</v>
      </c>
      <c r="Y358" s="16">
        <v>8</v>
      </c>
      <c r="Z358" s="16">
        <v>15</v>
      </c>
      <c r="AD358" s="16" t="s">
        <v>2389</v>
      </c>
    </row>
    <row r="359" s="16" customFormat="1" spans="1:30">
      <c r="A359" s="24" t="s">
        <v>2391</v>
      </c>
      <c r="B359" s="16" t="s">
        <v>37</v>
      </c>
      <c r="C359" s="16" t="s">
        <v>2392</v>
      </c>
      <c r="D359" s="16" t="s">
        <v>1656</v>
      </c>
      <c r="E359" s="25">
        <v>115</v>
      </c>
      <c r="F359" s="16">
        <v>450</v>
      </c>
      <c r="G359" s="16">
        <v>250</v>
      </c>
      <c r="H359" s="16">
        <v>0</v>
      </c>
      <c r="I359" s="16">
        <v>250</v>
      </c>
      <c r="J359" s="16">
        <v>120</v>
      </c>
      <c r="K359" s="16">
        <v>0</v>
      </c>
      <c r="L359" s="16">
        <v>150</v>
      </c>
      <c r="M359" s="25">
        <v>90</v>
      </c>
      <c r="N359" s="25">
        <v>40</v>
      </c>
      <c r="O359" s="25">
        <v>33</v>
      </c>
      <c r="P359" s="25">
        <v>3</v>
      </c>
      <c r="Q359" s="25">
        <v>120</v>
      </c>
      <c r="R359" s="27" t="s">
        <v>1762</v>
      </c>
      <c r="S359" s="27" t="s">
        <v>1762</v>
      </c>
      <c r="T359" s="27" t="s">
        <v>1666</v>
      </c>
      <c r="U359" s="16" t="s">
        <v>1755</v>
      </c>
      <c r="V359" s="16">
        <f t="shared" si="12"/>
        <v>12</v>
      </c>
      <c r="W359" s="16">
        <v>3</v>
      </c>
      <c r="X359" s="16">
        <v>3</v>
      </c>
      <c r="Y359" s="16">
        <v>3</v>
      </c>
      <c r="Z359" s="16">
        <v>3</v>
      </c>
      <c r="AD359" s="16" t="s">
        <v>2389</v>
      </c>
    </row>
    <row r="360" s="16" customFormat="1" spans="1:30">
      <c r="A360" s="24" t="s">
        <v>2393</v>
      </c>
      <c r="B360" s="16" t="s">
        <v>1776</v>
      </c>
      <c r="C360" s="16" t="s">
        <v>2313</v>
      </c>
      <c r="D360" s="16" t="s">
        <v>1656</v>
      </c>
      <c r="E360" s="25">
        <v>115</v>
      </c>
      <c r="F360" s="16">
        <v>360</v>
      </c>
      <c r="G360" s="16">
        <v>150</v>
      </c>
      <c r="H360" s="16">
        <v>140</v>
      </c>
      <c r="I360" s="16">
        <v>150</v>
      </c>
      <c r="J360" s="16">
        <v>120</v>
      </c>
      <c r="K360" s="16">
        <v>110</v>
      </c>
      <c r="L360" s="16">
        <v>150</v>
      </c>
      <c r="M360" s="25">
        <v>90</v>
      </c>
      <c r="N360" s="25">
        <v>90</v>
      </c>
      <c r="O360" s="25">
        <v>36</v>
      </c>
      <c r="P360" s="25">
        <v>3</v>
      </c>
      <c r="Q360" s="25">
        <v>120</v>
      </c>
      <c r="R360" s="27" t="s">
        <v>1762</v>
      </c>
      <c r="S360" s="27" t="s">
        <v>1759</v>
      </c>
      <c r="T360" s="27" t="s">
        <v>1837</v>
      </c>
      <c r="U360" s="16" t="s">
        <v>1778</v>
      </c>
      <c r="V360" s="16">
        <f t="shared" si="12"/>
        <v>220</v>
      </c>
      <c r="W360" s="16">
        <v>0</v>
      </c>
      <c r="X360" s="16">
        <v>0</v>
      </c>
      <c r="Y360" s="16">
        <v>0</v>
      </c>
      <c r="Z360" s="16">
        <v>220</v>
      </c>
      <c r="AD360" s="16" t="s">
        <v>2389</v>
      </c>
    </row>
    <row r="361" s="16" customFormat="1" spans="1:30">
      <c r="A361" s="24" t="s">
        <v>2394</v>
      </c>
      <c r="B361" s="16" t="s">
        <v>44</v>
      </c>
      <c r="C361" s="16" t="s">
        <v>2395</v>
      </c>
      <c r="D361" s="16" t="s">
        <v>1656</v>
      </c>
      <c r="E361" s="25">
        <v>115</v>
      </c>
      <c r="F361" s="16">
        <v>315</v>
      </c>
      <c r="G361" s="16">
        <v>100</v>
      </c>
      <c r="H361" s="16">
        <v>0</v>
      </c>
      <c r="I361" s="16">
        <v>150</v>
      </c>
      <c r="J361" s="16">
        <v>120</v>
      </c>
      <c r="K361" s="16">
        <v>0</v>
      </c>
      <c r="L361" s="16">
        <v>150</v>
      </c>
      <c r="M361" s="25">
        <v>90</v>
      </c>
      <c r="N361" s="25">
        <v>55</v>
      </c>
      <c r="O361" s="25">
        <v>33</v>
      </c>
      <c r="P361" s="25">
        <v>3</v>
      </c>
      <c r="Q361" s="25">
        <v>120</v>
      </c>
      <c r="R361" s="27" t="s">
        <v>1705</v>
      </c>
      <c r="S361" s="27" t="s">
        <v>1705</v>
      </c>
      <c r="T361" s="27" t="s">
        <v>1707</v>
      </c>
      <c r="U361" s="16" t="s">
        <v>1886</v>
      </c>
      <c r="V361" s="16">
        <f t="shared" si="12"/>
        <v>84</v>
      </c>
      <c r="W361" s="16">
        <v>20</v>
      </c>
      <c r="X361" s="16">
        <v>18</v>
      </c>
      <c r="Y361" s="16">
        <v>18</v>
      </c>
      <c r="Z361" s="16">
        <v>28</v>
      </c>
      <c r="AD361" s="16" t="s">
        <v>2389</v>
      </c>
    </row>
    <row r="362" s="16" customFormat="1" spans="1:30">
      <c r="A362" s="24" t="s">
        <v>2396</v>
      </c>
      <c r="B362" s="16" t="s">
        <v>92</v>
      </c>
      <c r="C362" s="16" t="s">
        <v>2397</v>
      </c>
      <c r="D362" s="16" t="s">
        <v>1656</v>
      </c>
      <c r="E362" s="25">
        <v>115</v>
      </c>
      <c r="F362" s="16">
        <v>158</v>
      </c>
      <c r="G362" s="16">
        <v>120</v>
      </c>
      <c r="H362" s="16">
        <v>0</v>
      </c>
      <c r="I362" s="16">
        <v>88</v>
      </c>
      <c r="J362" s="16">
        <v>120</v>
      </c>
      <c r="K362" s="16">
        <v>100</v>
      </c>
      <c r="L362" s="16">
        <v>150</v>
      </c>
      <c r="M362" s="25">
        <v>110</v>
      </c>
      <c r="N362" s="25">
        <v>60</v>
      </c>
      <c r="O362" s="25">
        <v>28</v>
      </c>
      <c r="P362" s="25">
        <v>1</v>
      </c>
      <c r="Q362" s="25">
        <v>120</v>
      </c>
      <c r="R362" s="27" t="s">
        <v>1923</v>
      </c>
      <c r="S362" s="27" t="s">
        <v>1924</v>
      </c>
      <c r="T362" s="27" t="s">
        <v>1924</v>
      </c>
      <c r="V362" s="16">
        <f t="shared" si="12"/>
        <v>24</v>
      </c>
      <c r="W362" s="16">
        <v>8</v>
      </c>
      <c r="X362" s="16">
        <v>8</v>
      </c>
      <c r="Y362" s="16">
        <v>8</v>
      </c>
      <c r="Z362" s="16">
        <v>0</v>
      </c>
      <c r="AD362" s="16" t="s">
        <v>2389</v>
      </c>
    </row>
    <row r="363" s="16" customFormat="1" spans="1:30">
      <c r="A363" s="24" t="s">
        <v>2398</v>
      </c>
      <c r="B363" s="16" t="s">
        <v>44</v>
      </c>
      <c r="C363" s="16" t="s">
        <v>2399</v>
      </c>
      <c r="D363" s="16" t="s">
        <v>1656</v>
      </c>
      <c r="E363" s="25">
        <v>120</v>
      </c>
      <c r="F363" s="16">
        <v>777</v>
      </c>
      <c r="G363" s="16">
        <v>444</v>
      </c>
      <c r="H363" s="16">
        <v>0</v>
      </c>
      <c r="I363" s="16">
        <v>200</v>
      </c>
      <c r="J363" s="16">
        <v>150</v>
      </c>
      <c r="K363" s="16">
        <v>0</v>
      </c>
      <c r="L363" s="16">
        <v>160</v>
      </c>
      <c r="M363" s="16">
        <v>100</v>
      </c>
      <c r="N363" s="16">
        <v>70</v>
      </c>
      <c r="O363" s="25">
        <v>33</v>
      </c>
      <c r="P363" s="25">
        <v>3</v>
      </c>
      <c r="Q363" s="25">
        <v>150</v>
      </c>
      <c r="R363" s="27" t="s">
        <v>2400</v>
      </c>
      <c r="S363" s="27" t="s">
        <v>2401</v>
      </c>
      <c r="T363" s="27" t="s">
        <v>2401</v>
      </c>
      <c r="U363" s="16" t="s">
        <v>2401</v>
      </c>
      <c r="V363" s="16">
        <f t="shared" si="12"/>
        <v>100</v>
      </c>
      <c r="W363" s="16">
        <v>25</v>
      </c>
      <c r="X363" s="16">
        <v>25</v>
      </c>
      <c r="Y363" s="16">
        <v>25</v>
      </c>
      <c r="Z363" s="16">
        <v>25</v>
      </c>
      <c r="AD363" s="16" t="s">
        <v>2402</v>
      </c>
    </row>
    <row r="364" s="16" customFormat="1" spans="1:30">
      <c r="A364" s="24" t="s">
        <v>2403</v>
      </c>
      <c r="B364" s="16" t="s">
        <v>44</v>
      </c>
      <c r="C364" s="16" t="s">
        <v>2404</v>
      </c>
      <c r="D364" s="16" t="s">
        <v>1656</v>
      </c>
      <c r="E364" s="25">
        <v>120</v>
      </c>
      <c r="F364" s="16">
        <v>520</v>
      </c>
      <c r="G364" s="16">
        <v>444</v>
      </c>
      <c r="H364" s="16">
        <v>0</v>
      </c>
      <c r="I364" s="16">
        <v>233</v>
      </c>
      <c r="J364" s="16">
        <v>150</v>
      </c>
      <c r="K364" s="16">
        <v>0</v>
      </c>
      <c r="L364" s="16">
        <v>160</v>
      </c>
      <c r="M364" s="16">
        <v>100</v>
      </c>
      <c r="N364" s="16">
        <v>65</v>
      </c>
      <c r="O364" s="25">
        <v>33</v>
      </c>
      <c r="P364" s="25">
        <v>3</v>
      </c>
      <c r="Q364" s="25">
        <v>150</v>
      </c>
      <c r="R364" s="27" t="s">
        <v>2401</v>
      </c>
      <c r="S364" s="27" t="s">
        <v>2401</v>
      </c>
      <c r="T364" s="27" t="s">
        <v>2401</v>
      </c>
      <c r="U364" s="16" t="s">
        <v>1778</v>
      </c>
      <c r="V364" s="16">
        <f t="shared" si="12"/>
        <v>100</v>
      </c>
      <c r="W364" s="16">
        <v>25</v>
      </c>
      <c r="X364" s="16">
        <v>25</v>
      </c>
      <c r="Y364" s="16">
        <v>25</v>
      </c>
      <c r="Z364" s="16">
        <v>25</v>
      </c>
      <c r="AD364" s="16" t="s">
        <v>2402</v>
      </c>
    </row>
    <row r="365" s="16" customFormat="1" spans="1:30">
      <c r="A365" s="24" t="s">
        <v>2405</v>
      </c>
      <c r="B365" s="16" t="s">
        <v>350</v>
      </c>
      <c r="C365" s="16" t="s">
        <v>2406</v>
      </c>
      <c r="D365" s="16" t="s">
        <v>1656</v>
      </c>
      <c r="E365" s="25">
        <v>120</v>
      </c>
      <c r="F365" s="16">
        <v>480</v>
      </c>
      <c r="G365" s="16">
        <v>666</v>
      </c>
      <c r="H365" s="16">
        <v>0</v>
      </c>
      <c r="I365" s="16">
        <v>250</v>
      </c>
      <c r="J365" s="16">
        <v>150</v>
      </c>
      <c r="K365" s="16">
        <v>0</v>
      </c>
      <c r="L365" s="16">
        <v>160</v>
      </c>
      <c r="M365" s="16">
        <v>100</v>
      </c>
      <c r="N365" s="16">
        <v>64</v>
      </c>
      <c r="O365" s="25">
        <v>33</v>
      </c>
      <c r="P365" s="25">
        <v>4</v>
      </c>
      <c r="Q365" s="25">
        <v>150</v>
      </c>
      <c r="R365" s="27" t="s">
        <v>1894</v>
      </c>
      <c r="S365" s="27" t="s">
        <v>1895</v>
      </c>
      <c r="T365" s="27" t="s">
        <v>1895</v>
      </c>
      <c r="U365" s="16" t="s">
        <v>1895</v>
      </c>
      <c r="V365" s="16">
        <f t="shared" si="12"/>
        <v>32</v>
      </c>
      <c r="W365" s="16">
        <v>8</v>
      </c>
      <c r="X365" s="16">
        <v>8</v>
      </c>
      <c r="Y365" s="16">
        <v>8</v>
      </c>
      <c r="Z365" s="16">
        <v>8</v>
      </c>
      <c r="AD365" s="16" t="s">
        <v>2402</v>
      </c>
    </row>
    <row r="366" s="16" customFormat="1" spans="1:30">
      <c r="A366" s="24" t="s">
        <v>2407</v>
      </c>
      <c r="B366" s="16" t="s">
        <v>350</v>
      </c>
      <c r="C366" s="16" t="s">
        <v>2408</v>
      </c>
      <c r="D366" s="16" t="s">
        <v>1656</v>
      </c>
      <c r="E366" s="25">
        <v>120</v>
      </c>
      <c r="F366" s="16">
        <v>450</v>
      </c>
      <c r="G366" s="16">
        <v>666</v>
      </c>
      <c r="H366" s="16">
        <v>0</v>
      </c>
      <c r="I366" s="16">
        <v>250</v>
      </c>
      <c r="J366" s="16">
        <v>150</v>
      </c>
      <c r="K366" s="16">
        <v>0</v>
      </c>
      <c r="L366" s="16">
        <v>160</v>
      </c>
      <c r="M366" s="16">
        <v>100</v>
      </c>
      <c r="N366" s="16">
        <v>64</v>
      </c>
      <c r="O366" s="25">
        <v>33</v>
      </c>
      <c r="P366" s="25">
        <v>4</v>
      </c>
      <c r="Q366" s="25">
        <v>150</v>
      </c>
      <c r="R366" s="27" t="s">
        <v>1894</v>
      </c>
      <c r="S366" s="27" t="s">
        <v>1895</v>
      </c>
      <c r="T366" s="27" t="s">
        <v>1895</v>
      </c>
      <c r="U366" s="16" t="s">
        <v>1762</v>
      </c>
      <c r="V366" s="16">
        <f t="shared" si="12"/>
        <v>32</v>
      </c>
      <c r="W366" s="16">
        <v>8</v>
      </c>
      <c r="X366" s="16">
        <v>8</v>
      </c>
      <c r="Y366" s="16">
        <v>8</v>
      </c>
      <c r="Z366" s="16">
        <v>8</v>
      </c>
      <c r="AD366" s="16" t="s">
        <v>2402</v>
      </c>
    </row>
    <row r="367" s="16" customFormat="1" spans="1:30">
      <c r="A367" s="24" t="s">
        <v>2409</v>
      </c>
      <c r="B367" s="16" t="s">
        <v>92</v>
      </c>
      <c r="C367" s="16" t="s">
        <v>2410</v>
      </c>
      <c r="D367" s="16" t="s">
        <v>1656</v>
      </c>
      <c r="E367" s="25">
        <v>120</v>
      </c>
      <c r="F367" s="16">
        <v>188</v>
      </c>
      <c r="G367" s="16">
        <v>180</v>
      </c>
      <c r="H367" s="16">
        <v>0</v>
      </c>
      <c r="I367" s="16">
        <v>150</v>
      </c>
      <c r="J367" s="16">
        <v>300</v>
      </c>
      <c r="K367" s="16">
        <v>75</v>
      </c>
      <c r="L367" s="16">
        <v>160</v>
      </c>
      <c r="M367" s="16">
        <v>200</v>
      </c>
      <c r="N367" s="16">
        <v>65</v>
      </c>
      <c r="O367" s="25">
        <v>33</v>
      </c>
      <c r="P367" s="25">
        <v>3</v>
      </c>
      <c r="Q367" s="25">
        <v>150</v>
      </c>
      <c r="R367" s="27" t="s">
        <v>1923</v>
      </c>
      <c r="S367" s="27" t="s">
        <v>2411</v>
      </c>
      <c r="T367" s="27" t="s">
        <v>2411</v>
      </c>
      <c r="U367" s="16" t="s">
        <v>2411</v>
      </c>
      <c r="V367" s="16">
        <f t="shared" si="12"/>
        <v>32</v>
      </c>
      <c r="W367" s="16">
        <v>8</v>
      </c>
      <c r="X367" s="16">
        <v>8</v>
      </c>
      <c r="Y367" s="16">
        <v>8</v>
      </c>
      <c r="Z367" s="16">
        <v>8</v>
      </c>
      <c r="AD367" s="16" t="s">
        <v>2402</v>
      </c>
    </row>
    <row r="368" s="16" customFormat="1" spans="1:30">
      <c r="A368" s="24" t="s">
        <v>2412</v>
      </c>
      <c r="B368" s="16" t="s">
        <v>87</v>
      </c>
      <c r="C368" s="16" t="s">
        <v>2413</v>
      </c>
      <c r="D368" s="16" t="s">
        <v>1656</v>
      </c>
      <c r="E368" s="25">
        <v>120</v>
      </c>
      <c r="F368" s="16">
        <v>88</v>
      </c>
      <c r="G368" s="16">
        <v>0</v>
      </c>
      <c r="H368" s="16">
        <v>182</v>
      </c>
      <c r="I368" s="16">
        <v>50</v>
      </c>
      <c r="J368" s="16">
        <v>0</v>
      </c>
      <c r="K368" s="16">
        <v>0</v>
      </c>
      <c r="L368" s="16">
        <v>160</v>
      </c>
      <c r="M368" s="16">
        <v>125</v>
      </c>
      <c r="N368" s="16">
        <v>50</v>
      </c>
      <c r="O368" s="25">
        <v>30</v>
      </c>
      <c r="P368" s="25">
        <v>1</v>
      </c>
      <c r="Q368" s="25">
        <v>150</v>
      </c>
      <c r="R368" s="27" t="s">
        <v>1679</v>
      </c>
      <c r="S368" s="27" t="s">
        <v>1679</v>
      </c>
      <c r="T368" s="27" t="s">
        <v>1679</v>
      </c>
      <c r="U368" s="16" t="s">
        <v>1679</v>
      </c>
      <c r="V368" s="16">
        <f t="shared" si="12"/>
        <v>0</v>
      </c>
      <c r="W368" s="16">
        <v>0</v>
      </c>
      <c r="X368" s="16">
        <v>0</v>
      </c>
      <c r="Y368" s="16">
        <v>0</v>
      </c>
      <c r="Z368" s="16">
        <v>0</v>
      </c>
      <c r="AD368" s="16" t="s">
        <v>2402</v>
      </c>
    </row>
    <row r="369" customFormat="1" spans="1:29">
      <c r="A369" s="24" t="s">
        <v>2414</v>
      </c>
      <c r="B369" t="s">
        <v>180</v>
      </c>
      <c r="C369" t="s">
        <v>2415</v>
      </c>
      <c r="D369" t="s">
        <v>1656</v>
      </c>
      <c r="E369" s="14">
        <v>85</v>
      </c>
      <c r="F369">
        <v>420</v>
      </c>
      <c r="G369">
        <v>175</v>
      </c>
      <c r="H369">
        <v>0</v>
      </c>
      <c r="I369">
        <v>175</v>
      </c>
      <c r="J369">
        <v>105</v>
      </c>
      <c r="K369">
        <v>0</v>
      </c>
      <c r="L369" s="16">
        <v>120</v>
      </c>
      <c r="M369">
        <v>55</v>
      </c>
      <c r="N369">
        <v>75</v>
      </c>
      <c r="O369">
        <v>35</v>
      </c>
      <c r="P369">
        <v>4</v>
      </c>
      <c r="Q369">
        <v>120</v>
      </c>
      <c r="R369" s="2" t="s">
        <v>2416</v>
      </c>
      <c r="S369" s="12" t="s">
        <v>2417</v>
      </c>
      <c r="T369" s="2" t="s">
        <v>2417</v>
      </c>
      <c r="U369" t="s">
        <v>2418</v>
      </c>
      <c r="V369" s="16">
        <f t="shared" si="12"/>
        <v>32</v>
      </c>
      <c r="W369">
        <v>8</v>
      </c>
      <c r="X369">
        <v>8</v>
      </c>
      <c r="Y369">
        <v>8</v>
      </c>
      <c r="Z369">
        <v>8</v>
      </c>
      <c r="AA369" s="55" t="s">
        <v>2419</v>
      </c>
      <c r="AC369" s="28"/>
    </row>
    <row r="370" customFormat="1" spans="1:29">
      <c r="A370" s="24" t="s">
        <v>2420</v>
      </c>
      <c r="B370" t="s">
        <v>393</v>
      </c>
      <c r="C370" t="s">
        <v>2421</v>
      </c>
      <c r="D370" t="s">
        <v>1656</v>
      </c>
      <c r="E370" s="14">
        <v>85</v>
      </c>
      <c r="F370">
        <v>360</v>
      </c>
      <c r="G370">
        <v>145</v>
      </c>
      <c r="H370">
        <v>0</v>
      </c>
      <c r="I370">
        <v>149</v>
      </c>
      <c r="J370">
        <v>105</v>
      </c>
      <c r="K370">
        <v>0</v>
      </c>
      <c r="L370" s="16">
        <v>90</v>
      </c>
      <c r="M370">
        <v>45</v>
      </c>
      <c r="N370">
        <v>50</v>
      </c>
      <c r="O370">
        <v>36</v>
      </c>
      <c r="P370">
        <v>3</v>
      </c>
      <c r="Q370">
        <v>60</v>
      </c>
      <c r="R370" s="2" t="s">
        <v>2422</v>
      </c>
      <c r="S370" s="12" t="s">
        <v>2423</v>
      </c>
      <c r="T370" s="2" t="s">
        <v>2423</v>
      </c>
      <c r="U370" t="s">
        <v>2423</v>
      </c>
      <c r="V370" s="16">
        <f t="shared" si="12"/>
        <v>48</v>
      </c>
      <c r="W370">
        <v>12</v>
      </c>
      <c r="X370">
        <v>12</v>
      </c>
      <c r="Y370">
        <v>12</v>
      </c>
      <c r="Z370">
        <v>12</v>
      </c>
      <c r="AC370" s="28"/>
    </row>
    <row r="371" s="16" customFormat="1" spans="1:30">
      <c r="A371" s="24" t="s">
        <v>2424</v>
      </c>
      <c r="B371" s="16" t="s">
        <v>2306</v>
      </c>
      <c r="C371" s="16" t="s">
        <v>2425</v>
      </c>
      <c r="D371" s="16" t="s">
        <v>1656</v>
      </c>
      <c r="E371" s="25">
        <v>85</v>
      </c>
      <c r="F371" s="16">
        <v>235</v>
      </c>
      <c r="G371" s="16">
        <v>99</v>
      </c>
      <c r="H371" s="16">
        <v>99</v>
      </c>
      <c r="I371" s="16">
        <v>127</v>
      </c>
      <c r="J371" s="16">
        <v>99</v>
      </c>
      <c r="K371" s="16">
        <v>98</v>
      </c>
      <c r="L371" s="16">
        <v>90</v>
      </c>
      <c r="M371" s="16">
        <v>52</v>
      </c>
      <c r="N371" s="16">
        <v>42</v>
      </c>
      <c r="O371" s="25">
        <v>37</v>
      </c>
      <c r="P371" s="25">
        <v>2</v>
      </c>
      <c r="Q371" s="25">
        <v>60</v>
      </c>
      <c r="R371" s="2" t="s">
        <v>1923</v>
      </c>
      <c r="S371" s="27" t="s">
        <v>2423</v>
      </c>
      <c r="T371" s="27" t="s">
        <v>2423</v>
      </c>
      <c r="U371" s="16" t="s">
        <v>1731</v>
      </c>
      <c r="V371" s="16">
        <f t="shared" si="12"/>
        <v>24</v>
      </c>
      <c r="W371" s="16">
        <v>8</v>
      </c>
      <c r="X371" s="16">
        <v>8</v>
      </c>
      <c r="Y371" s="16">
        <v>8</v>
      </c>
      <c r="Z371" s="16">
        <v>0</v>
      </c>
      <c r="AD371"/>
    </row>
    <row r="372" s="16" customFormat="1" spans="1:30">
      <c r="A372" s="24" t="s">
        <v>2426</v>
      </c>
      <c r="B372" s="16" t="s">
        <v>2306</v>
      </c>
      <c r="C372" s="16" t="s">
        <v>2427</v>
      </c>
      <c r="D372" s="16" t="s">
        <v>1656</v>
      </c>
      <c r="E372" s="25">
        <v>85</v>
      </c>
      <c r="F372" s="16">
        <v>190</v>
      </c>
      <c r="G372" s="16">
        <v>89</v>
      </c>
      <c r="H372" s="16">
        <v>127</v>
      </c>
      <c r="I372" s="16">
        <v>85</v>
      </c>
      <c r="J372" s="16">
        <v>98</v>
      </c>
      <c r="K372" s="16">
        <v>115</v>
      </c>
      <c r="L372" s="16">
        <v>90</v>
      </c>
      <c r="M372" s="25">
        <v>75</v>
      </c>
      <c r="N372" s="25">
        <v>51</v>
      </c>
      <c r="O372" s="25">
        <v>34</v>
      </c>
      <c r="P372" s="25">
        <v>2</v>
      </c>
      <c r="Q372" s="25">
        <v>60</v>
      </c>
      <c r="R372" s="27" t="s">
        <v>1894</v>
      </c>
      <c r="S372" s="27" t="s">
        <v>1895</v>
      </c>
      <c r="T372" s="27" t="s">
        <v>1895</v>
      </c>
      <c r="U372" s="16" t="s">
        <v>1731</v>
      </c>
      <c r="V372" s="16">
        <f t="shared" si="12"/>
        <v>24</v>
      </c>
      <c r="W372" s="16">
        <v>8</v>
      </c>
      <c r="X372" s="16">
        <v>8</v>
      </c>
      <c r="Y372" s="16">
        <v>8</v>
      </c>
      <c r="Z372" s="16">
        <v>0</v>
      </c>
      <c r="AD372"/>
    </row>
    <row r="373" spans="1:29">
      <c r="A373" s="24" t="s">
        <v>2428</v>
      </c>
      <c r="B373" t="s">
        <v>237</v>
      </c>
      <c r="C373" t="s">
        <v>2429</v>
      </c>
      <c r="D373" t="s">
        <v>1656</v>
      </c>
      <c r="E373">
        <v>85</v>
      </c>
      <c r="F373">
        <v>140</v>
      </c>
      <c r="G373">
        <v>128</v>
      </c>
      <c r="H373">
        <v>0</v>
      </c>
      <c r="I373">
        <v>104</v>
      </c>
      <c r="J373" s="14">
        <v>133</v>
      </c>
      <c r="K373">
        <v>0</v>
      </c>
      <c r="L373" s="14">
        <v>90</v>
      </c>
      <c r="M373" s="14">
        <v>60</v>
      </c>
      <c r="N373" s="14">
        <v>50</v>
      </c>
      <c r="O373" s="14">
        <v>32</v>
      </c>
      <c r="P373" s="14">
        <v>1</v>
      </c>
      <c r="Q373" s="14">
        <v>70</v>
      </c>
      <c r="R373" s="2" t="s">
        <v>2430</v>
      </c>
      <c r="S373" s="2" t="s">
        <v>2430</v>
      </c>
      <c r="T373" s="2" t="s">
        <v>2431</v>
      </c>
      <c r="U373" t="s">
        <v>2431</v>
      </c>
      <c r="V373">
        <f t="shared" si="12"/>
        <v>40</v>
      </c>
      <c r="W373" s="14">
        <v>10</v>
      </c>
      <c r="X373" s="14">
        <v>10</v>
      </c>
      <c r="Y373" s="14">
        <v>10</v>
      </c>
      <c r="Z373" s="14">
        <v>10</v>
      </c>
      <c r="AA373" s="18"/>
      <c r="AB373" s="14"/>
      <c r="AC373" s="14"/>
    </row>
    <row r="374" s="16" customFormat="1" spans="1:26">
      <c r="A374" s="24" t="s">
        <v>2432</v>
      </c>
      <c r="B374" s="16" t="s">
        <v>87</v>
      </c>
      <c r="C374" s="16" t="s">
        <v>2433</v>
      </c>
      <c r="D374" s="16" t="s">
        <v>1656</v>
      </c>
      <c r="E374" s="25">
        <v>85</v>
      </c>
      <c r="F374" s="16">
        <v>88</v>
      </c>
      <c r="G374" s="16">
        <v>0</v>
      </c>
      <c r="H374" s="16">
        <v>150</v>
      </c>
      <c r="I374" s="16">
        <v>50</v>
      </c>
      <c r="J374" s="25">
        <v>0</v>
      </c>
      <c r="K374" s="16">
        <v>0</v>
      </c>
      <c r="L374" s="25">
        <v>90</v>
      </c>
      <c r="M374" s="25">
        <v>90</v>
      </c>
      <c r="N374" s="25">
        <v>30</v>
      </c>
      <c r="O374" s="25">
        <v>25</v>
      </c>
      <c r="P374" s="25">
        <v>1</v>
      </c>
      <c r="Q374" s="25">
        <v>60</v>
      </c>
      <c r="R374" s="2" t="s">
        <v>1679</v>
      </c>
      <c r="S374" s="2" t="s">
        <v>1679</v>
      </c>
      <c r="T374" s="2" t="s">
        <v>1679</v>
      </c>
      <c r="V374" s="16">
        <f t="shared" si="12"/>
        <v>0</v>
      </c>
      <c r="W374" s="16">
        <v>0</v>
      </c>
      <c r="X374" s="16">
        <v>0</v>
      </c>
      <c r="Y374" s="16">
        <v>0</v>
      </c>
      <c r="Z374" s="16">
        <v>0</v>
      </c>
    </row>
    <row r="375" customFormat="1" spans="1:29">
      <c r="A375" s="24" t="s">
        <v>2434</v>
      </c>
      <c r="B375" t="s">
        <v>29</v>
      </c>
      <c r="C375" t="s">
        <v>2435</v>
      </c>
      <c r="D375" t="s">
        <v>1656</v>
      </c>
      <c r="E375">
        <v>85</v>
      </c>
      <c r="F375">
        <v>200</v>
      </c>
      <c r="G375">
        <v>140</v>
      </c>
      <c r="H375">
        <v>0</v>
      </c>
      <c r="I375">
        <v>120</v>
      </c>
      <c r="J375" s="14">
        <v>150</v>
      </c>
      <c r="K375">
        <v>0</v>
      </c>
      <c r="L375" s="14">
        <v>90</v>
      </c>
      <c r="M375" s="14">
        <v>78</v>
      </c>
      <c r="N375" s="14">
        <v>70</v>
      </c>
      <c r="O375" s="14">
        <v>33</v>
      </c>
      <c r="P375" s="14">
        <v>1</v>
      </c>
      <c r="Q375" s="14">
        <v>70</v>
      </c>
      <c r="R375" s="2" t="s">
        <v>2067</v>
      </c>
      <c r="S375" s="2" t="s">
        <v>2067</v>
      </c>
      <c r="T375" s="2" t="s">
        <v>2264</v>
      </c>
      <c r="U375" t="s">
        <v>2265</v>
      </c>
      <c r="V375">
        <f t="shared" si="12"/>
        <v>80</v>
      </c>
      <c r="W375" s="14">
        <v>20</v>
      </c>
      <c r="X375" s="14">
        <v>20</v>
      </c>
      <c r="Y375" s="14">
        <v>20</v>
      </c>
      <c r="Z375" s="14">
        <v>20</v>
      </c>
      <c r="AA375" s="18"/>
      <c r="AB375" s="14"/>
      <c r="AC375" s="14"/>
    </row>
    <row r="376" customFormat="1" spans="1:29">
      <c r="A376" s="24" t="s">
        <v>2436</v>
      </c>
      <c r="B376" t="s">
        <v>29</v>
      </c>
      <c r="C376" t="s">
        <v>2437</v>
      </c>
      <c r="D376" t="s">
        <v>1656</v>
      </c>
      <c r="E376">
        <v>95</v>
      </c>
      <c r="F376">
        <v>366</v>
      </c>
      <c r="G376">
        <v>188</v>
      </c>
      <c r="H376">
        <v>0</v>
      </c>
      <c r="I376">
        <v>200</v>
      </c>
      <c r="J376" s="14">
        <v>208</v>
      </c>
      <c r="K376">
        <v>0</v>
      </c>
      <c r="L376" s="14">
        <v>100</v>
      </c>
      <c r="M376" s="14">
        <v>90</v>
      </c>
      <c r="N376" s="14">
        <v>80</v>
      </c>
      <c r="O376" s="14">
        <v>31</v>
      </c>
      <c r="P376" s="14">
        <v>1</v>
      </c>
      <c r="Q376" s="14">
        <v>90</v>
      </c>
      <c r="R376" t="s">
        <v>2438</v>
      </c>
      <c r="S376" t="s">
        <v>2439</v>
      </c>
      <c r="T376" s="2" t="s">
        <v>2439</v>
      </c>
      <c r="U376" t="s">
        <v>2439</v>
      </c>
      <c r="V376">
        <f t="shared" si="12"/>
        <v>80</v>
      </c>
      <c r="W376" s="14">
        <v>20</v>
      </c>
      <c r="X376" s="14">
        <v>20</v>
      </c>
      <c r="Y376" s="14">
        <v>20</v>
      </c>
      <c r="Z376" s="14">
        <v>20</v>
      </c>
      <c r="AA376" s="18"/>
      <c r="AB376" s="14"/>
      <c r="AC376" s="14"/>
    </row>
    <row r="377" s="16" customFormat="1" spans="1:26">
      <c r="A377" s="24" t="s">
        <v>2440</v>
      </c>
      <c r="B377" s="16" t="s">
        <v>87</v>
      </c>
      <c r="C377" s="16" t="s">
        <v>2441</v>
      </c>
      <c r="D377" s="16" t="s">
        <v>1656</v>
      </c>
      <c r="E377" s="25">
        <v>1</v>
      </c>
      <c r="F377" s="16">
        <v>20</v>
      </c>
      <c r="G377" s="16">
        <v>0</v>
      </c>
      <c r="H377" s="16">
        <v>42</v>
      </c>
      <c r="I377" s="16">
        <v>9</v>
      </c>
      <c r="J377" s="25">
        <v>0</v>
      </c>
      <c r="K377" s="16">
        <v>0</v>
      </c>
      <c r="L377" s="25">
        <v>15</v>
      </c>
      <c r="M377" s="25">
        <v>99</v>
      </c>
      <c r="N377" s="25">
        <v>6</v>
      </c>
      <c r="O377" s="25">
        <v>10</v>
      </c>
      <c r="P377" s="25">
        <v>1</v>
      </c>
      <c r="Q377" s="25">
        <v>300</v>
      </c>
      <c r="R377" s="27"/>
      <c r="S377" s="27"/>
      <c r="T377" s="27"/>
      <c r="V377" s="16">
        <f t="shared" si="12"/>
        <v>0</v>
      </c>
      <c r="W377" s="16">
        <v>0</v>
      </c>
      <c r="X377" s="16">
        <v>0</v>
      </c>
      <c r="Y377" s="16">
        <v>0</v>
      </c>
      <c r="Z377" s="16">
        <v>0</v>
      </c>
    </row>
    <row r="378" s="16" customFormat="1" spans="1:26">
      <c r="A378" s="24" t="s">
        <v>2442</v>
      </c>
      <c r="B378" s="16" t="s">
        <v>87</v>
      </c>
      <c r="C378" s="16" t="s">
        <v>2441</v>
      </c>
      <c r="D378" s="16" t="s">
        <v>1656</v>
      </c>
      <c r="E378" s="25">
        <v>1</v>
      </c>
      <c r="F378" s="16">
        <v>20</v>
      </c>
      <c r="G378" s="16">
        <v>0</v>
      </c>
      <c r="H378" s="16">
        <v>42</v>
      </c>
      <c r="I378" s="16">
        <v>999</v>
      </c>
      <c r="J378" s="25">
        <v>0</v>
      </c>
      <c r="K378" s="16">
        <v>0</v>
      </c>
      <c r="L378" s="25">
        <v>15</v>
      </c>
      <c r="M378" s="25">
        <v>999</v>
      </c>
      <c r="N378" s="25">
        <v>6</v>
      </c>
      <c r="O378" s="25">
        <v>10</v>
      </c>
      <c r="P378" s="25">
        <v>1</v>
      </c>
      <c r="Q378" s="25">
        <v>300</v>
      </c>
      <c r="R378" s="27"/>
      <c r="S378" s="27"/>
      <c r="T378" s="27"/>
      <c r="V378" s="16">
        <f t="shared" si="12"/>
        <v>0</v>
      </c>
      <c r="W378" s="16">
        <v>0</v>
      </c>
      <c r="X378" s="16">
        <v>0</v>
      </c>
      <c r="Y378" s="16">
        <v>0</v>
      </c>
      <c r="Z378" s="16">
        <v>0</v>
      </c>
    </row>
    <row r="379" s="16" customFormat="1" spans="1:27">
      <c r="A379" s="24" t="s">
        <v>2443</v>
      </c>
      <c r="B379" s="16" t="s">
        <v>350</v>
      </c>
      <c r="C379" s="16" t="s">
        <v>2444</v>
      </c>
      <c r="D379" s="16" t="s">
        <v>1656</v>
      </c>
      <c r="E379" s="25">
        <v>100</v>
      </c>
      <c r="F379" s="16">
        <v>540</v>
      </c>
      <c r="G379" s="16">
        <v>190</v>
      </c>
      <c r="H379" s="16">
        <v>0</v>
      </c>
      <c r="I379" s="16">
        <v>205</v>
      </c>
      <c r="J379" s="16">
        <v>165</v>
      </c>
      <c r="K379" s="16">
        <v>0</v>
      </c>
      <c r="L379" s="16">
        <v>130</v>
      </c>
      <c r="M379" s="16">
        <v>82</v>
      </c>
      <c r="N379" s="16">
        <v>42</v>
      </c>
      <c r="O379" s="25">
        <v>30</v>
      </c>
      <c r="P379" s="25">
        <v>3</v>
      </c>
      <c r="Q379" s="25">
        <v>150</v>
      </c>
      <c r="R379" s="27" t="s">
        <v>2320</v>
      </c>
      <c r="S379" s="27" t="s">
        <v>2321</v>
      </c>
      <c r="T379" s="27" t="s">
        <v>2321</v>
      </c>
      <c r="U379" s="16" t="s">
        <v>2321</v>
      </c>
      <c r="V379" s="16">
        <f t="shared" si="12"/>
        <v>32</v>
      </c>
      <c r="W379" s="16">
        <v>8</v>
      </c>
      <c r="X379" s="16">
        <v>8</v>
      </c>
      <c r="Y379" s="16">
        <v>8</v>
      </c>
      <c r="Z379" s="16">
        <v>8</v>
      </c>
      <c r="AA379" s="56" t="s">
        <v>2445</v>
      </c>
    </row>
    <row r="380" s="16" customFormat="1" spans="1:29">
      <c r="A380" s="24" t="s">
        <v>2446</v>
      </c>
      <c r="B380" s="16" t="s">
        <v>199</v>
      </c>
      <c r="C380" s="24" t="s">
        <v>2447</v>
      </c>
      <c r="D380" s="16" t="s">
        <v>1656</v>
      </c>
      <c r="E380" s="16">
        <v>100</v>
      </c>
      <c r="F380" s="16">
        <v>400</v>
      </c>
      <c r="G380" s="16">
        <v>100</v>
      </c>
      <c r="H380" s="16">
        <v>210</v>
      </c>
      <c r="I380" s="16">
        <v>75</v>
      </c>
      <c r="J380" s="16">
        <v>101</v>
      </c>
      <c r="K380">
        <v>0</v>
      </c>
      <c r="L380" s="16">
        <v>130</v>
      </c>
      <c r="M380" s="16">
        <v>50</v>
      </c>
      <c r="N380" s="16">
        <v>55</v>
      </c>
      <c r="O380" s="16">
        <v>19</v>
      </c>
      <c r="P380" s="16">
        <v>1</v>
      </c>
      <c r="Q380" s="16">
        <v>150</v>
      </c>
      <c r="R380" s="27" t="s">
        <v>2448</v>
      </c>
      <c r="S380" s="16" t="s">
        <v>2449</v>
      </c>
      <c r="T380" s="16" t="s">
        <v>2449</v>
      </c>
      <c r="U380" s="16" t="s">
        <v>1679</v>
      </c>
      <c r="V380" s="16">
        <f t="shared" si="12"/>
        <v>24</v>
      </c>
      <c r="W380" s="16">
        <v>6</v>
      </c>
      <c r="X380" s="16">
        <v>6</v>
      </c>
      <c r="Y380" s="16">
        <v>6</v>
      </c>
      <c r="Z380" s="16">
        <v>6</v>
      </c>
      <c r="AA380" s="56" t="s">
        <v>2450</v>
      </c>
      <c r="AC380" s="29"/>
    </row>
    <row r="381" s="16" customFormat="1" spans="1:29">
      <c r="A381" s="24" t="s">
        <v>2451</v>
      </c>
      <c r="B381" s="16" t="s">
        <v>199</v>
      </c>
      <c r="C381" s="24" t="s">
        <v>2452</v>
      </c>
      <c r="D381" s="16" t="s">
        <v>1656</v>
      </c>
      <c r="E381" s="16">
        <v>100</v>
      </c>
      <c r="F381" s="16">
        <v>402</v>
      </c>
      <c r="G381" s="16">
        <v>102</v>
      </c>
      <c r="H381" s="16">
        <v>212</v>
      </c>
      <c r="I381" s="16">
        <v>77</v>
      </c>
      <c r="J381" s="16">
        <v>103</v>
      </c>
      <c r="K381">
        <v>0</v>
      </c>
      <c r="L381" s="16">
        <v>132</v>
      </c>
      <c r="M381" s="16">
        <v>52</v>
      </c>
      <c r="N381" s="16">
        <v>57</v>
      </c>
      <c r="O381" s="16">
        <v>19</v>
      </c>
      <c r="P381" s="16">
        <v>1</v>
      </c>
      <c r="Q381" s="16">
        <v>150</v>
      </c>
      <c r="R381" s="27" t="s">
        <v>2448</v>
      </c>
      <c r="S381" s="16" t="s">
        <v>2449</v>
      </c>
      <c r="T381" s="16" t="s">
        <v>2449</v>
      </c>
      <c r="U381" s="16" t="s">
        <v>1679</v>
      </c>
      <c r="V381" s="16">
        <f t="shared" si="12"/>
        <v>24</v>
      </c>
      <c r="W381" s="16">
        <v>6</v>
      </c>
      <c r="X381" s="16">
        <v>6</v>
      </c>
      <c r="Y381" s="16">
        <v>6</v>
      </c>
      <c r="Z381" s="16">
        <v>6</v>
      </c>
      <c r="AA381" s="56" t="s">
        <v>2450</v>
      </c>
      <c r="AC381" s="29"/>
    </row>
  </sheetData>
  <autoFilter ref="A1:AC381">
    <sortState ref="A1:AC381">
      <sortCondition ref="A1:A267"/>
    </sortState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0"/>
  <sheetViews>
    <sheetView workbookViewId="0">
      <pane xSplit="4" ySplit="1" topLeftCell="E30" activePane="bottomRight" state="frozen"/>
      <selection/>
      <selection pane="topRight"/>
      <selection pane="bottomLeft"/>
      <selection pane="bottomRight" activeCell="C47" sqref="C47"/>
    </sheetView>
  </sheetViews>
  <sheetFormatPr defaultColWidth="8.83333333333333" defaultRowHeight="14.25"/>
  <cols>
    <col min="1" max="1" width="9" style="1" customWidth="1"/>
    <col min="2" max="2" width="13.5" customWidth="1"/>
    <col min="3" max="3" width="19" customWidth="1"/>
    <col min="4" max="4" width="15" customWidth="1"/>
    <col min="24" max="24" width="60" customWidth="1"/>
  </cols>
  <sheetData>
    <row r="1" spans="1:24">
      <c r="A1" s="1" t="s">
        <v>423</v>
      </c>
      <c r="B1" t="s">
        <v>424</v>
      </c>
      <c r="C1" t="s">
        <v>2</v>
      </c>
      <c r="D1" t="s">
        <v>425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12</v>
      </c>
      <c r="K1" t="s">
        <v>10</v>
      </c>
      <c r="L1" t="s">
        <v>14</v>
      </c>
      <c r="M1" t="s">
        <v>426</v>
      </c>
      <c r="N1" t="s">
        <v>15</v>
      </c>
      <c r="O1" t="s">
        <v>427</v>
      </c>
      <c r="P1" t="s">
        <v>8</v>
      </c>
      <c r="Q1" t="s">
        <v>428</v>
      </c>
      <c r="R1" t="s">
        <v>429</v>
      </c>
      <c r="S1" t="s">
        <v>430</v>
      </c>
      <c r="T1" t="s">
        <v>431</v>
      </c>
      <c r="U1" t="s">
        <v>432</v>
      </c>
      <c r="V1" t="s">
        <v>433</v>
      </c>
      <c r="W1" t="s">
        <v>435</v>
      </c>
      <c r="X1" s="1" t="s">
        <v>438</v>
      </c>
    </row>
    <row r="2" spans="1:17">
      <c r="A2" s="1" t="s">
        <v>1658</v>
      </c>
      <c r="B2" t="s">
        <v>440</v>
      </c>
      <c r="C2" t="s">
        <v>1660</v>
      </c>
      <c r="D2" t="s">
        <v>442</v>
      </c>
      <c r="F2">
        <v>1</v>
      </c>
      <c r="L2">
        <v>1</v>
      </c>
      <c r="Q2">
        <v>2</v>
      </c>
    </row>
    <row r="3" spans="1:17">
      <c r="A3" s="1" t="s">
        <v>1661</v>
      </c>
      <c r="B3" t="s">
        <v>440</v>
      </c>
      <c r="C3" t="s">
        <v>1675</v>
      </c>
      <c r="D3" t="s">
        <v>442</v>
      </c>
      <c r="F3">
        <v>2</v>
      </c>
      <c r="L3">
        <v>1</v>
      </c>
      <c r="Q3">
        <v>2</v>
      </c>
    </row>
    <row r="4" spans="1:17">
      <c r="A4" s="1" t="s">
        <v>1664</v>
      </c>
      <c r="B4" t="s">
        <v>440</v>
      </c>
      <c r="C4" t="s">
        <v>1793</v>
      </c>
      <c r="D4" t="s">
        <v>442</v>
      </c>
      <c r="F4">
        <v>1</v>
      </c>
      <c r="L4">
        <v>1</v>
      </c>
      <c r="P4">
        <v>1</v>
      </c>
      <c r="Q4">
        <v>2</v>
      </c>
    </row>
    <row r="5" spans="1:17">
      <c r="A5" s="1" t="s">
        <v>1669</v>
      </c>
      <c r="B5" t="s">
        <v>440</v>
      </c>
      <c r="C5" t="s">
        <v>1731</v>
      </c>
      <c r="D5" t="s">
        <v>442</v>
      </c>
      <c r="F5">
        <v>2</v>
      </c>
      <c r="L5">
        <v>2</v>
      </c>
      <c r="P5">
        <v>2</v>
      </c>
      <c r="Q5">
        <v>2</v>
      </c>
    </row>
    <row r="6" spans="1:17">
      <c r="A6" s="1" t="s">
        <v>1673</v>
      </c>
      <c r="B6" t="s">
        <v>440</v>
      </c>
      <c r="C6" t="s">
        <v>1748</v>
      </c>
      <c r="D6" t="s">
        <v>442</v>
      </c>
      <c r="F6">
        <v>8</v>
      </c>
      <c r="L6">
        <v>2</v>
      </c>
      <c r="P6">
        <v>2</v>
      </c>
      <c r="Q6">
        <v>2</v>
      </c>
    </row>
    <row r="7" spans="1:17">
      <c r="A7" s="1" t="s">
        <v>1677</v>
      </c>
      <c r="B7" t="s">
        <v>440</v>
      </c>
      <c r="C7" t="s">
        <v>1715</v>
      </c>
      <c r="D7" t="s">
        <v>442</v>
      </c>
      <c r="F7">
        <v>3</v>
      </c>
      <c r="L7">
        <v>2</v>
      </c>
      <c r="P7">
        <v>3</v>
      </c>
      <c r="Q7">
        <v>2</v>
      </c>
    </row>
    <row r="8" spans="1:18">
      <c r="A8" s="1" t="s">
        <v>1680</v>
      </c>
      <c r="B8" t="s">
        <v>440</v>
      </c>
      <c r="C8" t="s">
        <v>2418</v>
      </c>
      <c r="D8" t="s">
        <v>442</v>
      </c>
      <c r="F8">
        <v>10</v>
      </c>
      <c r="L8">
        <v>3</v>
      </c>
      <c r="P8">
        <v>4</v>
      </c>
      <c r="Q8">
        <v>2</v>
      </c>
      <c r="R8">
        <v>0.2</v>
      </c>
    </row>
    <row r="9" spans="1:18">
      <c r="A9" s="1" t="s">
        <v>1682</v>
      </c>
      <c r="B9" t="s">
        <v>440</v>
      </c>
      <c r="C9" t="s">
        <v>1758</v>
      </c>
      <c r="D9" t="s">
        <v>442</v>
      </c>
      <c r="F9">
        <v>15</v>
      </c>
      <c r="L9">
        <v>3</v>
      </c>
      <c r="P9">
        <v>4</v>
      </c>
      <c r="Q9">
        <v>2</v>
      </c>
      <c r="R9">
        <v>0.2</v>
      </c>
    </row>
    <row r="10" spans="1:18">
      <c r="A10" s="1" t="s">
        <v>1684</v>
      </c>
      <c r="B10" t="s">
        <v>440</v>
      </c>
      <c r="C10" t="s">
        <v>1762</v>
      </c>
      <c r="D10" t="s">
        <v>442</v>
      </c>
      <c r="F10">
        <v>20</v>
      </c>
      <c r="L10">
        <v>3</v>
      </c>
      <c r="P10">
        <v>5</v>
      </c>
      <c r="Q10">
        <v>2</v>
      </c>
      <c r="R10">
        <v>0.2</v>
      </c>
    </row>
    <row r="11" spans="1:17">
      <c r="A11" s="1" t="s">
        <v>1686</v>
      </c>
      <c r="B11" t="s">
        <v>2453</v>
      </c>
      <c r="C11" t="s">
        <v>2454</v>
      </c>
      <c r="D11" t="s">
        <v>2455</v>
      </c>
      <c r="F11">
        <v>1</v>
      </c>
      <c r="L11">
        <v>1</v>
      </c>
      <c r="P11">
        <v>2</v>
      </c>
      <c r="Q11">
        <v>2</v>
      </c>
    </row>
    <row r="12" spans="1:17">
      <c r="A12" s="1" t="s">
        <v>1688</v>
      </c>
      <c r="B12" t="s">
        <v>2453</v>
      </c>
      <c r="C12" t="s">
        <v>2456</v>
      </c>
      <c r="D12" t="s">
        <v>2455</v>
      </c>
      <c r="F12">
        <v>1</v>
      </c>
      <c r="L12">
        <v>2</v>
      </c>
      <c r="Q12">
        <v>2</v>
      </c>
    </row>
    <row r="13" spans="1:17">
      <c r="A13" s="1" t="s">
        <v>1690</v>
      </c>
      <c r="B13" t="s">
        <v>2453</v>
      </c>
      <c r="C13" t="s">
        <v>1759</v>
      </c>
      <c r="D13" t="s">
        <v>2455</v>
      </c>
      <c r="F13">
        <v>7</v>
      </c>
      <c r="L13">
        <v>2</v>
      </c>
      <c r="P13">
        <v>3</v>
      </c>
      <c r="Q13">
        <v>2</v>
      </c>
    </row>
    <row r="14" spans="1:17">
      <c r="A14" s="1" t="s">
        <v>1692</v>
      </c>
      <c r="B14" t="s">
        <v>528</v>
      </c>
      <c r="C14" t="s">
        <v>1676</v>
      </c>
      <c r="D14" t="s">
        <v>6</v>
      </c>
      <c r="G14">
        <v>2</v>
      </c>
      <c r="L14">
        <v>1</v>
      </c>
      <c r="Q14">
        <v>2</v>
      </c>
    </row>
    <row r="15" spans="1:17">
      <c r="A15" s="1" t="s">
        <v>1694</v>
      </c>
      <c r="B15" t="s">
        <v>528</v>
      </c>
      <c r="C15" t="s">
        <v>1663</v>
      </c>
      <c r="D15" t="s">
        <v>6</v>
      </c>
      <c r="G15">
        <v>5</v>
      </c>
      <c r="L15">
        <v>1</v>
      </c>
      <c r="Q15">
        <v>2</v>
      </c>
    </row>
    <row r="16" spans="1:17">
      <c r="A16" s="1" t="s">
        <v>1696</v>
      </c>
      <c r="B16" t="s">
        <v>528</v>
      </c>
      <c r="C16" t="s">
        <v>1679</v>
      </c>
      <c r="D16" t="s">
        <v>6</v>
      </c>
      <c r="G16">
        <v>10</v>
      </c>
      <c r="L16">
        <v>1</v>
      </c>
      <c r="Q16">
        <v>2</v>
      </c>
    </row>
    <row r="17" spans="1:17">
      <c r="A17" s="1" t="s">
        <v>1698</v>
      </c>
      <c r="B17" t="s">
        <v>516</v>
      </c>
      <c r="C17" t="s">
        <v>1702</v>
      </c>
      <c r="D17" t="s">
        <v>518</v>
      </c>
      <c r="G17">
        <v>4</v>
      </c>
      <c r="I17">
        <v>2</v>
      </c>
      <c r="J17">
        <v>5</v>
      </c>
      <c r="Q17">
        <v>2</v>
      </c>
    </row>
    <row r="18" spans="1:17">
      <c r="A18" s="1" t="s">
        <v>1703</v>
      </c>
      <c r="B18" t="s">
        <v>516</v>
      </c>
      <c r="C18" t="s">
        <v>1706</v>
      </c>
      <c r="D18" t="s">
        <v>518</v>
      </c>
      <c r="G18">
        <v>6</v>
      </c>
      <c r="I18">
        <v>4</v>
      </c>
      <c r="J18">
        <v>5</v>
      </c>
      <c r="Q18">
        <v>2</v>
      </c>
    </row>
    <row r="19" spans="1:17">
      <c r="A19" s="1" t="s">
        <v>1708</v>
      </c>
      <c r="B19" t="s">
        <v>516</v>
      </c>
      <c r="C19" t="s">
        <v>1886</v>
      </c>
      <c r="D19" t="s">
        <v>518</v>
      </c>
      <c r="G19">
        <v>11</v>
      </c>
      <c r="I19">
        <v>7</v>
      </c>
      <c r="J19">
        <v>5</v>
      </c>
      <c r="P19">
        <v>4</v>
      </c>
      <c r="Q19">
        <v>2</v>
      </c>
    </row>
    <row r="20" spans="1:17">
      <c r="A20" s="1" t="s">
        <v>1710</v>
      </c>
      <c r="B20" t="s">
        <v>559</v>
      </c>
      <c r="C20" t="s">
        <v>1700</v>
      </c>
      <c r="D20" t="s">
        <v>561</v>
      </c>
      <c r="P20">
        <v>2</v>
      </c>
      <c r="Q20">
        <v>2</v>
      </c>
    </row>
    <row r="21" spans="1:17">
      <c r="A21" s="1" t="s">
        <v>1713</v>
      </c>
      <c r="B21" t="s">
        <v>559</v>
      </c>
      <c r="C21" t="s">
        <v>1705</v>
      </c>
      <c r="D21" t="s">
        <v>561</v>
      </c>
      <c r="P21">
        <v>5</v>
      </c>
      <c r="Q21">
        <v>2</v>
      </c>
    </row>
    <row r="22" spans="1:17">
      <c r="A22" s="1" t="s">
        <v>1717</v>
      </c>
      <c r="B22" t="s">
        <v>559</v>
      </c>
      <c r="C22" t="s">
        <v>1712</v>
      </c>
      <c r="D22" t="s">
        <v>561</v>
      </c>
      <c r="P22">
        <v>9</v>
      </c>
      <c r="Q22">
        <v>2</v>
      </c>
    </row>
    <row r="23" spans="1:17">
      <c r="A23" s="1" t="s">
        <v>1719</v>
      </c>
      <c r="B23" t="s">
        <v>559</v>
      </c>
      <c r="C23" t="s">
        <v>1885</v>
      </c>
      <c r="D23" t="s">
        <v>561</v>
      </c>
      <c r="P23">
        <v>13</v>
      </c>
      <c r="Q23">
        <v>2</v>
      </c>
    </row>
    <row r="24" spans="1:17">
      <c r="A24" s="1" t="s">
        <v>1721</v>
      </c>
      <c r="B24" t="s">
        <v>454</v>
      </c>
      <c r="C24" t="s">
        <v>1701</v>
      </c>
      <c r="D24" t="s">
        <v>456</v>
      </c>
      <c r="I24">
        <v>1</v>
      </c>
      <c r="O24">
        <v>3</v>
      </c>
      <c r="Q24">
        <v>2</v>
      </c>
    </row>
    <row r="25" spans="1:17">
      <c r="A25" s="1" t="s">
        <v>1723</v>
      </c>
      <c r="B25" t="s">
        <v>454</v>
      </c>
      <c r="C25" t="s">
        <v>1707</v>
      </c>
      <c r="D25" t="s">
        <v>456</v>
      </c>
      <c r="I25">
        <v>2</v>
      </c>
      <c r="O25">
        <v>6</v>
      </c>
      <c r="Q25">
        <v>2</v>
      </c>
    </row>
    <row r="26" spans="1:17">
      <c r="A26" s="1" t="s">
        <v>1725</v>
      </c>
      <c r="B26" t="s">
        <v>735</v>
      </c>
      <c r="C26" t="s">
        <v>1716</v>
      </c>
      <c r="D26" t="s">
        <v>737</v>
      </c>
      <c r="I26">
        <v>1</v>
      </c>
      <c r="J26">
        <v>5</v>
      </c>
      <c r="O26">
        <v>1</v>
      </c>
      <c r="P26">
        <v>1</v>
      </c>
      <c r="Q26">
        <v>2</v>
      </c>
    </row>
    <row r="27" spans="1:17">
      <c r="A27" s="1" t="s">
        <v>1727</v>
      </c>
      <c r="B27" t="s">
        <v>735</v>
      </c>
      <c r="C27" t="s">
        <v>1755</v>
      </c>
      <c r="D27" t="s">
        <v>737</v>
      </c>
      <c r="I27">
        <v>2</v>
      </c>
      <c r="J27">
        <v>10</v>
      </c>
      <c r="O27">
        <v>4</v>
      </c>
      <c r="P27">
        <v>2</v>
      </c>
      <c r="Q27">
        <v>2</v>
      </c>
    </row>
    <row r="28" spans="1:18">
      <c r="A28" s="1" t="s">
        <v>1729</v>
      </c>
      <c r="B28" t="s">
        <v>459</v>
      </c>
      <c r="C28" t="s">
        <v>2457</v>
      </c>
      <c r="D28" t="s">
        <v>461</v>
      </c>
      <c r="J28">
        <v>5</v>
      </c>
      <c r="K28">
        <v>5</v>
      </c>
      <c r="P28">
        <v>5</v>
      </c>
      <c r="Q28">
        <v>2</v>
      </c>
      <c r="R28">
        <v>0.5</v>
      </c>
    </row>
    <row r="29" spans="1:18">
      <c r="A29" s="1" t="s">
        <v>1732</v>
      </c>
      <c r="B29" t="s">
        <v>459</v>
      </c>
      <c r="C29" t="s">
        <v>2458</v>
      </c>
      <c r="D29" t="s">
        <v>461</v>
      </c>
      <c r="J29">
        <v>5</v>
      </c>
      <c r="K29">
        <v>10</v>
      </c>
      <c r="Q29">
        <v>2</v>
      </c>
      <c r="R29">
        <v>0.2</v>
      </c>
    </row>
    <row r="30" spans="1:18">
      <c r="A30" s="1" t="s">
        <v>1734</v>
      </c>
      <c r="B30" t="s">
        <v>459</v>
      </c>
      <c r="C30" t="s">
        <v>1666</v>
      </c>
      <c r="D30" t="s">
        <v>461</v>
      </c>
      <c r="J30">
        <v>10</v>
      </c>
      <c r="K30">
        <v>15</v>
      </c>
      <c r="Q30">
        <v>2</v>
      </c>
      <c r="R30">
        <v>0.5</v>
      </c>
    </row>
    <row r="31" spans="1:18">
      <c r="A31" s="1" t="s">
        <v>1736</v>
      </c>
      <c r="B31" t="s">
        <v>459</v>
      </c>
      <c r="C31" t="s">
        <v>1657</v>
      </c>
      <c r="D31" t="s">
        <v>461</v>
      </c>
      <c r="J31">
        <v>10</v>
      </c>
      <c r="K31">
        <v>5</v>
      </c>
      <c r="P31">
        <v>10</v>
      </c>
      <c r="Q31">
        <v>2</v>
      </c>
      <c r="R31">
        <v>0.2</v>
      </c>
    </row>
    <row r="32" spans="1:18">
      <c r="A32" s="1" t="s">
        <v>1738</v>
      </c>
      <c r="B32" t="s">
        <v>459</v>
      </c>
      <c r="C32" t="s">
        <v>1671</v>
      </c>
      <c r="D32" t="s">
        <v>461</v>
      </c>
      <c r="I32">
        <v>5</v>
      </c>
      <c r="J32">
        <v>16</v>
      </c>
      <c r="K32">
        <v>24</v>
      </c>
      <c r="M32">
        <v>3</v>
      </c>
      <c r="P32">
        <v>5</v>
      </c>
      <c r="Q32">
        <v>2</v>
      </c>
      <c r="R32">
        <v>0.5</v>
      </c>
    </row>
    <row r="33" spans="1:18">
      <c r="A33" s="1" t="s">
        <v>1740</v>
      </c>
      <c r="B33" t="s">
        <v>459</v>
      </c>
      <c r="C33" t="s">
        <v>1841</v>
      </c>
      <c r="D33" t="s">
        <v>461</v>
      </c>
      <c r="I33">
        <v>5</v>
      </c>
      <c r="J33">
        <v>12</v>
      </c>
      <c r="K33">
        <v>16</v>
      </c>
      <c r="M33">
        <v>2</v>
      </c>
      <c r="P33">
        <v>18</v>
      </c>
      <c r="Q33">
        <v>2</v>
      </c>
      <c r="R33">
        <v>0.2</v>
      </c>
    </row>
    <row r="34" spans="1:17">
      <c r="A34" s="1" t="s">
        <v>1742</v>
      </c>
      <c r="B34" t="s">
        <v>467</v>
      </c>
      <c r="C34" t="s">
        <v>2459</v>
      </c>
      <c r="D34" t="s">
        <v>469</v>
      </c>
      <c r="M34">
        <v>10</v>
      </c>
      <c r="Q34">
        <v>2</v>
      </c>
    </row>
    <row r="35" spans="1:17">
      <c r="A35" s="1" t="s">
        <v>1744</v>
      </c>
      <c r="B35" t="s">
        <v>467</v>
      </c>
      <c r="C35" t="s">
        <v>2460</v>
      </c>
      <c r="D35" t="s">
        <v>469</v>
      </c>
      <c r="M35">
        <v>15</v>
      </c>
      <c r="Q35">
        <v>2</v>
      </c>
    </row>
    <row r="36" spans="1:17">
      <c r="A36" s="1" t="s">
        <v>1746</v>
      </c>
      <c r="B36" t="s">
        <v>502</v>
      </c>
      <c r="C36" t="s">
        <v>2012</v>
      </c>
      <c r="D36" t="s">
        <v>504</v>
      </c>
      <c r="P36">
        <v>10</v>
      </c>
      <c r="Q36">
        <v>2</v>
      </c>
    </row>
    <row r="37" spans="1:17">
      <c r="A37" s="1" t="s">
        <v>1749</v>
      </c>
      <c r="B37" t="s">
        <v>502</v>
      </c>
      <c r="C37" t="s">
        <v>2461</v>
      </c>
      <c r="D37" t="s">
        <v>504</v>
      </c>
      <c r="F37">
        <v>15</v>
      </c>
      <c r="K37">
        <v>5</v>
      </c>
      <c r="Q37">
        <v>2</v>
      </c>
    </row>
    <row r="38" spans="1:18">
      <c r="A38" s="1" t="s">
        <v>1751</v>
      </c>
      <c r="B38" t="s">
        <v>449</v>
      </c>
      <c r="C38" t="s">
        <v>2462</v>
      </c>
      <c r="D38" t="s">
        <v>451</v>
      </c>
      <c r="P38">
        <v>2</v>
      </c>
      <c r="Q38">
        <v>2</v>
      </c>
      <c r="R38">
        <v>0.4</v>
      </c>
    </row>
    <row r="39" spans="1:18">
      <c r="A39" s="1" t="s">
        <v>1753</v>
      </c>
      <c r="B39" t="s">
        <v>449</v>
      </c>
      <c r="C39" t="s">
        <v>2463</v>
      </c>
      <c r="D39" t="s">
        <v>451</v>
      </c>
      <c r="P39">
        <v>4</v>
      </c>
      <c r="Q39">
        <v>2</v>
      </c>
      <c r="R39">
        <v>0.4</v>
      </c>
    </row>
    <row r="40" spans="1:18">
      <c r="A40" s="1" t="s">
        <v>1756</v>
      </c>
      <c r="B40" t="s">
        <v>449</v>
      </c>
      <c r="C40" t="s">
        <v>2464</v>
      </c>
      <c r="D40" t="s">
        <v>451</v>
      </c>
      <c r="P40">
        <v>8</v>
      </c>
      <c r="Q40">
        <v>2</v>
      </c>
      <c r="R40">
        <v>0.4</v>
      </c>
    </row>
    <row r="41" spans="1:18">
      <c r="A41" s="1" t="s">
        <v>1760</v>
      </c>
      <c r="B41" t="s">
        <v>449</v>
      </c>
      <c r="C41" t="s">
        <v>2465</v>
      </c>
      <c r="D41" t="s">
        <v>451</v>
      </c>
      <c r="P41">
        <v>12</v>
      </c>
      <c r="Q41">
        <v>2</v>
      </c>
      <c r="R41">
        <v>0.4</v>
      </c>
    </row>
    <row r="42" spans="1:17">
      <c r="A42" s="1" t="s">
        <v>1763</v>
      </c>
      <c r="B42" t="s">
        <v>528</v>
      </c>
      <c r="C42" t="s">
        <v>1837</v>
      </c>
      <c r="D42" t="s">
        <v>6</v>
      </c>
      <c r="G42">
        <v>18</v>
      </c>
      <c r="K42">
        <v>5</v>
      </c>
      <c r="Q42">
        <v>2</v>
      </c>
    </row>
    <row r="43" spans="1:17">
      <c r="A43" s="1" t="s">
        <v>1765</v>
      </c>
      <c r="B43" t="s">
        <v>484</v>
      </c>
      <c r="C43" t="s">
        <v>1668</v>
      </c>
      <c r="D43" t="s">
        <v>486</v>
      </c>
      <c r="I43">
        <v>7</v>
      </c>
      <c r="Q43">
        <v>2</v>
      </c>
    </row>
    <row r="44" spans="1:17">
      <c r="A44" s="1" t="s">
        <v>1767</v>
      </c>
      <c r="B44" t="s">
        <v>463</v>
      </c>
      <c r="C44" t="s">
        <v>1667</v>
      </c>
      <c r="D44" t="s">
        <v>465</v>
      </c>
      <c r="I44">
        <v>9</v>
      </c>
      <c r="Q44">
        <v>2</v>
      </c>
    </row>
    <row r="45" spans="1:17">
      <c r="A45" s="1" t="s">
        <v>1769</v>
      </c>
      <c r="B45" t="s">
        <v>484</v>
      </c>
      <c r="C45" t="s">
        <v>1838</v>
      </c>
      <c r="D45" t="s">
        <v>486</v>
      </c>
      <c r="I45">
        <v>13</v>
      </c>
      <c r="Q45">
        <v>2</v>
      </c>
    </row>
    <row r="46" spans="1:17">
      <c r="A46" s="1" t="s">
        <v>1771</v>
      </c>
      <c r="B46" t="s">
        <v>463</v>
      </c>
      <c r="C46" t="s">
        <v>1672</v>
      </c>
      <c r="D46" t="s">
        <v>465</v>
      </c>
      <c r="I46">
        <v>16</v>
      </c>
      <c r="Q46">
        <v>2</v>
      </c>
    </row>
    <row r="47" spans="1:17">
      <c r="A47" s="1" t="s">
        <v>1773</v>
      </c>
      <c r="B47" t="s">
        <v>454</v>
      </c>
      <c r="C47" t="s">
        <v>1778</v>
      </c>
      <c r="D47" t="s">
        <v>456</v>
      </c>
      <c r="I47">
        <v>7</v>
      </c>
      <c r="O47">
        <v>10</v>
      </c>
      <c r="P47">
        <v>8</v>
      </c>
      <c r="Q47">
        <v>2</v>
      </c>
    </row>
    <row r="48" spans="1:17">
      <c r="A48" s="1" t="s">
        <v>1775</v>
      </c>
      <c r="B48" t="s">
        <v>591</v>
      </c>
      <c r="C48" t="s">
        <v>1894</v>
      </c>
      <c r="D48" t="s">
        <v>593</v>
      </c>
      <c r="F48">
        <v>2</v>
      </c>
      <c r="Q48">
        <v>2</v>
      </c>
    </row>
    <row r="49" spans="1:17">
      <c r="A49" s="1" t="s">
        <v>1779</v>
      </c>
      <c r="B49" t="s">
        <v>591</v>
      </c>
      <c r="C49" t="s">
        <v>1923</v>
      </c>
      <c r="D49" t="s">
        <v>603</v>
      </c>
      <c r="K49">
        <v>3</v>
      </c>
      <c r="Q49">
        <v>2</v>
      </c>
    </row>
    <row r="50" spans="1:17">
      <c r="A50" s="1" t="s">
        <v>1781</v>
      </c>
      <c r="B50" t="s">
        <v>591</v>
      </c>
      <c r="C50" t="s">
        <v>1933</v>
      </c>
      <c r="D50" t="s">
        <v>603</v>
      </c>
      <c r="F50">
        <v>3</v>
      </c>
      <c r="K50">
        <v>1</v>
      </c>
      <c r="Q50">
        <v>2</v>
      </c>
    </row>
    <row r="51" spans="1:17">
      <c r="A51" s="1" t="s">
        <v>1783</v>
      </c>
      <c r="B51" t="s">
        <v>591</v>
      </c>
      <c r="C51" t="s">
        <v>1941</v>
      </c>
      <c r="D51" t="s">
        <v>593</v>
      </c>
      <c r="F51">
        <v>2</v>
      </c>
      <c r="M51">
        <v>2</v>
      </c>
      <c r="Q51">
        <v>2</v>
      </c>
    </row>
    <row r="52" spans="1:19">
      <c r="A52" s="1" t="s">
        <v>1785</v>
      </c>
      <c r="B52" t="s">
        <v>595</v>
      </c>
      <c r="C52" t="s">
        <v>1895</v>
      </c>
      <c r="D52" t="s">
        <v>2466</v>
      </c>
      <c r="F52">
        <v>20</v>
      </c>
      <c r="Q52">
        <v>2</v>
      </c>
      <c r="S52">
        <v>20</v>
      </c>
    </row>
    <row r="53" spans="1:20">
      <c r="A53" s="1" t="s">
        <v>1787</v>
      </c>
      <c r="B53" t="s">
        <v>605</v>
      </c>
      <c r="C53" t="s">
        <v>1924</v>
      </c>
      <c r="D53" t="s">
        <v>607</v>
      </c>
      <c r="F53">
        <v>15</v>
      </c>
      <c r="P53">
        <v>17</v>
      </c>
      <c r="Q53">
        <v>2</v>
      </c>
      <c r="R53">
        <v>0.73</v>
      </c>
      <c r="T53">
        <v>25</v>
      </c>
    </row>
    <row r="54" spans="1:20">
      <c r="A54" s="1" t="s">
        <v>1789</v>
      </c>
      <c r="B54" t="s">
        <v>605</v>
      </c>
      <c r="C54" t="s">
        <v>1934</v>
      </c>
      <c r="D54" t="s">
        <v>607</v>
      </c>
      <c r="F54">
        <v>26</v>
      </c>
      <c r="P54">
        <v>8</v>
      </c>
      <c r="Q54">
        <v>2</v>
      </c>
      <c r="R54">
        <v>0.6</v>
      </c>
      <c r="T54">
        <v>20</v>
      </c>
    </row>
    <row r="55" spans="1:19">
      <c r="A55" s="1" t="s">
        <v>1791</v>
      </c>
      <c r="B55" t="s">
        <v>595</v>
      </c>
      <c r="C55" t="s">
        <v>1942</v>
      </c>
      <c r="D55" t="s">
        <v>2466</v>
      </c>
      <c r="F55">
        <v>18</v>
      </c>
      <c r="Q55">
        <v>2</v>
      </c>
      <c r="S55">
        <v>18</v>
      </c>
    </row>
    <row r="56" customFormat="1" spans="1:23">
      <c r="A56" s="1" t="s">
        <v>1794</v>
      </c>
      <c r="B56" t="s">
        <v>591</v>
      </c>
      <c r="C56" t="s">
        <v>2416</v>
      </c>
      <c r="D56" s="12" t="s">
        <v>593</v>
      </c>
      <c r="F56">
        <v>4</v>
      </c>
      <c r="K56">
        <v>2</v>
      </c>
      <c r="Q56">
        <v>1</v>
      </c>
      <c r="V56" t="s">
        <v>1148</v>
      </c>
      <c r="W56" s="1" t="s">
        <v>1149</v>
      </c>
    </row>
    <row r="57" customFormat="1" spans="1:23">
      <c r="A57" s="1" t="s">
        <v>1796</v>
      </c>
      <c r="B57" t="s">
        <v>1139</v>
      </c>
      <c r="C57" t="s">
        <v>2417</v>
      </c>
      <c r="D57" s="12" t="s">
        <v>1141</v>
      </c>
      <c r="F57">
        <v>25</v>
      </c>
      <c r="Q57">
        <v>1</v>
      </c>
      <c r="S57">
        <v>22</v>
      </c>
      <c r="U57">
        <v>12</v>
      </c>
      <c r="V57" t="s">
        <v>1143</v>
      </c>
      <c r="W57" s="1" t="s">
        <v>1144</v>
      </c>
    </row>
    <row r="58" customFormat="1" spans="1:22">
      <c r="A58" s="1" t="s">
        <v>1798</v>
      </c>
      <c r="B58" t="s">
        <v>591</v>
      </c>
      <c r="C58" t="s">
        <v>2422</v>
      </c>
      <c r="D58" s="12" t="s">
        <v>603</v>
      </c>
      <c r="F58">
        <v>3</v>
      </c>
      <c r="J58">
        <v>5</v>
      </c>
      <c r="K58">
        <v>5</v>
      </c>
      <c r="P58">
        <v>5</v>
      </c>
      <c r="Q58">
        <v>3.5</v>
      </c>
      <c r="R58">
        <v>0.75</v>
      </c>
      <c r="V58" t="s">
        <v>957</v>
      </c>
    </row>
    <row r="59" customFormat="1" spans="1:21">
      <c r="A59" s="1" t="s">
        <v>1800</v>
      </c>
      <c r="B59" t="s">
        <v>605</v>
      </c>
      <c r="C59" t="s">
        <v>2423</v>
      </c>
      <c r="D59" s="12" t="s">
        <v>607</v>
      </c>
      <c r="F59">
        <v>23</v>
      </c>
      <c r="P59">
        <v>16</v>
      </c>
      <c r="Q59">
        <v>3.8</v>
      </c>
      <c r="R59">
        <v>0.8</v>
      </c>
      <c r="T59">
        <v>19</v>
      </c>
      <c r="U59">
        <v>7</v>
      </c>
    </row>
    <row r="60" customFormat="1" spans="1:23">
      <c r="A60" s="1" t="s">
        <v>1802</v>
      </c>
      <c r="B60" t="s">
        <v>516</v>
      </c>
      <c r="C60" t="s">
        <v>2430</v>
      </c>
      <c r="D60" s="12" t="s">
        <v>518</v>
      </c>
      <c r="G60">
        <v>11</v>
      </c>
      <c r="I60">
        <v>16</v>
      </c>
      <c r="J60">
        <v>5</v>
      </c>
      <c r="M60">
        <v>3</v>
      </c>
      <c r="Q60">
        <v>1</v>
      </c>
      <c r="U60">
        <v>5</v>
      </c>
      <c r="V60" t="s">
        <v>1303</v>
      </c>
      <c r="W60" s="1" t="s">
        <v>1304</v>
      </c>
    </row>
    <row r="61" customFormat="1" spans="1:23">
      <c r="A61" s="1" t="s">
        <v>1804</v>
      </c>
      <c r="B61" t="s">
        <v>516</v>
      </c>
      <c r="C61" t="s">
        <v>2431</v>
      </c>
      <c r="D61" s="12" t="s">
        <v>518</v>
      </c>
      <c r="G61">
        <v>10</v>
      </c>
      <c r="I61">
        <v>12</v>
      </c>
      <c r="J61">
        <v>15</v>
      </c>
      <c r="K61">
        <v>6</v>
      </c>
      <c r="M61">
        <v>6</v>
      </c>
      <c r="Q61">
        <v>1</v>
      </c>
      <c r="U61">
        <v>5</v>
      </c>
      <c r="V61" t="s">
        <v>1287</v>
      </c>
      <c r="W61" t="s">
        <v>1288</v>
      </c>
    </row>
    <row r="62" customFormat="1" spans="1:22">
      <c r="A62" s="1" t="s">
        <v>1806</v>
      </c>
      <c r="B62" t="s">
        <v>454</v>
      </c>
      <c r="C62" t="s">
        <v>2067</v>
      </c>
      <c r="D62" s="12" t="s">
        <v>456</v>
      </c>
      <c r="O62">
        <v>13</v>
      </c>
      <c r="P62">
        <v>2</v>
      </c>
      <c r="Q62">
        <v>1</v>
      </c>
      <c r="U62">
        <v>6</v>
      </c>
      <c r="V62" t="s">
        <v>664</v>
      </c>
    </row>
    <row r="63" customFormat="1" spans="1:22">
      <c r="A63" s="1" t="s">
        <v>1809</v>
      </c>
      <c r="B63" t="s">
        <v>516</v>
      </c>
      <c r="C63" t="s">
        <v>2264</v>
      </c>
      <c r="D63" s="12" t="s">
        <v>518</v>
      </c>
      <c r="G63">
        <v>12</v>
      </c>
      <c r="J63">
        <v>1</v>
      </c>
      <c r="K63">
        <v>1</v>
      </c>
      <c r="M63">
        <v>1</v>
      </c>
      <c r="Q63">
        <v>1</v>
      </c>
      <c r="U63">
        <v>6</v>
      </c>
      <c r="V63" t="s">
        <v>664</v>
      </c>
    </row>
    <row r="64" customFormat="1" spans="1:22">
      <c r="A64" s="1" t="s">
        <v>1811</v>
      </c>
      <c r="B64" t="s">
        <v>559</v>
      </c>
      <c r="C64" t="s">
        <v>2265</v>
      </c>
      <c r="D64" s="12" t="s">
        <v>561</v>
      </c>
      <c r="M64">
        <v>3</v>
      </c>
      <c r="P64">
        <v>12</v>
      </c>
      <c r="Q64">
        <v>1</v>
      </c>
      <c r="U64">
        <v>6</v>
      </c>
      <c r="V64" t="s">
        <v>664</v>
      </c>
    </row>
    <row r="65" customFormat="1" spans="1:22">
      <c r="A65" s="1" t="s">
        <v>1813</v>
      </c>
      <c r="B65" t="s">
        <v>559</v>
      </c>
      <c r="C65" t="s">
        <v>2438</v>
      </c>
      <c r="D65" s="12" t="s">
        <v>561</v>
      </c>
      <c r="P65">
        <v>15</v>
      </c>
      <c r="Q65">
        <v>1</v>
      </c>
      <c r="U65">
        <v>8</v>
      </c>
      <c r="V65" t="s">
        <v>587</v>
      </c>
    </row>
    <row r="66" customFormat="1" spans="1:22">
      <c r="A66" s="1" t="s">
        <v>1815</v>
      </c>
      <c r="B66" t="s">
        <v>454</v>
      </c>
      <c r="C66" t="s">
        <v>2439</v>
      </c>
      <c r="D66" t="s">
        <v>456</v>
      </c>
      <c r="I66">
        <v>1</v>
      </c>
      <c r="K66">
        <v>2</v>
      </c>
      <c r="O66">
        <v>15</v>
      </c>
      <c r="Q66">
        <v>1</v>
      </c>
      <c r="U66">
        <v>7</v>
      </c>
      <c r="V66" t="s">
        <v>638</v>
      </c>
    </row>
    <row r="67" customFormat="1" spans="1:22">
      <c r="A67" s="1" t="s">
        <v>1817</v>
      </c>
      <c r="B67" t="s">
        <v>595</v>
      </c>
      <c r="C67" t="s">
        <v>2321</v>
      </c>
      <c r="D67" s="12" t="s">
        <v>597</v>
      </c>
      <c r="F67">
        <v>21</v>
      </c>
      <c r="Q67">
        <v>1</v>
      </c>
      <c r="S67">
        <v>24</v>
      </c>
      <c r="U67">
        <v>8</v>
      </c>
      <c r="V67" t="s">
        <v>587</v>
      </c>
    </row>
    <row r="68" customFormat="1" spans="1:17">
      <c r="A68" s="1" t="s">
        <v>1819</v>
      </c>
      <c r="B68" t="s">
        <v>591</v>
      </c>
      <c r="C68" t="s">
        <v>2320</v>
      </c>
      <c r="D68" s="12" t="s">
        <v>593</v>
      </c>
      <c r="K68">
        <v>2</v>
      </c>
      <c r="M68">
        <v>2</v>
      </c>
      <c r="Q68">
        <v>1</v>
      </c>
    </row>
    <row r="69" spans="1:27">
      <c r="A69" s="1" t="s">
        <v>1821</v>
      </c>
      <c r="B69" t="s">
        <v>595</v>
      </c>
      <c r="C69" t="s">
        <v>2449</v>
      </c>
      <c r="D69" s="12" t="s">
        <v>597</v>
      </c>
      <c r="F69">
        <v>22</v>
      </c>
      <c r="M69">
        <v>1</v>
      </c>
      <c r="Q69">
        <v>1</v>
      </c>
      <c r="S69">
        <v>23</v>
      </c>
      <c r="U69">
        <v>9</v>
      </c>
      <c r="V69" s="1" t="s">
        <v>1434</v>
      </c>
      <c r="X69" s="13"/>
      <c r="Z69" t="s">
        <v>1435</v>
      </c>
      <c r="AA69" s="1" t="s">
        <v>1436</v>
      </c>
    </row>
    <row r="70" spans="1:27">
      <c r="A70" s="1" t="s">
        <v>1823</v>
      </c>
      <c r="B70" t="s">
        <v>591</v>
      </c>
      <c r="C70" t="s">
        <v>2448</v>
      </c>
      <c r="D70" s="12" t="s">
        <v>593</v>
      </c>
      <c r="F70">
        <v>4</v>
      </c>
      <c r="K70">
        <v>2</v>
      </c>
      <c r="Q70">
        <v>1</v>
      </c>
      <c r="V70" s="1" t="s">
        <v>1439</v>
      </c>
      <c r="X70" s="13"/>
      <c r="Z70" t="s">
        <v>1440</v>
      </c>
      <c r="AA70" s="1" t="s">
        <v>1441</v>
      </c>
    </row>
  </sheetData>
  <autoFilter ref="A1:W70"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5"/>
  <sheetViews>
    <sheetView workbookViewId="0">
      <pane xSplit="5" ySplit="1" topLeftCell="F5" activePane="bottomRight" state="frozen"/>
      <selection/>
      <selection pane="topRight"/>
      <selection pane="bottomLeft"/>
      <selection pane="bottomRight" activeCell="G20" sqref="G20"/>
    </sheetView>
  </sheetViews>
  <sheetFormatPr defaultColWidth="8.83333333333333" defaultRowHeight="14.25"/>
  <cols>
    <col min="1" max="2" width="9" style="1" customWidth="1"/>
    <col min="3" max="3" width="12.5" style="1" customWidth="1"/>
    <col min="4" max="5" width="9" style="2" customWidth="1"/>
    <col min="6" max="6" width="9" style="3" customWidth="1"/>
    <col min="7" max="12" width="9" style="1" customWidth="1"/>
    <col min="13" max="13" width="11" style="4" customWidth="1"/>
    <col min="14" max="17" width="11" style="1" customWidth="1"/>
    <col min="18" max="18" width="11" style="5" customWidth="1"/>
    <col min="19" max="19" width="9" style="6" customWidth="1"/>
    <col min="20" max="25" width="9" style="1" customWidth="1"/>
    <col min="26" max="26" width="11" style="4" customWidth="1"/>
    <col min="27" max="30" width="11" style="1" customWidth="1"/>
    <col min="31" max="31" width="11" style="5" customWidth="1"/>
    <col min="32" max="32" width="9" style="6" customWidth="1"/>
    <col min="33" max="38" width="9" style="1" customWidth="1"/>
    <col min="39" max="39" width="11" style="4" customWidth="1"/>
    <col min="40" max="44" width="11" style="1" customWidth="1"/>
    <col min="45" max="45" width="9" style="6" customWidth="1"/>
  </cols>
  <sheetData>
    <row r="1" spans="1:44">
      <c r="A1" s="1" t="s">
        <v>2467</v>
      </c>
      <c r="B1" s="1" t="s">
        <v>2</v>
      </c>
      <c r="C1" s="1" t="s">
        <v>424</v>
      </c>
      <c r="D1" s="2" t="s">
        <v>2468</v>
      </c>
      <c r="E1" s="2" t="s">
        <v>2469</v>
      </c>
      <c r="F1" s="7" t="s">
        <v>2470</v>
      </c>
      <c r="M1" s="9" t="s">
        <v>2471</v>
      </c>
      <c r="R1" s="11"/>
      <c r="S1" s="7" t="s">
        <v>2472</v>
      </c>
      <c r="Z1" s="9" t="s">
        <v>2473</v>
      </c>
      <c r="AE1" s="11"/>
      <c r="AF1" s="7" t="s">
        <v>2474</v>
      </c>
      <c r="AM1" s="9" t="s">
        <v>2475</v>
      </c>
      <c r="AR1" s="11"/>
    </row>
    <row r="2" spans="1:44">
      <c r="A2" s="1" t="s">
        <v>1654</v>
      </c>
      <c r="B2" s="1" t="s">
        <v>2476</v>
      </c>
      <c r="C2" s="1" t="s">
        <v>2477</v>
      </c>
      <c r="D2" s="2">
        <v>0</v>
      </c>
      <c r="E2" s="2">
        <v>0</v>
      </c>
      <c r="F2" s="7"/>
      <c r="G2" s="8"/>
      <c r="H2" s="8"/>
      <c r="I2" s="8"/>
      <c r="J2" s="8"/>
      <c r="K2" s="8"/>
      <c r="L2" s="8"/>
      <c r="M2" s="10">
        <f>IFERROR(VLOOKUP(G2,'舰船数据-深海'!$A:$C,3,FALSE),)</f>
        <v>0</v>
      </c>
      <c r="N2">
        <f>IFERROR(VLOOKUP(H2,'舰船数据-深海'!$A:$C,3,FALSE),)</f>
        <v>0</v>
      </c>
      <c r="O2">
        <f>IFERROR(VLOOKUP(I2,'舰船数据-深海'!$A:$C,3,FALSE),)</f>
        <v>0</v>
      </c>
      <c r="P2">
        <f>IFERROR(VLOOKUP(J2,'舰船数据-深海'!$A:$C,3,FALSE),)</f>
        <v>0</v>
      </c>
      <c r="Q2">
        <f>IFERROR(VLOOKUP(K2,'舰船数据-深海'!$A:$C,3,FALSE),)</f>
        <v>0</v>
      </c>
      <c r="R2">
        <f>IFERROR(VLOOKUP(L2,'舰船数据-深海'!$A:$C,3,FALSE),)</f>
        <v>0</v>
      </c>
      <c r="S2" s="7"/>
      <c r="T2" s="8"/>
      <c r="U2" s="8"/>
      <c r="V2" s="8"/>
      <c r="W2" s="8"/>
      <c r="X2" s="8"/>
      <c r="Y2" s="8"/>
      <c r="Z2" s="10">
        <f>IFERROR(VLOOKUP(T2,'舰船数据-深海'!$A:$C,3,FALSE),)</f>
        <v>0</v>
      </c>
      <c r="AA2">
        <f>IFERROR(VLOOKUP(U2,'舰船数据-深海'!$A:$C,3,FALSE),)</f>
        <v>0</v>
      </c>
      <c r="AB2">
        <f>IFERROR(VLOOKUP(V2,'舰船数据-深海'!$A:$C,3,FALSE),)</f>
        <v>0</v>
      </c>
      <c r="AC2">
        <f>IFERROR(VLOOKUP(W2,'舰船数据-深海'!$A:$C,3,FALSE),)</f>
        <v>0</v>
      </c>
      <c r="AD2">
        <f>IFERROR(VLOOKUP(X2,'舰船数据-深海'!$A:$C,3,FALSE),)</f>
        <v>0</v>
      </c>
      <c r="AE2">
        <f>IFERROR(VLOOKUP(Y2,'舰船数据-深海'!$A:$C,3,FALSE),)</f>
        <v>0</v>
      </c>
      <c r="AF2" s="7"/>
      <c r="AG2" s="8"/>
      <c r="AH2" s="8"/>
      <c r="AI2" s="8"/>
      <c r="AJ2" s="8"/>
      <c r="AK2" s="8"/>
      <c r="AL2" s="8"/>
      <c r="AM2" s="10">
        <f>IFERROR(VLOOKUP(AG2,'舰船数据-深海'!$A:$C,3,FALSE),)</f>
        <v>0</v>
      </c>
      <c r="AN2">
        <f>IFERROR(VLOOKUP(AH2,'舰船数据-深海'!$A:$C,3,FALSE),)</f>
        <v>0</v>
      </c>
      <c r="AO2">
        <f>IFERROR(VLOOKUP(AI2,'舰船数据-深海'!$A:$C,3,FALSE),)</f>
        <v>0</v>
      </c>
      <c r="AP2">
        <f>IFERROR(VLOOKUP(AJ2,'舰船数据-深海'!$A:$C,3,FALSE),)</f>
        <v>0</v>
      </c>
      <c r="AQ2">
        <f>IFERROR(VLOOKUP(AK2,'舰船数据-深海'!$A:$C,3,FALSE),)</f>
        <v>0</v>
      </c>
      <c r="AR2">
        <f>IFERROR(VLOOKUP(AL2,'舰船数据-深海'!$A:$C,3,FALSE),)</f>
        <v>0</v>
      </c>
    </row>
    <row r="3" spans="1:44">
      <c r="A3" s="1" t="s">
        <v>1658</v>
      </c>
      <c r="B3" s="1" t="s">
        <v>2478</v>
      </c>
      <c r="C3" s="1" t="s">
        <v>2479</v>
      </c>
      <c r="D3" s="2">
        <v>1</v>
      </c>
      <c r="E3" s="2">
        <v>0</v>
      </c>
      <c r="F3" s="3">
        <v>1</v>
      </c>
      <c r="G3" s="1" t="s">
        <v>1819</v>
      </c>
      <c r="H3" s="1" t="s">
        <v>1819</v>
      </c>
      <c r="I3" s="1" t="s">
        <v>1868</v>
      </c>
      <c r="J3" s="1" t="s">
        <v>1868</v>
      </c>
      <c r="K3" s="1" t="s">
        <v>1874</v>
      </c>
      <c r="L3" s="1" t="s">
        <v>1874</v>
      </c>
      <c r="M3" s="10" t="str">
        <f>IFERROR(VLOOKUP(G3,'舰船数据-深海'!$A:$C,3,FALSE),)</f>
        <v>战巡Κ级Ⅲ型</v>
      </c>
      <c r="N3" t="str">
        <f>IFERROR(VLOOKUP(H3,'舰船数据-深海'!$A:$C,3,FALSE),)</f>
        <v>战巡Κ级Ⅲ型</v>
      </c>
      <c r="O3" t="str">
        <f>IFERROR(VLOOKUP(I3,'舰船数据-深海'!$A:$C,3,FALSE),)</f>
        <v>重巡Ω级Ⅱ型</v>
      </c>
      <c r="P3" t="str">
        <f>IFERROR(VLOOKUP(J3,'舰船数据-深海'!$A:$C,3,FALSE),)</f>
        <v>重巡Ω级Ⅱ型</v>
      </c>
      <c r="Q3" t="str">
        <f>IFERROR(VLOOKUP(K3,'舰船数据-深海'!$A:$C,3,FALSE),)</f>
        <v>轻巡ei级Ⅰ型</v>
      </c>
      <c r="R3" t="str">
        <f>IFERROR(VLOOKUP(L3,'舰船数据-深海'!$A:$C,3,FALSE),)</f>
        <v>轻巡ei级Ⅰ型</v>
      </c>
      <c r="Z3" s="10">
        <f>IFERROR(VLOOKUP(T3,'舰船数据-深海'!$A:$C,3,FALSE),)</f>
        <v>0</v>
      </c>
      <c r="AA3">
        <f>IFERROR(VLOOKUP(U3,'舰船数据-深海'!$A:$C,3,FALSE),)</f>
        <v>0</v>
      </c>
      <c r="AB3">
        <f>IFERROR(VLOOKUP(V3,'舰船数据-深海'!$A:$C,3,FALSE),)</f>
        <v>0</v>
      </c>
      <c r="AC3">
        <f>IFERROR(VLOOKUP(W3,'舰船数据-深海'!$A:$C,3,FALSE),)</f>
        <v>0</v>
      </c>
      <c r="AD3">
        <f>IFERROR(VLOOKUP(X3,'舰船数据-深海'!$A:$C,3,FALSE),)</f>
        <v>0</v>
      </c>
      <c r="AE3">
        <f>IFERROR(VLOOKUP(Y3,'舰船数据-深海'!$A:$C,3,FALSE),)</f>
        <v>0</v>
      </c>
      <c r="AM3" s="10">
        <f>IFERROR(VLOOKUP(AG3,'舰船数据-深海'!$A:$C,3,FALSE),)</f>
        <v>0</v>
      </c>
      <c r="AN3">
        <f>IFERROR(VLOOKUP(AH3,'舰船数据-深海'!$A:$C,3,FALSE),)</f>
        <v>0</v>
      </c>
      <c r="AO3">
        <f>IFERROR(VLOOKUP(AI3,'舰船数据-深海'!$A:$C,3,FALSE),)</f>
        <v>0</v>
      </c>
      <c r="AP3">
        <f>IFERROR(VLOOKUP(AJ3,'舰船数据-深海'!$A:$C,3,FALSE),)</f>
        <v>0</v>
      </c>
      <c r="AQ3">
        <f>IFERROR(VLOOKUP(AK3,'舰船数据-深海'!$A:$C,3,FALSE),)</f>
        <v>0</v>
      </c>
      <c r="AR3">
        <f>IFERROR(VLOOKUP(AL3,'舰船数据-深海'!$A:$C,3,FALSE),)</f>
        <v>0</v>
      </c>
    </row>
    <row r="4" spans="1:44">
      <c r="A4" s="1" t="s">
        <v>1661</v>
      </c>
      <c r="B4" s="1" t="s">
        <v>43</v>
      </c>
      <c r="C4" s="1" t="s">
        <v>2479</v>
      </c>
      <c r="D4" s="2">
        <v>2</v>
      </c>
      <c r="E4" s="2">
        <v>0</v>
      </c>
      <c r="F4" s="3">
        <v>1</v>
      </c>
      <c r="G4" s="1" t="s">
        <v>1937</v>
      </c>
      <c r="H4" s="1" t="s">
        <v>1862</v>
      </c>
      <c r="I4" s="1" t="s">
        <v>1710</v>
      </c>
      <c r="J4" s="1" t="s">
        <v>1742</v>
      </c>
      <c r="K4" s="1" t="s">
        <v>1878</v>
      </c>
      <c r="L4" s="1" t="s">
        <v>1876</v>
      </c>
      <c r="M4" s="10" t="str">
        <f>IFERROR(VLOOKUP(G4,'舰船数据-深海'!$A:$C,3,FALSE),)</f>
        <v>大巡ce级Ⅳ型</v>
      </c>
      <c r="N4" t="str">
        <f>IFERROR(VLOOKUP(H4,'舰船数据-深海'!$A:$C,3,FALSE),)</f>
        <v>战列Ψ级Ⅲ型</v>
      </c>
      <c r="O4" t="str">
        <f>IFERROR(VLOOKUP(I4,'舰船数据-深海'!$A:$C,3,FALSE),)</f>
        <v>航母Ο级Ⅳ型</v>
      </c>
      <c r="P4" t="str">
        <f>IFERROR(VLOOKUP(J4,'舰船数据-深海'!$A:$C,3,FALSE),)</f>
        <v>轻母Ξ级Ⅲ型</v>
      </c>
      <c r="Q4" t="str">
        <f>IFERROR(VLOOKUP(K4,'舰船数据-深海'!$A:$C,3,FALSE),)</f>
        <v>轻巡ei级Ⅲ型</v>
      </c>
      <c r="R4" t="str">
        <f>IFERROR(VLOOKUP(L4,'舰船数据-深海'!$A:$C,3,FALSE),)</f>
        <v>轻巡ei级Ⅱ型</v>
      </c>
      <c r="Z4" s="10">
        <f>IFERROR(VLOOKUP(T4,'舰船数据-深海'!$A:$C,3,FALSE),)</f>
        <v>0</v>
      </c>
      <c r="AA4">
        <f>IFERROR(VLOOKUP(U4,'舰船数据-深海'!$A:$C,3,FALSE),)</f>
        <v>0</v>
      </c>
      <c r="AB4">
        <f>IFERROR(VLOOKUP(V4,'舰船数据-深海'!$A:$C,3,FALSE),)</f>
        <v>0</v>
      </c>
      <c r="AC4">
        <f>IFERROR(VLOOKUP(W4,'舰船数据-深海'!$A:$C,3,FALSE),)</f>
        <v>0</v>
      </c>
      <c r="AD4">
        <f>IFERROR(VLOOKUP(X4,'舰船数据-深海'!$A:$C,3,FALSE),)</f>
        <v>0</v>
      </c>
      <c r="AE4">
        <f>IFERROR(VLOOKUP(Y4,'舰船数据-深海'!$A:$C,3,FALSE),)</f>
        <v>0</v>
      </c>
      <c r="AM4" s="10">
        <f>IFERROR(VLOOKUP(AG4,'舰船数据-深海'!$A:$C,3,FALSE),)</f>
        <v>0</v>
      </c>
      <c r="AN4">
        <f>IFERROR(VLOOKUP(AH4,'舰船数据-深海'!$A:$C,3,FALSE),)</f>
        <v>0</v>
      </c>
      <c r="AO4">
        <f>IFERROR(VLOOKUP(AI4,'舰船数据-深海'!$A:$C,3,FALSE),)</f>
        <v>0</v>
      </c>
      <c r="AP4">
        <f>IFERROR(VLOOKUP(AJ4,'舰船数据-深海'!$A:$C,3,FALSE),)</f>
        <v>0</v>
      </c>
      <c r="AQ4">
        <f>IFERROR(VLOOKUP(AK4,'舰船数据-深海'!$A:$C,3,FALSE),)</f>
        <v>0</v>
      </c>
      <c r="AR4">
        <f>IFERROR(VLOOKUP(AL4,'舰船数据-深海'!$A:$C,3,FALSE),)</f>
        <v>0</v>
      </c>
    </row>
    <row r="5" spans="1:44">
      <c r="A5" s="1" t="s">
        <v>1664</v>
      </c>
      <c r="B5" s="1" t="s">
        <v>68</v>
      </c>
      <c r="C5" s="1" t="s">
        <v>2479</v>
      </c>
      <c r="D5" s="2">
        <v>3</v>
      </c>
      <c r="E5" s="2">
        <v>0</v>
      </c>
      <c r="F5" s="3">
        <v>1</v>
      </c>
      <c r="G5" s="1" t="s">
        <v>1864</v>
      </c>
      <c r="H5" s="1" t="s">
        <v>1864</v>
      </c>
      <c r="I5" s="1" t="s">
        <v>1710</v>
      </c>
      <c r="J5" s="1" t="s">
        <v>1710</v>
      </c>
      <c r="K5" s="1" t="s">
        <v>1835</v>
      </c>
      <c r="M5" s="10" t="str">
        <f>IFERROR(VLOOKUP(G5,'舰船数据-深海'!$A:$C,3,FALSE),)</f>
        <v>战列Ψ级Ⅳ型</v>
      </c>
      <c r="N5" t="str">
        <f>IFERROR(VLOOKUP(H5,'舰船数据-深海'!$A:$C,3,FALSE),)</f>
        <v>战列Ψ级Ⅳ型</v>
      </c>
      <c r="O5" t="str">
        <f>IFERROR(VLOOKUP(I5,'舰船数据-深海'!$A:$C,3,FALSE),)</f>
        <v>航母Ο级Ⅳ型</v>
      </c>
      <c r="P5" t="str">
        <f>IFERROR(VLOOKUP(J5,'舰船数据-深海'!$A:$C,3,FALSE),)</f>
        <v>航母Ο级Ⅳ型</v>
      </c>
      <c r="Q5" t="str">
        <f>IFERROR(VLOOKUP(K5,'舰船数据-深海'!$A:$C,3,FALSE),)</f>
        <v>驱逐Τ级Ⅲ型</v>
      </c>
      <c r="R5">
        <f>IFERROR(VLOOKUP(L5,'舰船数据-深海'!$A:$C,3,FALSE),)</f>
        <v>0</v>
      </c>
      <c r="Z5" s="10">
        <f>IFERROR(VLOOKUP(T5,'舰船数据-深海'!$A:$C,3,FALSE),)</f>
        <v>0</v>
      </c>
      <c r="AA5">
        <f>IFERROR(VLOOKUP(U5,'舰船数据-深海'!$A:$C,3,FALSE),)</f>
        <v>0</v>
      </c>
      <c r="AB5">
        <f>IFERROR(VLOOKUP(V5,'舰船数据-深海'!$A:$C,3,FALSE),)</f>
        <v>0</v>
      </c>
      <c r="AC5">
        <f>IFERROR(VLOOKUP(W5,'舰船数据-深海'!$A:$C,3,FALSE),)</f>
        <v>0</v>
      </c>
      <c r="AD5">
        <f>IFERROR(VLOOKUP(X5,'舰船数据-深海'!$A:$C,3,FALSE),)</f>
        <v>0</v>
      </c>
      <c r="AE5">
        <f>IFERROR(VLOOKUP(Y5,'舰船数据-深海'!$A:$C,3,FALSE),)</f>
        <v>0</v>
      </c>
      <c r="AM5" s="10">
        <f>IFERROR(VLOOKUP(AG5,'舰船数据-深海'!$A:$C,3,FALSE),)</f>
        <v>0</v>
      </c>
      <c r="AN5">
        <f>IFERROR(VLOOKUP(AH5,'舰船数据-深海'!$A:$C,3,FALSE),)</f>
        <v>0</v>
      </c>
      <c r="AO5">
        <f>IFERROR(VLOOKUP(AI5,'舰船数据-深海'!$A:$C,3,FALSE),)</f>
        <v>0</v>
      </c>
      <c r="AP5">
        <f>IFERROR(VLOOKUP(AJ5,'舰船数据-深海'!$A:$C,3,FALSE),)</f>
        <v>0</v>
      </c>
      <c r="AQ5">
        <f>IFERROR(VLOOKUP(AK5,'舰船数据-深海'!$A:$C,3,FALSE),)</f>
        <v>0</v>
      </c>
      <c r="AR5">
        <f>IFERROR(VLOOKUP(AL5,'舰船数据-深海'!$A:$C,3,FALSE),)</f>
        <v>0</v>
      </c>
    </row>
    <row r="6" spans="1:44">
      <c r="A6" s="1" t="s">
        <v>1669</v>
      </c>
      <c r="B6" s="1" t="s">
        <v>2480</v>
      </c>
      <c r="C6" s="1" t="s">
        <v>2479</v>
      </c>
      <c r="D6" s="2">
        <v>5</v>
      </c>
      <c r="E6" s="2">
        <v>0</v>
      </c>
      <c r="F6" s="3">
        <v>1</v>
      </c>
      <c r="G6" s="1" t="s">
        <v>1994</v>
      </c>
      <c r="H6" s="1" t="s">
        <v>1997</v>
      </c>
      <c r="I6" s="1" t="s">
        <v>2000</v>
      </c>
      <c r="J6" s="1" t="s">
        <v>2004</v>
      </c>
      <c r="K6" s="1" t="s">
        <v>2007</v>
      </c>
      <c r="L6" s="1" t="s">
        <v>2009</v>
      </c>
      <c r="M6" s="10" t="str">
        <f>IFERROR(VLOOKUP(G6,'舰船数据-深海'!$A:$C,3,FALSE),)</f>
        <v>Taiho</v>
      </c>
      <c r="N6" t="str">
        <f>IFERROR(VLOOKUP(H6,'舰船数据-深海'!$A:$C,3,FALSE),)</f>
        <v>X. Fliegerkorps</v>
      </c>
      <c r="O6" t="str">
        <f>IFERROR(VLOOKUP(I6,'舰船数据-深海'!$A:$C,3,FALSE),)</f>
        <v>Cyou-yamato</v>
      </c>
      <c r="P6" t="str">
        <f>IFERROR(VLOOKUP(J6,'舰船数据-深海'!$A:$C,3,FALSE),)</f>
        <v>Musashi</v>
      </c>
      <c r="Q6" t="str">
        <f>IFERROR(VLOOKUP(K6,'舰船数据-深海'!$A:$C,3,FALSE),)</f>
        <v>Zumwalt</v>
      </c>
      <c r="R6" t="str">
        <f>IFERROR(VLOOKUP(L6,'舰船数据-深海'!$A:$C,3,FALSE),)</f>
        <v>SouthDakota</v>
      </c>
      <c r="Z6" s="10">
        <f>IFERROR(VLOOKUP(T6,'舰船数据-深海'!$A:$C,3,FALSE),)</f>
        <v>0</v>
      </c>
      <c r="AA6">
        <f>IFERROR(VLOOKUP(U6,'舰船数据-深海'!$A:$C,3,FALSE),)</f>
        <v>0</v>
      </c>
      <c r="AB6">
        <f>IFERROR(VLOOKUP(V6,'舰船数据-深海'!$A:$C,3,FALSE),)</f>
        <v>0</v>
      </c>
      <c r="AC6">
        <f>IFERROR(VLOOKUP(W6,'舰船数据-深海'!$A:$C,3,FALSE),)</f>
        <v>0</v>
      </c>
      <c r="AD6">
        <f>IFERROR(VLOOKUP(X6,'舰船数据-深海'!$A:$C,3,FALSE),)</f>
        <v>0</v>
      </c>
      <c r="AE6">
        <f>IFERROR(VLOOKUP(Y6,'舰船数据-深海'!$A:$C,3,FALSE),)</f>
        <v>0</v>
      </c>
      <c r="AM6" s="10">
        <f>IFERROR(VLOOKUP(AG6,'舰船数据-深海'!$A:$C,3,FALSE),)</f>
        <v>0</v>
      </c>
      <c r="AN6">
        <f>IFERROR(VLOOKUP(AH6,'舰船数据-深海'!$A:$C,3,FALSE),)</f>
        <v>0</v>
      </c>
      <c r="AO6">
        <f>IFERROR(VLOOKUP(AI6,'舰船数据-深海'!$A:$C,3,FALSE),)</f>
        <v>0</v>
      </c>
      <c r="AP6">
        <f>IFERROR(VLOOKUP(AJ6,'舰船数据-深海'!$A:$C,3,FALSE),)</f>
        <v>0</v>
      </c>
      <c r="AQ6">
        <f>IFERROR(VLOOKUP(AK6,'舰船数据-深海'!$A:$C,3,FALSE),)</f>
        <v>0</v>
      </c>
      <c r="AR6">
        <f>IFERROR(VLOOKUP(AL6,'舰船数据-深海'!$A:$C,3,FALSE),)</f>
        <v>0</v>
      </c>
    </row>
    <row r="7" spans="1:44">
      <c r="A7" s="1" t="s">
        <v>1673</v>
      </c>
      <c r="B7" s="1" t="s">
        <v>2481</v>
      </c>
      <c r="C7" s="1" t="s">
        <v>2479</v>
      </c>
      <c r="D7" s="2">
        <v>1</v>
      </c>
      <c r="E7" s="2">
        <v>0</v>
      </c>
      <c r="F7" s="3">
        <v>1</v>
      </c>
      <c r="G7" s="1" t="s">
        <v>1708</v>
      </c>
      <c r="H7" s="1" t="s">
        <v>1708</v>
      </c>
      <c r="I7" s="1" t="s">
        <v>1868</v>
      </c>
      <c r="J7" s="1" t="s">
        <v>1868</v>
      </c>
      <c r="K7" s="1" t="s">
        <v>1833</v>
      </c>
      <c r="L7" s="1" t="s">
        <v>1833</v>
      </c>
      <c r="M7" s="10" t="str">
        <f>IFERROR(VLOOKUP(G7,'舰船数据-深海'!$A:$C,3,FALSE),)</f>
        <v>航母Ο级Ⅲ型</v>
      </c>
      <c r="N7" t="str">
        <f>IFERROR(VLOOKUP(H7,'舰船数据-深海'!$A:$C,3,FALSE),)</f>
        <v>航母Ο级Ⅲ型</v>
      </c>
      <c r="O7" t="str">
        <f>IFERROR(VLOOKUP(I7,'舰船数据-深海'!$A:$C,3,FALSE),)</f>
        <v>重巡Ω级Ⅱ型</v>
      </c>
      <c r="P7" t="str">
        <f>IFERROR(VLOOKUP(J7,'舰船数据-深海'!$A:$C,3,FALSE),)</f>
        <v>重巡Ω级Ⅱ型</v>
      </c>
      <c r="Q7" t="str">
        <f>IFERROR(VLOOKUP(K7,'舰船数据-深海'!$A:$C,3,FALSE),)</f>
        <v>驱逐Τ级Ⅱ型</v>
      </c>
      <c r="R7" t="str">
        <f>IFERROR(VLOOKUP(L7,'舰船数据-深海'!$A:$C,3,FALSE),)</f>
        <v>驱逐Τ级Ⅱ型</v>
      </c>
      <c r="Z7" s="10">
        <f>IFERROR(VLOOKUP(T7,'舰船数据-深海'!$A:$C,3,FALSE),)</f>
        <v>0</v>
      </c>
      <c r="AA7">
        <f>IFERROR(VLOOKUP(U7,'舰船数据-深海'!$A:$C,3,FALSE),)</f>
        <v>0</v>
      </c>
      <c r="AB7">
        <f>IFERROR(VLOOKUP(V7,'舰船数据-深海'!$A:$C,3,FALSE),)</f>
        <v>0</v>
      </c>
      <c r="AC7">
        <f>IFERROR(VLOOKUP(W7,'舰船数据-深海'!$A:$C,3,FALSE),)</f>
        <v>0</v>
      </c>
      <c r="AD7">
        <f>IFERROR(VLOOKUP(X7,'舰船数据-深海'!$A:$C,3,FALSE),)</f>
        <v>0</v>
      </c>
      <c r="AE7">
        <f>IFERROR(VLOOKUP(Y7,'舰船数据-深海'!$A:$C,3,FALSE),)</f>
        <v>0</v>
      </c>
      <c r="AM7" s="10">
        <f>IFERROR(VLOOKUP(AG7,'舰船数据-深海'!$A:$C,3,FALSE),)</f>
        <v>0</v>
      </c>
      <c r="AN7">
        <f>IFERROR(VLOOKUP(AH7,'舰船数据-深海'!$A:$C,3,FALSE),)</f>
        <v>0</v>
      </c>
      <c r="AO7">
        <f>IFERROR(VLOOKUP(AI7,'舰船数据-深海'!$A:$C,3,FALSE),)</f>
        <v>0</v>
      </c>
      <c r="AP7">
        <f>IFERROR(VLOOKUP(AJ7,'舰船数据-深海'!$A:$C,3,FALSE),)</f>
        <v>0</v>
      </c>
      <c r="AQ7">
        <f>IFERROR(VLOOKUP(AK7,'舰船数据-深海'!$A:$C,3,FALSE),)</f>
        <v>0</v>
      </c>
      <c r="AR7">
        <f>IFERROR(VLOOKUP(AL7,'舰船数据-深海'!$A:$C,3,FALSE),)</f>
        <v>0</v>
      </c>
    </row>
    <row r="8" spans="1:44">
      <c r="A8" s="1" t="s">
        <v>1677</v>
      </c>
      <c r="B8" s="1" t="s">
        <v>2482</v>
      </c>
      <c r="C8" s="1" t="s">
        <v>2479</v>
      </c>
      <c r="D8" s="2">
        <v>2</v>
      </c>
      <c r="E8" s="2">
        <v>0</v>
      </c>
      <c r="F8" s="3">
        <v>1</v>
      </c>
      <c r="G8" s="1" t="s">
        <v>1862</v>
      </c>
      <c r="H8" s="1" t="s">
        <v>1862</v>
      </c>
      <c r="I8" s="1" t="s">
        <v>1870</v>
      </c>
      <c r="J8" s="1" t="s">
        <v>1870</v>
      </c>
      <c r="K8" s="1" t="s">
        <v>1868</v>
      </c>
      <c r="L8" s="1" t="s">
        <v>1868</v>
      </c>
      <c r="M8" s="10" t="str">
        <f>IFERROR(VLOOKUP(G8,'舰船数据-深海'!$A:$C,3,FALSE),)</f>
        <v>战列Ψ级Ⅲ型</v>
      </c>
      <c r="N8" t="str">
        <f>IFERROR(VLOOKUP(H8,'舰船数据-深海'!$A:$C,3,FALSE),)</f>
        <v>战列Ψ级Ⅲ型</v>
      </c>
      <c r="O8" t="str">
        <f>IFERROR(VLOOKUP(I8,'舰船数据-深海'!$A:$C,3,FALSE),)</f>
        <v>重巡Ω级Ⅲ型</v>
      </c>
      <c r="P8" t="str">
        <f>IFERROR(VLOOKUP(J8,'舰船数据-深海'!$A:$C,3,FALSE),)</f>
        <v>重巡Ω级Ⅲ型</v>
      </c>
      <c r="Q8" t="str">
        <f>IFERROR(VLOOKUP(K8,'舰船数据-深海'!$A:$C,3,FALSE),)</f>
        <v>重巡Ω级Ⅱ型</v>
      </c>
      <c r="R8" t="str">
        <f>IFERROR(VLOOKUP(L8,'舰船数据-深海'!$A:$C,3,FALSE),)</f>
        <v>重巡Ω级Ⅱ型</v>
      </c>
      <c r="Z8" s="10">
        <f>IFERROR(VLOOKUP(T8,'舰船数据-深海'!$A:$C,3,FALSE),)</f>
        <v>0</v>
      </c>
      <c r="AA8">
        <f>IFERROR(VLOOKUP(U8,'舰船数据-深海'!$A:$C,3,FALSE),)</f>
        <v>0</v>
      </c>
      <c r="AB8">
        <f>IFERROR(VLOOKUP(V8,'舰船数据-深海'!$A:$C,3,FALSE),)</f>
        <v>0</v>
      </c>
      <c r="AC8">
        <f>IFERROR(VLOOKUP(W8,'舰船数据-深海'!$A:$C,3,FALSE),)</f>
        <v>0</v>
      </c>
      <c r="AD8">
        <f>IFERROR(VLOOKUP(X8,'舰船数据-深海'!$A:$C,3,FALSE),)</f>
        <v>0</v>
      </c>
      <c r="AE8">
        <f>IFERROR(VLOOKUP(Y8,'舰船数据-深海'!$A:$C,3,FALSE),)</f>
        <v>0</v>
      </c>
      <c r="AM8" s="10">
        <f>IFERROR(VLOOKUP(AG8,'舰船数据-深海'!$A:$C,3,FALSE),)</f>
        <v>0</v>
      </c>
      <c r="AN8">
        <f>IFERROR(VLOOKUP(AH8,'舰船数据-深海'!$A:$C,3,FALSE),)</f>
        <v>0</v>
      </c>
      <c r="AO8">
        <f>IFERROR(VLOOKUP(AI8,'舰船数据-深海'!$A:$C,3,FALSE),)</f>
        <v>0</v>
      </c>
      <c r="AP8">
        <f>IFERROR(VLOOKUP(AJ8,'舰船数据-深海'!$A:$C,3,FALSE),)</f>
        <v>0</v>
      </c>
      <c r="AQ8">
        <f>IFERROR(VLOOKUP(AK8,'舰船数据-深海'!$A:$C,3,FALSE),)</f>
        <v>0</v>
      </c>
      <c r="AR8">
        <f>IFERROR(VLOOKUP(AL8,'舰船数据-深海'!$A:$C,3,FALSE),)</f>
        <v>0</v>
      </c>
    </row>
    <row r="9" spans="1:44">
      <c r="A9" s="1" t="s">
        <v>1680</v>
      </c>
      <c r="B9" s="1" t="s">
        <v>2483</v>
      </c>
      <c r="C9" s="1" t="s">
        <v>2479</v>
      </c>
      <c r="D9" s="2">
        <v>3</v>
      </c>
      <c r="E9" s="2">
        <v>0</v>
      </c>
      <c r="F9" s="3">
        <v>1</v>
      </c>
      <c r="G9" s="1" t="s">
        <v>1821</v>
      </c>
      <c r="H9" s="1" t="s">
        <v>1821</v>
      </c>
      <c r="I9" s="1" t="s">
        <v>1710</v>
      </c>
      <c r="J9" s="1" t="s">
        <v>1710</v>
      </c>
      <c r="K9" s="1" t="s">
        <v>1846</v>
      </c>
      <c r="L9" s="1" t="s">
        <v>1846</v>
      </c>
      <c r="M9" s="10" t="str">
        <f>IFERROR(VLOOKUP(G9,'舰船数据-深海'!$A:$C,3,FALSE),)</f>
        <v>战巡Κ级Ⅳ型</v>
      </c>
      <c r="N9" t="str">
        <f>IFERROR(VLOOKUP(H9,'舰船数据-深海'!$A:$C,3,FALSE),)</f>
        <v>战巡Κ级Ⅳ型</v>
      </c>
      <c r="O9" t="str">
        <f>IFERROR(VLOOKUP(I9,'舰船数据-深海'!$A:$C,3,FALSE),)</f>
        <v>航母Ο级Ⅳ型</v>
      </c>
      <c r="P9" t="str">
        <f>IFERROR(VLOOKUP(J9,'舰船数据-深海'!$A:$C,3,FALSE),)</f>
        <v>航母Ο级Ⅳ型</v>
      </c>
      <c r="Q9" t="str">
        <f>IFERROR(VLOOKUP(K9,'舰船数据-深海'!$A:$C,3,FALSE),)</f>
        <v>潜艇Φ级Ⅲ型</v>
      </c>
      <c r="R9" t="str">
        <f>IFERROR(VLOOKUP(L9,'舰船数据-深海'!$A:$C,3,FALSE),)</f>
        <v>潜艇Φ级Ⅲ型</v>
      </c>
      <c r="Z9" s="10">
        <f>IFERROR(VLOOKUP(T9,'舰船数据-深海'!$A:$C,3,FALSE),)</f>
        <v>0</v>
      </c>
      <c r="AA9">
        <f>IFERROR(VLOOKUP(U9,'舰船数据-深海'!$A:$C,3,FALSE),)</f>
        <v>0</v>
      </c>
      <c r="AB9">
        <f>IFERROR(VLOOKUP(V9,'舰船数据-深海'!$A:$C,3,FALSE),)</f>
        <v>0</v>
      </c>
      <c r="AC9">
        <f>IFERROR(VLOOKUP(W9,'舰船数据-深海'!$A:$C,3,FALSE),)</f>
        <v>0</v>
      </c>
      <c r="AD9">
        <f>IFERROR(VLOOKUP(X9,'舰船数据-深海'!$A:$C,3,FALSE),)</f>
        <v>0</v>
      </c>
      <c r="AE9">
        <f>IFERROR(VLOOKUP(Y9,'舰船数据-深海'!$A:$C,3,FALSE),)</f>
        <v>0</v>
      </c>
      <c r="AM9" s="10">
        <f>IFERROR(VLOOKUP(AG9,'舰船数据-深海'!$A:$C,3,FALSE),)</f>
        <v>0</v>
      </c>
      <c r="AN9">
        <f>IFERROR(VLOOKUP(AH9,'舰船数据-深海'!$A:$C,3,FALSE),)</f>
        <v>0</v>
      </c>
      <c r="AO9">
        <f>IFERROR(VLOOKUP(AI9,'舰船数据-深海'!$A:$C,3,FALSE),)</f>
        <v>0</v>
      </c>
      <c r="AP9">
        <f>IFERROR(VLOOKUP(AJ9,'舰船数据-深海'!$A:$C,3,FALSE),)</f>
        <v>0</v>
      </c>
      <c r="AQ9">
        <f>IFERROR(VLOOKUP(AK9,'舰船数据-深海'!$A:$C,3,FALSE),)</f>
        <v>0</v>
      </c>
      <c r="AR9">
        <f>IFERROR(VLOOKUP(AL9,'舰船数据-深海'!$A:$C,3,FALSE),)</f>
        <v>0</v>
      </c>
    </row>
    <row r="10" spans="1:44">
      <c r="A10" s="1" t="s">
        <v>1896</v>
      </c>
      <c r="B10" s="1" t="s">
        <v>2480</v>
      </c>
      <c r="C10" s="1" t="s">
        <v>2479</v>
      </c>
      <c r="D10" s="2">
        <v>5</v>
      </c>
      <c r="E10" s="2">
        <v>0</v>
      </c>
      <c r="F10" s="3">
        <v>4</v>
      </c>
      <c r="G10" s="1" t="s">
        <v>2014</v>
      </c>
      <c r="H10" s="1" t="s">
        <v>2016</v>
      </c>
      <c r="I10" s="1" t="s">
        <v>2020</v>
      </c>
      <c r="J10" s="1" t="s">
        <v>2021</v>
      </c>
      <c r="K10" s="1" t="s">
        <v>2023</v>
      </c>
      <c r="L10" s="1" t="s">
        <v>2025</v>
      </c>
      <c r="M10" s="4" t="str">
        <f>IFERROR(VLOOKUP(G10,'舰船数据-深海'!$A:$C,3,FALSE),)</f>
        <v>Hindenburg</v>
      </c>
      <c r="N10" s="1" t="str">
        <f>IFERROR(VLOOKUP(H10,'舰船数据-深海'!$A:$C,3,FALSE),)</f>
        <v>Peter Strasser</v>
      </c>
      <c r="O10" s="1" t="str">
        <f>IFERROR(VLOOKUP(I10,'舰船数据-深海'!$A:$C,3,FALSE),)</f>
        <v>Leopold(K5)</v>
      </c>
      <c r="P10" s="1" t="str">
        <f>IFERROR(VLOOKUP(J10,'舰船数据-深海'!$A:$C,3,FALSE),)</f>
        <v>Bismarck</v>
      </c>
      <c r="Q10" s="1" t="str">
        <f>IFERROR(VLOOKUP(K10,'舰船数据-深海'!$A:$C,3,FALSE),)</f>
        <v>Prinz Eugen</v>
      </c>
      <c r="R10" s="1" t="str">
        <f>IFERROR(VLOOKUP(L10,'舰船数据-深海'!$A:$C,3,FALSE),)</f>
        <v>U-99</v>
      </c>
      <c r="S10" s="3">
        <v>2</v>
      </c>
      <c r="T10" s="1" t="s">
        <v>2014</v>
      </c>
      <c r="U10" s="1" t="s">
        <v>2016</v>
      </c>
      <c r="V10" s="1" t="s">
        <v>2020</v>
      </c>
      <c r="W10" s="1" t="s">
        <v>2021</v>
      </c>
      <c r="X10" s="1" t="s">
        <v>2023</v>
      </c>
      <c r="Y10" s="1" t="s">
        <v>2025</v>
      </c>
      <c r="Z10" s="10" t="str">
        <f>IFERROR(VLOOKUP(T10,'舰船数据-深海'!$A:$C,3,FALSE),)</f>
        <v>Hindenburg</v>
      </c>
      <c r="AA10" t="str">
        <f>IFERROR(VLOOKUP(U10,'舰船数据-深海'!$A:$C,3,FALSE),)</f>
        <v>Peter Strasser</v>
      </c>
      <c r="AB10" t="str">
        <f>IFERROR(VLOOKUP(V10,'舰船数据-深海'!$A:$C,3,FALSE),)</f>
        <v>Leopold(K5)</v>
      </c>
      <c r="AC10" t="str">
        <f>IFERROR(VLOOKUP(W10,'舰船数据-深海'!$A:$C,3,FALSE),)</f>
        <v>Bismarck</v>
      </c>
      <c r="AD10" t="str">
        <f>IFERROR(VLOOKUP(X10,'舰船数据-深海'!$A:$C,3,FALSE),)</f>
        <v>Prinz Eugen</v>
      </c>
      <c r="AE10" t="str">
        <f>IFERROR(VLOOKUP(Y10,'舰船数据-深海'!$A:$C,3,FALSE),)</f>
        <v>U-99</v>
      </c>
      <c r="AF10" s="3">
        <v>5</v>
      </c>
      <c r="AG10" s="1" t="s">
        <v>2014</v>
      </c>
      <c r="AH10" s="1" t="s">
        <v>2016</v>
      </c>
      <c r="AI10" s="1" t="s">
        <v>2020</v>
      </c>
      <c r="AJ10" s="1" t="s">
        <v>2021</v>
      </c>
      <c r="AK10" s="1" t="s">
        <v>2023</v>
      </c>
      <c r="AL10" s="1" t="s">
        <v>2025</v>
      </c>
      <c r="AM10" s="10" t="str">
        <f>IFERROR(VLOOKUP(AG10,'舰船数据-深海'!$A:$C,3,FALSE),)</f>
        <v>Hindenburg</v>
      </c>
      <c r="AN10" t="str">
        <f>IFERROR(VLOOKUP(AH10,'舰船数据-深海'!$A:$C,3,FALSE),)</f>
        <v>Peter Strasser</v>
      </c>
      <c r="AO10" t="str">
        <f>IFERROR(VLOOKUP(AI10,'舰船数据-深海'!$A:$C,3,FALSE),)</f>
        <v>Leopold(K5)</v>
      </c>
      <c r="AP10" t="str">
        <f>IFERROR(VLOOKUP(AJ10,'舰船数据-深海'!$A:$C,3,FALSE),)</f>
        <v>Bismarck</v>
      </c>
      <c r="AQ10" t="str">
        <f>IFERROR(VLOOKUP(AK10,'舰船数据-深海'!$A:$C,3,FALSE),)</f>
        <v>Prinz Eugen</v>
      </c>
      <c r="AR10" t="str">
        <f>IFERROR(VLOOKUP(AL10,'舰船数据-深海'!$A:$C,3,FALSE),)</f>
        <v>U-99</v>
      </c>
    </row>
    <row r="11" spans="1:18">
      <c r="A11" s="1" t="s">
        <v>1925</v>
      </c>
      <c r="B11" s="1" t="s">
        <v>2481</v>
      </c>
      <c r="C11" s="1" t="s">
        <v>2479</v>
      </c>
      <c r="D11" s="2">
        <v>1</v>
      </c>
      <c r="E11" s="2">
        <v>0</v>
      </c>
      <c r="F11" s="3">
        <v>2</v>
      </c>
      <c r="G11" s="1" t="s">
        <v>1773</v>
      </c>
      <c r="H11" s="1" t="s">
        <v>1872</v>
      </c>
      <c r="I11" s="1" t="s">
        <v>1872</v>
      </c>
      <c r="J11" s="1" t="s">
        <v>1880</v>
      </c>
      <c r="K11" s="1" t="s">
        <v>1839</v>
      </c>
      <c r="L11" s="1" t="s">
        <v>1929</v>
      </c>
      <c r="M11" s="4" t="str">
        <f>IFERROR(VLOOKUP(G11,'舰船数据-深海'!$A:$C,3,FALSE),)</f>
        <v>战列Λ级Ⅳ型</v>
      </c>
      <c r="N11" s="1" t="str">
        <f>IFERROR(VLOOKUP(H11,'舰船数据-深海'!$A:$C,3,FALSE),)</f>
        <v>重巡Ω级Ⅳ型</v>
      </c>
      <c r="O11" s="1" t="str">
        <f>IFERROR(VLOOKUP(I11,'舰船数据-深海'!$A:$C,3,FALSE),)</f>
        <v>重巡Ω级Ⅳ型</v>
      </c>
      <c r="P11" s="1" t="str">
        <f>IFERROR(VLOOKUP(J11,'舰船数据-深海'!$A:$C,3,FALSE),)</f>
        <v>轻巡ei级Ⅳ型</v>
      </c>
      <c r="Q11" s="1" t="str">
        <f>IFERROR(VLOOKUP(K11,'舰船数据-深海'!$A:$C,3,FALSE),)</f>
        <v>驱逐Τ级Ⅳ型</v>
      </c>
      <c r="R11" s="1" t="str">
        <f>IFERROR(VLOOKUP(L11,'舰船数据-深海'!$A:$C,3,FALSE),)</f>
        <v>防驱be级Ⅳ型</v>
      </c>
    </row>
    <row r="12" spans="1:18">
      <c r="A12" s="1" t="s">
        <v>1927</v>
      </c>
      <c r="B12" s="1" t="s">
        <v>2478</v>
      </c>
      <c r="C12" s="1" t="s">
        <v>2479</v>
      </c>
      <c r="D12" s="2">
        <v>1</v>
      </c>
      <c r="E12" s="2">
        <v>0</v>
      </c>
      <c r="F12" s="3">
        <v>1</v>
      </c>
      <c r="G12" s="1" t="s">
        <v>1773</v>
      </c>
      <c r="H12" s="1" t="s">
        <v>1744</v>
      </c>
      <c r="I12" s="1" t="s">
        <v>1839</v>
      </c>
      <c r="J12" s="1" t="s">
        <v>1880</v>
      </c>
      <c r="K12" s="1" t="s">
        <v>1839</v>
      </c>
      <c r="L12" s="1" t="s">
        <v>1880</v>
      </c>
      <c r="M12" s="4" t="str">
        <f>IFERROR(VLOOKUP(G12,'舰船数据-深海'!$A:$C,3,FALSE),)</f>
        <v>战列Λ级Ⅳ型</v>
      </c>
      <c r="N12" s="1" t="str">
        <f>IFERROR(VLOOKUP(H12,'舰船数据-深海'!$A:$C,3,FALSE),)</f>
        <v>轻母Ξ级Ⅳ型</v>
      </c>
      <c r="O12" s="1" t="str">
        <f>IFERROR(VLOOKUP(I12,'舰船数据-深海'!$A:$C,3,FALSE),)</f>
        <v>驱逐Τ级Ⅳ型</v>
      </c>
      <c r="P12" s="1" t="str">
        <f>IFERROR(VLOOKUP(J12,'舰船数据-深海'!$A:$C,3,FALSE),)</f>
        <v>轻巡ei级Ⅳ型</v>
      </c>
      <c r="Q12" s="1" t="str">
        <f>IFERROR(VLOOKUP(K12,'舰船数据-深海'!$A:$C,3,FALSE),)</f>
        <v>驱逐Τ级Ⅳ型</v>
      </c>
      <c r="R12" s="1" t="str">
        <f>IFERROR(VLOOKUP(L12,'舰船数据-深海'!$A:$C,3,FALSE),)</f>
        <v>轻巡ei级Ⅳ型</v>
      </c>
    </row>
    <row r="13" spans="1:18">
      <c r="A13" s="1" t="s">
        <v>1929</v>
      </c>
      <c r="B13" s="1" t="s">
        <v>89</v>
      </c>
      <c r="C13" s="1" t="s">
        <v>2479</v>
      </c>
      <c r="D13" s="2">
        <v>1</v>
      </c>
      <c r="E13" s="2">
        <v>0</v>
      </c>
      <c r="F13" s="3">
        <v>1</v>
      </c>
      <c r="G13" s="1" t="s">
        <v>1773</v>
      </c>
      <c r="H13" s="1" t="s">
        <v>1744</v>
      </c>
      <c r="I13" s="1" t="s">
        <v>1872</v>
      </c>
      <c r="J13" s="1" t="s">
        <v>1872</v>
      </c>
      <c r="K13" s="1" t="s">
        <v>1839</v>
      </c>
      <c r="L13" s="1" t="s">
        <v>1839</v>
      </c>
      <c r="M13" s="4" t="str">
        <f>IFERROR(VLOOKUP(G13,'舰船数据-深海'!$A:$C,3,FALSE),)</f>
        <v>战列Λ级Ⅳ型</v>
      </c>
      <c r="N13" s="1" t="str">
        <f>IFERROR(VLOOKUP(H13,'舰船数据-深海'!$A:$C,3,FALSE),)</f>
        <v>轻母Ξ级Ⅳ型</v>
      </c>
      <c r="O13" s="1" t="str">
        <f>IFERROR(VLOOKUP(I13,'舰船数据-深海'!$A:$C,3,FALSE),)</f>
        <v>重巡Ω级Ⅳ型</v>
      </c>
      <c r="P13" s="1" t="str">
        <f>IFERROR(VLOOKUP(J13,'舰船数据-深海'!$A:$C,3,FALSE),)</f>
        <v>重巡Ω级Ⅳ型</v>
      </c>
      <c r="Q13" s="1" t="str">
        <f>IFERROR(VLOOKUP(K13,'舰船数据-深海'!$A:$C,3,FALSE),)</f>
        <v>驱逐Τ级Ⅳ型</v>
      </c>
      <c r="R13" s="1" t="str">
        <f>IFERROR(VLOOKUP(L13,'舰船数据-深海'!$A:$C,3,FALSE),)</f>
        <v>驱逐Τ级Ⅳ型</v>
      </c>
    </row>
    <row r="14" spans="1:18">
      <c r="A14" s="1" t="s">
        <v>2484</v>
      </c>
      <c r="B14" s="1" t="s">
        <v>2482</v>
      </c>
      <c r="C14" s="1" t="s">
        <v>2479</v>
      </c>
      <c r="D14" s="2">
        <v>2</v>
      </c>
      <c r="E14" s="2">
        <v>1</v>
      </c>
      <c r="F14" s="3">
        <v>2</v>
      </c>
      <c r="G14" s="1" t="s">
        <v>1773</v>
      </c>
      <c r="H14" s="1" t="s">
        <v>1773</v>
      </c>
      <c r="I14" s="1" t="s">
        <v>1821</v>
      </c>
      <c r="J14" s="1" t="s">
        <v>1872</v>
      </c>
      <c r="K14" s="1" t="s">
        <v>1880</v>
      </c>
      <c r="L14" s="1" t="s">
        <v>1839</v>
      </c>
      <c r="M14" s="4" t="str">
        <f>IFERROR(VLOOKUP(G14,'舰船数据-深海'!$A:$C,3,FALSE),)</f>
        <v>战列Λ级Ⅳ型</v>
      </c>
      <c r="N14" s="1" t="str">
        <f>IFERROR(VLOOKUP(H14,'舰船数据-深海'!$A:$C,3,FALSE),)</f>
        <v>战列Λ级Ⅳ型</v>
      </c>
      <c r="O14" s="1" t="str">
        <f>IFERROR(VLOOKUP(I14,'舰船数据-深海'!$A:$C,3,FALSE),)</f>
        <v>战巡Κ级Ⅳ型</v>
      </c>
      <c r="P14" s="1" t="str">
        <f>IFERROR(VLOOKUP(J14,'舰船数据-深海'!$A:$C,3,FALSE),)</f>
        <v>重巡Ω级Ⅳ型</v>
      </c>
      <c r="Q14" s="1" t="str">
        <f>IFERROR(VLOOKUP(K14,'舰船数据-深海'!$A:$C,3,FALSE),)</f>
        <v>轻巡ei级Ⅳ型</v>
      </c>
      <c r="R14" s="1" t="str">
        <f>IFERROR(VLOOKUP(L14,'舰船数据-深海'!$A:$C,3,FALSE),)</f>
        <v>驱逐Τ级Ⅳ型</v>
      </c>
    </row>
    <row r="15" spans="1:18">
      <c r="A15" s="1" t="s">
        <v>1931</v>
      </c>
      <c r="B15" s="1" t="s">
        <v>43</v>
      </c>
      <c r="C15" s="1" t="s">
        <v>2479</v>
      </c>
      <c r="D15" s="2">
        <v>2</v>
      </c>
      <c r="E15" s="2">
        <v>0</v>
      </c>
      <c r="F15" s="3">
        <v>1</v>
      </c>
      <c r="G15" s="1" t="s">
        <v>1773</v>
      </c>
      <c r="H15" s="1" t="s">
        <v>1821</v>
      </c>
      <c r="I15" s="1" t="s">
        <v>1744</v>
      </c>
      <c r="J15" s="1" t="s">
        <v>1872</v>
      </c>
      <c r="K15" s="1" t="s">
        <v>1872</v>
      </c>
      <c r="L15" s="1" t="s">
        <v>1880</v>
      </c>
      <c r="M15" s="4" t="str">
        <f>IFERROR(VLOOKUP(G15,'舰船数据-深海'!$A:$C,3,FALSE),)</f>
        <v>战列Λ级Ⅳ型</v>
      </c>
      <c r="N15" s="1" t="str">
        <f>IFERROR(VLOOKUP(H15,'舰船数据-深海'!$A:$C,3,FALSE),)</f>
        <v>战巡Κ级Ⅳ型</v>
      </c>
      <c r="O15" s="1" t="str">
        <f>IFERROR(VLOOKUP(I15,'舰船数据-深海'!$A:$C,3,FALSE),)</f>
        <v>轻母Ξ级Ⅳ型</v>
      </c>
      <c r="P15" s="1" t="str">
        <f>IFERROR(VLOOKUP(J15,'舰船数据-深海'!$A:$C,3,FALSE),)</f>
        <v>重巡Ω级Ⅳ型</v>
      </c>
      <c r="Q15" s="1" t="str">
        <f>IFERROR(VLOOKUP(K15,'舰船数据-深海'!$A:$C,3,FALSE),)</f>
        <v>重巡Ω级Ⅳ型</v>
      </c>
      <c r="R15" s="1" t="str">
        <f>IFERROR(VLOOKUP(L15,'舰船数据-深海'!$A:$C,3,FALSE),)</f>
        <v>轻巡ei级Ⅳ型</v>
      </c>
    </row>
    <row r="16" spans="1:18">
      <c r="A16" s="1" t="s">
        <v>1935</v>
      </c>
      <c r="B16" s="1" t="s">
        <v>47</v>
      </c>
      <c r="C16" s="1" t="s">
        <v>2479</v>
      </c>
      <c r="D16" s="2">
        <v>2</v>
      </c>
      <c r="E16" s="2">
        <v>0</v>
      </c>
      <c r="F16" s="3">
        <v>2</v>
      </c>
      <c r="G16" s="1" t="s">
        <v>1773</v>
      </c>
      <c r="H16" s="1" t="s">
        <v>1773</v>
      </c>
      <c r="I16" s="1" t="s">
        <v>1872</v>
      </c>
      <c r="J16" s="1" t="s">
        <v>1744</v>
      </c>
      <c r="K16" s="1" t="s">
        <v>1880</v>
      </c>
      <c r="L16" s="1" t="s">
        <v>1880</v>
      </c>
      <c r="M16" s="4" t="str">
        <f>IFERROR(VLOOKUP(G16,'舰船数据-深海'!$A:$C,3,FALSE),)</f>
        <v>战列Λ级Ⅳ型</v>
      </c>
      <c r="N16" s="1" t="str">
        <f>IFERROR(VLOOKUP(H16,'舰船数据-深海'!$A:$C,3,FALSE),)</f>
        <v>战列Λ级Ⅳ型</v>
      </c>
      <c r="O16" s="1" t="str">
        <f>IFERROR(VLOOKUP(I16,'舰船数据-深海'!$A:$C,3,FALSE),)</f>
        <v>重巡Ω级Ⅳ型</v>
      </c>
      <c r="P16" s="1" t="str">
        <f>IFERROR(VLOOKUP(J16,'舰船数据-深海'!$A:$C,3,FALSE),)</f>
        <v>轻母Ξ级Ⅳ型</v>
      </c>
      <c r="Q16" s="1" t="str">
        <f>IFERROR(VLOOKUP(K16,'舰船数据-深海'!$A:$C,3,FALSE),)</f>
        <v>轻巡ei级Ⅳ型</v>
      </c>
      <c r="R16" s="1" t="str">
        <f>IFERROR(VLOOKUP(L16,'舰船数据-深海'!$A:$C,3,FALSE),)</f>
        <v>轻巡ei级Ⅳ型</v>
      </c>
    </row>
    <row r="17" spans="1:18">
      <c r="A17" s="1" t="s">
        <v>1937</v>
      </c>
      <c r="B17" s="1" t="s">
        <v>2483</v>
      </c>
      <c r="C17" s="1" t="s">
        <v>2479</v>
      </c>
      <c r="D17" s="2">
        <v>3</v>
      </c>
      <c r="E17" s="2">
        <v>0</v>
      </c>
      <c r="F17" s="3">
        <v>1</v>
      </c>
      <c r="G17" s="1" t="s">
        <v>1773</v>
      </c>
      <c r="H17" s="1" t="s">
        <v>1773</v>
      </c>
      <c r="I17" s="1" t="s">
        <v>1773</v>
      </c>
      <c r="J17" s="1" t="s">
        <v>1872</v>
      </c>
      <c r="K17" s="1" t="s">
        <v>1872</v>
      </c>
      <c r="L17" s="1" t="s">
        <v>1839</v>
      </c>
      <c r="M17" s="4" t="str">
        <f>IFERROR(VLOOKUP(G17,'舰船数据-深海'!$A:$C,3,FALSE),)</f>
        <v>战列Λ级Ⅳ型</v>
      </c>
      <c r="N17" s="1" t="str">
        <f>IFERROR(VLOOKUP(H17,'舰船数据-深海'!$A:$C,3,FALSE),)</f>
        <v>战列Λ级Ⅳ型</v>
      </c>
      <c r="O17" s="1" t="str">
        <f>IFERROR(VLOOKUP(I17,'舰船数据-深海'!$A:$C,3,FALSE),)</f>
        <v>战列Λ级Ⅳ型</v>
      </c>
      <c r="P17" s="1" t="str">
        <f>IFERROR(VLOOKUP(J17,'舰船数据-深海'!$A:$C,3,FALSE),)</f>
        <v>重巡Ω级Ⅳ型</v>
      </c>
      <c r="Q17" s="1" t="str">
        <f>IFERROR(VLOOKUP(K17,'舰船数据-深海'!$A:$C,3,FALSE),)</f>
        <v>重巡Ω级Ⅳ型</v>
      </c>
      <c r="R17" s="1" t="str">
        <f>IFERROR(VLOOKUP(L17,'舰船数据-深海'!$A:$C,3,FALSE),)</f>
        <v>驱逐Τ级Ⅳ型</v>
      </c>
    </row>
    <row r="18" spans="1:18">
      <c r="A18" s="1" t="s">
        <v>1939</v>
      </c>
      <c r="B18" s="1" t="s">
        <v>68</v>
      </c>
      <c r="C18" s="1" t="s">
        <v>2485</v>
      </c>
      <c r="D18" s="2">
        <v>4</v>
      </c>
      <c r="E18" s="2">
        <v>0</v>
      </c>
      <c r="M18" s="4">
        <f>IFERROR(VLOOKUP(G18,'舰船数据-深海'!$A:$C,3,FALSE),)</f>
        <v>0</v>
      </c>
      <c r="N18" s="1">
        <f>IFERROR(VLOOKUP(H18,'舰船数据-深海'!$A:$C,3,FALSE),)</f>
        <v>0</v>
      </c>
      <c r="O18" s="1">
        <f>IFERROR(VLOOKUP(I18,'舰船数据-深海'!$A:$C,3,FALSE),)</f>
        <v>0</v>
      </c>
      <c r="P18" s="1">
        <f>IFERROR(VLOOKUP(J18,'舰船数据-深海'!$A:$C,3,FALSE),)</f>
        <v>0</v>
      </c>
      <c r="Q18" s="1">
        <f>IFERROR(VLOOKUP(K18,'舰船数据-深海'!$A:$C,3,FALSE),)</f>
        <v>0</v>
      </c>
      <c r="R18" s="1">
        <f>IFERROR(VLOOKUP(L18,'舰船数据-深海'!$A:$C,3,FALSE),)</f>
        <v>0</v>
      </c>
    </row>
    <row r="19" spans="1:18">
      <c r="A19" s="1" t="s">
        <v>1943</v>
      </c>
      <c r="B19" s="1" t="s">
        <v>31</v>
      </c>
      <c r="C19" s="1" t="s">
        <v>2485</v>
      </c>
      <c r="D19" s="2">
        <v>2</v>
      </c>
      <c r="E19" s="2">
        <v>0</v>
      </c>
      <c r="M19" s="4">
        <f>IFERROR(VLOOKUP(G19,'舰船数据-深海'!$A:$C,3,FALSE),)</f>
        <v>0</v>
      </c>
      <c r="N19" s="1">
        <f>IFERROR(VLOOKUP(H19,'舰船数据-深海'!$A:$C,3,FALSE),)</f>
        <v>0</v>
      </c>
      <c r="O19" s="1">
        <f>IFERROR(VLOOKUP(I19,'舰船数据-深海'!$A:$C,3,FALSE),)</f>
        <v>0</v>
      </c>
      <c r="P19" s="1">
        <f>IFERROR(VLOOKUP(J19,'舰船数据-深海'!$A:$C,3,FALSE),)</f>
        <v>0</v>
      </c>
      <c r="Q19" s="1">
        <f>IFERROR(VLOOKUP(K19,'舰船数据-深海'!$A:$C,3,FALSE),)</f>
        <v>0</v>
      </c>
      <c r="R19" s="1">
        <f>IFERROR(VLOOKUP(L19,'舰船数据-深海'!$A:$C,3,FALSE),)</f>
        <v>0</v>
      </c>
    </row>
    <row r="20" spans="1:18">
      <c r="A20" s="1" t="s">
        <v>1945</v>
      </c>
      <c r="B20" s="1" t="s">
        <v>2486</v>
      </c>
      <c r="C20" s="1" t="s">
        <v>2485</v>
      </c>
      <c r="D20" s="2">
        <v>4</v>
      </c>
      <c r="E20" s="2">
        <v>0</v>
      </c>
      <c r="M20" s="4">
        <f>IFERROR(VLOOKUP(G20,'舰船数据-深海'!$A:$C,3,FALSE),)</f>
        <v>0</v>
      </c>
      <c r="N20" s="1">
        <f>IFERROR(VLOOKUP(H20,'舰船数据-深海'!$A:$C,3,FALSE),)</f>
        <v>0</v>
      </c>
      <c r="O20" s="1">
        <f>IFERROR(VLOOKUP(I20,'舰船数据-深海'!$A:$C,3,FALSE),)</f>
        <v>0</v>
      </c>
      <c r="P20" s="1">
        <f>IFERROR(VLOOKUP(J20,'舰船数据-深海'!$A:$C,3,FALSE),)</f>
        <v>0</v>
      </c>
      <c r="Q20" s="1">
        <f>IFERROR(VLOOKUP(K20,'舰船数据-深海'!$A:$C,3,FALSE),)</f>
        <v>0</v>
      </c>
      <c r="R20" s="1">
        <f>IFERROR(VLOOKUP(L20,'舰船数据-深海'!$A:$C,3,FALSE),)</f>
        <v>0</v>
      </c>
    </row>
    <row r="21" spans="1:18">
      <c r="A21" s="1" t="s">
        <v>1947</v>
      </c>
      <c r="B21" s="1" t="s">
        <v>2487</v>
      </c>
      <c r="C21" s="1" t="s">
        <v>2479</v>
      </c>
      <c r="D21" s="2">
        <v>3</v>
      </c>
      <c r="E21" s="2">
        <v>0</v>
      </c>
      <c r="F21" s="3">
        <v>1</v>
      </c>
      <c r="G21" s="1" t="s">
        <v>1773</v>
      </c>
      <c r="H21" s="1" t="s">
        <v>1773</v>
      </c>
      <c r="I21" s="1" t="s">
        <v>1773</v>
      </c>
      <c r="J21" s="1" t="s">
        <v>1880</v>
      </c>
      <c r="K21" s="1" t="s">
        <v>1880</v>
      </c>
      <c r="L21" s="1" t="s">
        <v>1880</v>
      </c>
      <c r="M21" s="4" t="str">
        <f>IFERROR(VLOOKUP(G21,'舰船数据-深海'!$A:$C,3,FALSE),)</f>
        <v>战列Λ级Ⅳ型</v>
      </c>
      <c r="N21" s="1" t="str">
        <f>IFERROR(VLOOKUP(H21,'舰船数据-深海'!$A:$C,3,FALSE),)</f>
        <v>战列Λ级Ⅳ型</v>
      </c>
      <c r="O21" s="1" t="str">
        <f>IFERROR(VLOOKUP(I21,'舰船数据-深海'!$A:$C,3,FALSE),)</f>
        <v>战列Λ级Ⅳ型</v>
      </c>
      <c r="P21" s="1" t="str">
        <f>IFERROR(VLOOKUP(J21,'舰船数据-深海'!$A:$C,3,FALSE),)</f>
        <v>轻巡ei级Ⅳ型</v>
      </c>
      <c r="Q21" s="1" t="str">
        <f>IFERROR(VLOOKUP(K21,'舰船数据-深海'!$A:$C,3,FALSE),)</f>
        <v>轻巡ei级Ⅳ型</v>
      </c>
      <c r="R21" s="1" t="str">
        <f>IFERROR(VLOOKUP(L21,'舰船数据-深海'!$A:$C,3,FALSE),)</f>
        <v>轻巡ei级Ⅳ型</v>
      </c>
    </row>
    <row r="22" spans="1:18">
      <c r="A22" s="1" t="s">
        <v>1949</v>
      </c>
      <c r="B22" s="1" t="s">
        <v>2488</v>
      </c>
      <c r="C22" s="1" t="s">
        <v>2479</v>
      </c>
      <c r="D22" s="2">
        <v>3</v>
      </c>
      <c r="E22" s="2">
        <v>0</v>
      </c>
      <c r="F22" s="3">
        <v>1</v>
      </c>
      <c r="G22" s="1" t="s">
        <v>1864</v>
      </c>
      <c r="H22" s="1" t="s">
        <v>1821</v>
      </c>
      <c r="I22" s="1" t="s">
        <v>1821</v>
      </c>
      <c r="J22" s="1" t="s">
        <v>1744</v>
      </c>
      <c r="K22" s="1" t="s">
        <v>1744</v>
      </c>
      <c r="L22" s="1" t="s">
        <v>1880</v>
      </c>
      <c r="M22" s="4" t="str">
        <f>IFERROR(VLOOKUP(G22,'舰船数据-深海'!$A:$C,3,FALSE),)</f>
        <v>战列Ψ级Ⅳ型</v>
      </c>
      <c r="N22" s="1" t="str">
        <f>IFERROR(VLOOKUP(H22,'舰船数据-深海'!$A:$C,3,FALSE),)</f>
        <v>战巡Κ级Ⅳ型</v>
      </c>
      <c r="O22" s="1" t="str">
        <f>IFERROR(VLOOKUP(I22,'舰船数据-深海'!$A:$C,3,FALSE),)</f>
        <v>战巡Κ级Ⅳ型</v>
      </c>
      <c r="P22" s="1" t="str">
        <f>IFERROR(VLOOKUP(J22,'舰船数据-深海'!$A:$C,3,FALSE),)</f>
        <v>轻母Ξ级Ⅳ型</v>
      </c>
      <c r="Q22" s="1" t="str">
        <f>IFERROR(VLOOKUP(K22,'舰船数据-深海'!$A:$C,3,FALSE),)</f>
        <v>轻母Ξ级Ⅳ型</v>
      </c>
      <c r="R22" s="1" t="str">
        <f>IFERROR(VLOOKUP(L22,'舰船数据-深海'!$A:$C,3,FALSE),)</f>
        <v>轻巡ei级Ⅳ型</v>
      </c>
    </row>
    <row r="23" spans="1:18">
      <c r="A23" s="1" t="s">
        <v>2489</v>
      </c>
      <c r="B23" s="1" t="s">
        <v>2490</v>
      </c>
      <c r="C23" s="1" t="s">
        <v>2479</v>
      </c>
      <c r="D23" s="2">
        <v>5</v>
      </c>
      <c r="E23" s="2">
        <v>0</v>
      </c>
      <c r="F23" s="3">
        <v>4</v>
      </c>
      <c r="G23" s="1" t="s">
        <v>2027</v>
      </c>
      <c r="H23" s="1" t="s">
        <v>2030</v>
      </c>
      <c r="I23" s="1" t="s">
        <v>2033</v>
      </c>
      <c r="J23" s="1" t="s">
        <v>2034</v>
      </c>
      <c r="K23" s="1" t="s">
        <v>2036</v>
      </c>
      <c r="L23" s="1" t="s">
        <v>2040</v>
      </c>
      <c r="M23" s="4">
        <f>IFERROR(VLOOKUP(G23,'舰船数据-深海'!$A:$C,3,FALSE),)</f>
        <v>111</v>
      </c>
      <c r="N23" s="1" t="str">
        <f>IFERROR(VLOOKUP(H23,'舰船数据-深海'!$A:$C,3,FALSE),)</f>
        <v>Yamato</v>
      </c>
      <c r="O23" s="1" t="str">
        <f>IFERROR(VLOOKUP(I23,'舰船数据-深海'!$A:$C,3,FALSE),)</f>
        <v>Musashi</v>
      </c>
      <c r="P23" s="1" t="str">
        <f>IFERROR(VLOOKUP(J23,'舰船数据-深海'!$A:$C,3,FALSE),)</f>
        <v>Cyou-Yamato</v>
      </c>
      <c r="Q23" s="1" t="str">
        <f>IFERROR(VLOOKUP(K23,'舰船数据-深海'!$A:$C,3,FALSE),)</f>
        <v>Akagi&amp;Kaga</v>
      </c>
      <c r="R23" s="1" t="str">
        <f>IFERROR(VLOOKUP(L23,'舰船数据-深海'!$A:$C,3,FALSE),)</f>
        <v>13 Class Battleship</v>
      </c>
    </row>
    <row r="24" spans="1:18">
      <c r="A24" s="1" t="s">
        <v>2491</v>
      </c>
      <c r="B24" s="1" t="s">
        <v>2490</v>
      </c>
      <c r="C24" s="1" t="s">
        <v>2479</v>
      </c>
      <c r="D24" s="2">
        <v>5</v>
      </c>
      <c r="E24" s="2">
        <v>0</v>
      </c>
      <c r="F24" s="3">
        <v>4</v>
      </c>
      <c r="G24" s="1" t="s">
        <v>2027</v>
      </c>
      <c r="H24" s="1" t="s">
        <v>2032</v>
      </c>
      <c r="I24" s="1" t="s">
        <v>2033</v>
      </c>
      <c r="J24" s="1" t="s">
        <v>2034</v>
      </c>
      <c r="K24" s="1" t="s">
        <v>2039</v>
      </c>
      <c r="L24" s="1" t="s">
        <v>2040</v>
      </c>
      <c r="M24" s="4">
        <f>IFERROR(VLOOKUP(G24,'舰船数据-深海'!$A:$C,3,FALSE),)</f>
        <v>111</v>
      </c>
      <c r="N24" s="1" t="str">
        <f>IFERROR(VLOOKUP(H24,'舰船数据-深海'!$A:$C,3,FALSE),)</f>
        <v>Yamato</v>
      </c>
      <c r="O24" s="1" t="str">
        <f>IFERROR(VLOOKUP(I24,'舰船数据-深海'!$A:$C,3,FALSE),)</f>
        <v>Musashi</v>
      </c>
      <c r="P24" s="1" t="str">
        <f>IFERROR(VLOOKUP(J24,'舰船数据-深海'!$A:$C,3,FALSE),)</f>
        <v>Cyou-Yamato</v>
      </c>
      <c r="Q24" s="1" t="str">
        <f>IFERROR(VLOOKUP(K24,'舰船数据-深海'!$A:$C,3,FALSE),)</f>
        <v>Akagi&amp;Kaga</v>
      </c>
      <c r="R24" s="1" t="str">
        <f>IFERROR(VLOOKUP(L24,'舰船数据-深海'!$A:$C,3,FALSE),)</f>
        <v>13 Class Battleship</v>
      </c>
    </row>
    <row r="25" spans="1:18">
      <c r="A25" s="1" t="s">
        <v>2492</v>
      </c>
      <c r="B25" s="1" t="s">
        <v>2490</v>
      </c>
      <c r="C25" s="1" t="s">
        <v>2479</v>
      </c>
      <c r="D25" s="2">
        <v>5</v>
      </c>
      <c r="E25" s="2">
        <v>0</v>
      </c>
      <c r="F25" s="3">
        <v>4</v>
      </c>
      <c r="G25" s="1" t="s">
        <v>2027</v>
      </c>
      <c r="H25" s="1" t="s">
        <v>2032</v>
      </c>
      <c r="I25" s="1" t="s">
        <v>2033</v>
      </c>
      <c r="J25" s="1" t="s">
        <v>2034</v>
      </c>
      <c r="K25" s="1" t="s">
        <v>2039</v>
      </c>
      <c r="L25" s="1" t="s">
        <v>2040</v>
      </c>
      <c r="M25" s="4">
        <f>IFERROR(VLOOKUP(G25,'舰船数据-深海'!$A:$C,3,FALSE),)</f>
        <v>111</v>
      </c>
      <c r="N25" s="1" t="str">
        <f>IFERROR(VLOOKUP(H25,'舰船数据-深海'!$A:$C,3,FALSE),)</f>
        <v>Yamato</v>
      </c>
      <c r="O25" s="1" t="str">
        <f>IFERROR(VLOOKUP(I25,'舰船数据-深海'!$A:$C,3,FALSE),)</f>
        <v>Musashi</v>
      </c>
      <c r="P25" s="1" t="str">
        <f>IFERROR(VLOOKUP(J25,'舰船数据-深海'!$A:$C,3,FALSE),)</f>
        <v>Cyou-Yamato</v>
      </c>
      <c r="Q25" s="1" t="str">
        <f>IFERROR(VLOOKUP(K25,'舰船数据-深海'!$A:$C,3,FALSE),)</f>
        <v>Akagi&amp;Kaga</v>
      </c>
      <c r="R25" s="1" t="str">
        <f>IFERROR(VLOOKUP(L25,'舰船数据-深海'!$A:$C,3,FALSE),)</f>
        <v>13 Class Battleship</v>
      </c>
    </row>
  </sheetData>
  <mergeCells count="6">
    <mergeCell ref="F1:L1"/>
    <mergeCell ref="M1:R1"/>
    <mergeCell ref="S1:Y1"/>
    <mergeCell ref="Z1:AE1"/>
    <mergeCell ref="AF1:AL1"/>
    <mergeCell ref="AM1:AR1"/>
  </mergeCells>
  <conditionalFormatting sqref="AM10:AQ10">
    <cfRule type="cellIs" dxfId="10" priority="1" operator="equal">
      <formula>0</formula>
    </cfRule>
  </conditionalFormatting>
  <conditionalFormatting sqref="M2:R25">
    <cfRule type="cellIs" dxfId="10" priority="6" operator="equal">
      <formula>0</formula>
    </cfRule>
  </conditionalFormatting>
  <conditionalFormatting sqref="Z2:AE10">
    <cfRule type="cellIs" dxfId="10" priority="2" operator="equal">
      <formula>0</formula>
    </cfRule>
  </conditionalFormatting>
  <conditionalFormatting sqref="AM2:AR10">
    <cfRule type="cellIs" dxfId="10" priority="4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舰船数据-未改</vt:lpstr>
      <vt:lpstr>舰船数据-改造</vt:lpstr>
      <vt:lpstr>装备数据-常规</vt:lpstr>
      <vt:lpstr>舰船数据-深海</vt:lpstr>
      <vt:lpstr>装备数据-深海</vt:lpstr>
      <vt:lpstr>海图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</dc:creator>
  <cp:lastModifiedBy>cvhime</cp:lastModifiedBy>
  <dcterms:created xsi:type="dcterms:W3CDTF">2015-06-12T02:19:00Z</dcterms:created>
  <dcterms:modified xsi:type="dcterms:W3CDTF">2026-10-08T10:49:04Z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